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macbuce/Desktop/"/>
    </mc:Choice>
  </mc:AlternateContent>
  <xr:revisionPtr revIDLastSave="0" documentId="8_{634794C6-8A2E-704C-AD02-04BC105D11E2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Total MiniApp" sheetId="1" r:id="rId1"/>
    <sheet name="Product level" sheetId="3" r:id="rId2"/>
  </sheets>
  <externalReferences>
    <externalReference r:id="rId3"/>
  </externalReferences>
  <definedNames>
    <definedName name="_xlnm._FilterDatabase" localSheetId="1" hidden="1">'Product level'!$A$3:$P$98</definedName>
    <definedName name="_xlnm._FilterDatabase" localSheetId="0" hidden="1">'Total MiniApp'!$B$4:$O$82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3" i="3" l="1"/>
  <c r="G4" i="3"/>
  <c r="H4" i="3"/>
  <c r="I4" i="3"/>
  <c r="J4" i="3"/>
  <c r="K4" i="3"/>
  <c r="L4" i="3"/>
  <c r="M4" i="3"/>
  <c r="N4" i="3"/>
  <c r="G5" i="3"/>
  <c r="H5" i="3"/>
  <c r="I5" i="3"/>
  <c r="J5" i="3"/>
  <c r="K5" i="3"/>
  <c r="L5" i="3"/>
  <c r="M5" i="3"/>
  <c r="N5" i="3"/>
  <c r="G6" i="3"/>
  <c r="H6" i="3"/>
  <c r="I6" i="3"/>
  <c r="J6" i="3"/>
  <c r="K6" i="3"/>
  <c r="L6" i="3"/>
  <c r="M6" i="3"/>
  <c r="N6" i="3"/>
  <c r="G7" i="3"/>
  <c r="H7" i="3"/>
  <c r="I7" i="3"/>
  <c r="J7" i="3"/>
  <c r="K7" i="3"/>
  <c r="L7" i="3"/>
  <c r="M7" i="3"/>
  <c r="N7" i="3"/>
  <c r="G8" i="3"/>
  <c r="H8" i="3"/>
  <c r="I8" i="3"/>
  <c r="J8" i="3"/>
  <c r="K8" i="3"/>
  <c r="L8" i="3"/>
  <c r="M8" i="3"/>
  <c r="N8" i="3"/>
  <c r="G9" i="3"/>
  <c r="H9" i="3"/>
  <c r="I9" i="3"/>
  <c r="J9" i="3"/>
  <c r="K9" i="3"/>
  <c r="L9" i="3"/>
  <c r="M9" i="3"/>
  <c r="N9" i="3"/>
  <c r="G10" i="3"/>
  <c r="H10" i="3"/>
  <c r="I10" i="3"/>
  <c r="J10" i="3"/>
  <c r="K10" i="3"/>
  <c r="L10" i="3"/>
  <c r="M10" i="3"/>
  <c r="N10" i="3"/>
  <c r="G11" i="3"/>
  <c r="H11" i="3"/>
  <c r="I11" i="3"/>
  <c r="J11" i="3"/>
  <c r="K11" i="3"/>
  <c r="L11" i="3"/>
  <c r="M11" i="3"/>
  <c r="N11" i="3"/>
  <c r="G12" i="3"/>
  <c r="H12" i="3"/>
  <c r="I12" i="3"/>
  <c r="J12" i="3"/>
  <c r="K12" i="3"/>
  <c r="L12" i="3"/>
  <c r="M12" i="3"/>
  <c r="N12" i="3"/>
  <c r="G13" i="3"/>
  <c r="H13" i="3"/>
  <c r="I13" i="3"/>
  <c r="J13" i="3"/>
  <c r="K13" i="3"/>
  <c r="L13" i="3"/>
  <c r="M13" i="3"/>
  <c r="N13" i="3"/>
  <c r="G14" i="3"/>
  <c r="H14" i="3"/>
  <c r="I14" i="3"/>
  <c r="J14" i="3"/>
  <c r="K14" i="3"/>
  <c r="L14" i="3"/>
  <c r="M14" i="3"/>
  <c r="N14" i="3"/>
  <c r="G15" i="3"/>
  <c r="H15" i="3"/>
  <c r="I15" i="3"/>
  <c r="J15" i="3"/>
  <c r="K15" i="3"/>
  <c r="L15" i="3"/>
  <c r="M15" i="3"/>
  <c r="N15" i="3"/>
  <c r="G16" i="3"/>
  <c r="H16" i="3"/>
  <c r="I16" i="3"/>
  <c r="J16" i="3"/>
  <c r="K16" i="3"/>
  <c r="L16" i="3"/>
  <c r="M16" i="3"/>
  <c r="N16" i="3"/>
  <c r="G17" i="3"/>
  <c r="H17" i="3"/>
  <c r="I17" i="3"/>
  <c r="J17" i="3"/>
  <c r="K17" i="3"/>
  <c r="L17" i="3"/>
  <c r="M17" i="3"/>
  <c r="N17" i="3"/>
  <c r="G18" i="3"/>
  <c r="H18" i="3"/>
  <c r="I18" i="3"/>
  <c r="J18" i="3"/>
  <c r="K18" i="3"/>
  <c r="L18" i="3"/>
  <c r="M18" i="3"/>
  <c r="N18" i="3"/>
  <c r="G19" i="3"/>
  <c r="H19" i="3"/>
  <c r="I19" i="3"/>
  <c r="J19" i="3"/>
  <c r="K19" i="3"/>
  <c r="L19" i="3"/>
  <c r="M19" i="3"/>
  <c r="N19" i="3"/>
  <c r="G20" i="3"/>
  <c r="H20" i="3"/>
  <c r="I20" i="3"/>
  <c r="J20" i="3"/>
  <c r="K20" i="3"/>
  <c r="L20" i="3"/>
  <c r="M20" i="3"/>
  <c r="N20" i="3"/>
  <c r="G21" i="3"/>
  <c r="H21" i="3"/>
  <c r="I21" i="3"/>
  <c r="J21" i="3"/>
  <c r="K21" i="3"/>
  <c r="L21" i="3"/>
  <c r="M21" i="3"/>
  <c r="N21" i="3"/>
  <c r="G22" i="3"/>
  <c r="H22" i="3"/>
  <c r="I22" i="3"/>
  <c r="J22" i="3"/>
  <c r="K22" i="3"/>
  <c r="L22" i="3"/>
  <c r="M22" i="3"/>
  <c r="N22" i="3"/>
  <c r="G23" i="3"/>
  <c r="H23" i="3"/>
  <c r="I23" i="3"/>
  <c r="J23" i="3"/>
  <c r="K23" i="3"/>
  <c r="L23" i="3"/>
  <c r="M23" i="3"/>
  <c r="N23" i="3"/>
  <c r="G24" i="3"/>
  <c r="H24" i="3"/>
  <c r="I24" i="3"/>
  <c r="J24" i="3"/>
  <c r="K24" i="3"/>
  <c r="L24" i="3"/>
  <c r="M24" i="3"/>
  <c r="N24" i="3"/>
  <c r="G25" i="3"/>
  <c r="H25" i="3"/>
  <c r="I25" i="3"/>
  <c r="J25" i="3"/>
  <c r="K25" i="3"/>
  <c r="L25" i="3"/>
  <c r="M25" i="3"/>
  <c r="N25" i="3"/>
  <c r="G26" i="3"/>
  <c r="H26" i="3"/>
  <c r="I26" i="3"/>
  <c r="J26" i="3"/>
  <c r="K26" i="3"/>
  <c r="L26" i="3"/>
  <c r="M26" i="3"/>
  <c r="N26" i="3"/>
  <c r="G27" i="3"/>
  <c r="H27" i="3"/>
  <c r="I27" i="3"/>
  <c r="J27" i="3"/>
  <c r="K27" i="3"/>
  <c r="L27" i="3"/>
  <c r="M27" i="3"/>
  <c r="N27" i="3"/>
  <c r="G28" i="3"/>
  <c r="H28" i="3"/>
  <c r="I28" i="3"/>
  <c r="J28" i="3"/>
  <c r="K28" i="3"/>
  <c r="L28" i="3"/>
  <c r="M28" i="3"/>
  <c r="N28" i="3"/>
  <c r="G29" i="3"/>
  <c r="H29" i="3"/>
  <c r="I29" i="3"/>
  <c r="J29" i="3"/>
  <c r="K29" i="3"/>
  <c r="L29" i="3"/>
  <c r="M29" i="3"/>
  <c r="N29" i="3"/>
  <c r="G30" i="3"/>
  <c r="H30" i="3"/>
  <c r="I30" i="3"/>
  <c r="J30" i="3"/>
  <c r="K30" i="3"/>
  <c r="L30" i="3"/>
  <c r="M30" i="3"/>
  <c r="N30" i="3"/>
  <c r="G31" i="3"/>
  <c r="H31" i="3"/>
  <c r="I31" i="3"/>
  <c r="J31" i="3"/>
  <c r="K31" i="3"/>
  <c r="L31" i="3"/>
  <c r="M31" i="3"/>
  <c r="N31" i="3"/>
  <c r="G32" i="3"/>
  <c r="H32" i="3"/>
  <c r="I32" i="3"/>
  <c r="J32" i="3"/>
  <c r="K32" i="3"/>
  <c r="L32" i="3"/>
  <c r="M32" i="3"/>
  <c r="N32" i="3"/>
  <c r="G33" i="3"/>
  <c r="H33" i="3"/>
  <c r="I33" i="3"/>
  <c r="J33" i="3"/>
  <c r="K33" i="3"/>
  <c r="L33" i="3"/>
  <c r="M33" i="3"/>
  <c r="N33" i="3"/>
  <c r="G34" i="3"/>
  <c r="H34" i="3"/>
  <c r="I34" i="3"/>
  <c r="J34" i="3"/>
  <c r="K34" i="3"/>
  <c r="L34" i="3"/>
  <c r="M34" i="3"/>
  <c r="N34" i="3"/>
  <c r="G35" i="3"/>
  <c r="H35" i="3"/>
  <c r="I35" i="3"/>
  <c r="J35" i="3"/>
  <c r="K35" i="3"/>
  <c r="L35" i="3"/>
  <c r="M35" i="3"/>
  <c r="N35" i="3"/>
  <c r="G36" i="3"/>
  <c r="H36" i="3"/>
  <c r="I36" i="3"/>
  <c r="J36" i="3"/>
  <c r="K36" i="3"/>
  <c r="L36" i="3"/>
  <c r="M36" i="3"/>
  <c r="N36" i="3"/>
  <c r="G37" i="3"/>
  <c r="H37" i="3"/>
  <c r="I37" i="3"/>
  <c r="J37" i="3"/>
  <c r="K37" i="3"/>
  <c r="L37" i="3"/>
  <c r="M37" i="3"/>
  <c r="N37" i="3"/>
  <c r="G38" i="3"/>
  <c r="H38" i="3"/>
  <c r="I38" i="3"/>
  <c r="J38" i="3"/>
  <c r="K38" i="3"/>
  <c r="L38" i="3"/>
  <c r="M38" i="3"/>
  <c r="N38" i="3"/>
  <c r="G39" i="3"/>
  <c r="H39" i="3"/>
  <c r="I39" i="3"/>
  <c r="J39" i="3"/>
  <c r="K39" i="3"/>
  <c r="L39" i="3"/>
  <c r="M39" i="3"/>
  <c r="N39" i="3"/>
  <c r="G40" i="3"/>
  <c r="H40" i="3"/>
  <c r="I40" i="3"/>
  <c r="J40" i="3"/>
  <c r="K40" i="3"/>
  <c r="L40" i="3"/>
  <c r="M40" i="3"/>
  <c r="N40" i="3"/>
  <c r="G41" i="3"/>
  <c r="H41" i="3"/>
  <c r="I41" i="3"/>
  <c r="J41" i="3"/>
  <c r="K41" i="3"/>
  <c r="L41" i="3"/>
  <c r="M41" i="3"/>
  <c r="N41" i="3"/>
  <c r="G42" i="3"/>
  <c r="H42" i="3"/>
  <c r="I42" i="3"/>
  <c r="J42" i="3"/>
  <c r="K42" i="3"/>
  <c r="L42" i="3"/>
  <c r="M42" i="3"/>
  <c r="N42" i="3"/>
  <c r="G43" i="3"/>
  <c r="H43" i="3"/>
  <c r="I43" i="3"/>
  <c r="J43" i="3"/>
  <c r="K43" i="3"/>
  <c r="L43" i="3"/>
  <c r="M43" i="3"/>
  <c r="N43" i="3"/>
  <c r="G44" i="3"/>
  <c r="H44" i="3"/>
  <c r="I44" i="3"/>
  <c r="J44" i="3"/>
  <c r="K44" i="3"/>
  <c r="L44" i="3"/>
  <c r="M44" i="3"/>
  <c r="N44" i="3"/>
  <c r="G45" i="3"/>
  <c r="H45" i="3"/>
  <c r="I45" i="3"/>
  <c r="J45" i="3"/>
  <c r="K45" i="3"/>
  <c r="L45" i="3"/>
  <c r="M45" i="3"/>
  <c r="N45" i="3"/>
  <c r="G46" i="3"/>
  <c r="H46" i="3"/>
  <c r="I46" i="3"/>
  <c r="J46" i="3"/>
  <c r="K46" i="3"/>
  <c r="L46" i="3"/>
  <c r="M46" i="3"/>
  <c r="N46" i="3"/>
  <c r="G47" i="3"/>
  <c r="H47" i="3"/>
  <c r="I47" i="3"/>
  <c r="J47" i="3"/>
  <c r="K47" i="3"/>
  <c r="L47" i="3"/>
  <c r="M47" i="3"/>
  <c r="N47" i="3"/>
  <c r="G48" i="3"/>
  <c r="H48" i="3"/>
  <c r="I48" i="3"/>
  <c r="J48" i="3"/>
  <c r="K48" i="3"/>
  <c r="L48" i="3"/>
  <c r="M48" i="3"/>
  <c r="N48" i="3"/>
  <c r="G49" i="3"/>
  <c r="H49" i="3"/>
  <c r="I49" i="3"/>
  <c r="J49" i="3"/>
  <c r="K49" i="3"/>
  <c r="L49" i="3"/>
  <c r="M49" i="3"/>
  <c r="N49" i="3"/>
  <c r="G50" i="3"/>
  <c r="H50" i="3"/>
  <c r="I50" i="3"/>
  <c r="J50" i="3"/>
  <c r="K50" i="3"/>
  <c r="L50" i="3"/>
  <c r="M50" i="3"/>
  <c r="N50" i="3"/>
  <c r="G51" i="3"/>
  <c r="H51" i="3"/>
  <c r="I51" i="3"/>
  <c r="J51" i="3"/>
  <c r="K51" i="3"/>
  <c r="L51" i="3"/>
  <c r="M51" i="3"/>
  <c r="N51" i="3"/>
  <c r="G52" i="3"/>
  <c r="H52" i="3"/>
  <c r="I52" i="3"/>
  <c r="J52" i="3"/>
  <c r="K52" i="3"/>
  <c r="L52" i="3"/>
  <c r="M52" i="3"/>
  <c r="N52" i="3"/>
  <c r="G53" i="3"/>
  <c r="H53" i="3"/>
  <c r="I53" i="3"/>
  <c r="J53" i="3"/>
  <c r="K53" i="3"/>
  <c r="L53" i="3"/>
  <c r="M53" i="3"/>
  <c r="N53" i="3"/>
  <c r="G54" i="3"/>
  <c r="H54" i="3"/>
  <c r="I54" i="3"/>
  <c r="J54" i="3"/>
  <c r="K54" i="3"/>
  <c r="L54" i="3"/>
  <c r="M54" i="3"/>
  <c r="N54" i="3"/>
  <c r="G55" i="3"/>
  <c r="H55" i="3"/>
  <c r="I55" i="3"/>
  <c r="J55" i="3"/>
  <c r="K55" i="3"/>
  <c r="L55" i="3"/>
  <c r="M55" i="3"/>
  <c r="N55" i="3"/>
  <c r="G56" i="3"/>
  <c r="H56" i="3"/>
  <c r="I56" i="3"/>
  <c r="J56" i="3"/>
  <c r="K56" i="3"/>
  <c r="L56" i="3"/>
  <c r="M56" i="3"/>
  <c r="N56" i="3"/>
  <c r="G57" i="3"/>
  <c r="H57" i="3"/>
  <c r="I57" i="3"/>
  <c r="J57" i="3"/>
  <c r="K57" i="3"/>
  <c r="L57" i="3"/>
  <c r="M57" i="3"/>
  <c r="N57" i="3"/>
  <c r="G58" i="3"/>
  <c r="H58" i="3"/>
  <c r="I58" i="3"/>
  <c r="J58" i="3"/>
  <c r="K58" i="3"/>
  <c r="L58" i="3"/>
  <c r="M58" i="3"/>
  <c r="N58" i="3"/>
  <c r="G59" i="3"/>
  <c r="H59" i="3"/>
  <c r="I59" i="3"/>
  <c r="J59" i="3"/>
  <c r="K59" i="3"/>
  <c r="L59" i="3"/>
  <c r="M59" i="3"/>
  <c r="N59" i="3"/>
  <c r="G60" i="3"/>
  <c r="H60" i="3"/>
  <c r="I60" i="3"/>
  <c r="J60" i="3"/>
  <c r="K60" i="3"/>
  <c r="L60" i="3"/>
  <c r="M60" i="3"/>
  <c r="N60" i="3"/>
  <c r="G61" i="3"/>
  <c r="H61" i="3"/>
  <c r="I61" i="3"/>
  <c r="J61" i="3"/>
  <c r="K61" i="3"/>
  <c r="L61" i="3"/>
  <c r="M61" i="3"/>
  <c r="N61" i="3"/>
  <c r="G62" i="3"/>
  <c r="H62" i="3"/>
  <c r="I62" i="3"/>
  <c r="J62" i="3"/>
  <c r="K62" i="3"/>
  <c r="L62" i="3"/>
  <c r="M62" i="3"/>
  <c r="N62" i="3"/>
  <c r="G63" i="3"/>
  <c r="H63" i="3"/>
  <c r="I63" i="3"/>
  <c r="J63" i="3"/>
  <c r="K63" i="3"/>
  <c r="L63" i="3"/>
  <c r="M63" i="3"/>
  <c r="N63" i="3"/>
  <c r="G64" i="3"/>
  <c r="H64" i="3"/>
  <c r="I64" i="3"/>
  <c r="J64" i="3"/>
  <c r="K64" i="3"/>
  <c r="L64" i="3"/>
  <c r="M64" i="3"/>
  <c r="N64" i="3"/>
  <c r="G65" i="3"/>
  <c r="H65" i="3"/>
  <c r="I65" i="3"/>
  <c r="J65" i="3"/>
  <c r="K65" i="3"/>
  <c r="L65" i="3"/>
  <c r="M65" i="3"/>
  <c r="N65" i="3"/>
  <c r="G66" i="3"/>
  <c r="H66" i="3"/>
  <c r="I66" i="3"/>
  <c r="J66" i="3"/>
  <c r="K66" i="3"/>
  <c r="L66" i="3"/>
  <c r="M66" i="3"/>
  <c r="N66" i="3"/>
  <c r="G67" i="3"/>
  <c r="H67" i="3"/>
  <c r="I67" i="3"/>
  <c r="J67" i="3"/>
  <c r="K67" i="3"/>
  <c r="L67" i="3"/>
  <c r="M67" i="3"/>
  <c r="N67" i="3"/>
  <c r="G68" i="3"/>
  <c r="H68" i="3"/>
  <c r="I68" i="3"/>
  <c r="J68" i="3"/>
  <c r="K68" i="3"/>
  <c r="L68" i="3"/>
  <c r="M68" i="3"/>
  <c r="N68" i="3"/>
  <c r="G69" i="3"/>
  <c r="H69" i="3"/>
  <c r="I69" i="3"/>
  <c r="J69" i="3"/>
  <c r="K69" i="3"/>
  <c r="L69" i="3"/>
  <c r="M69" i="3"/>
  <c r="N69" i="3"/>
  <c r="G70" i="3"/>
  <c r="H70" i="3"/>
  <c r="I70" i="3"/>
  <c r="J70" i="3"/>
  <c r="K70" i="3"/>
  <c r="L70" i="3"/>
  <c r="M70" i="3"/>
  <c r="N70" i="3"/>
  <c r="G71" i="3"/>
  <c r="H71" i="3"/>
  <c r="I71" i="3"/>
  <c r="J71" i="3"/>
  <c r="K71" i="3"/>
  <c r="L71" i="3"/>
  <c r="M71" i="3"/>
  <c r="N71" i="3"/>
  <c r="G72" i="3"/>
  <c r="H72" i="3"/>
  <c r="I72" i="3"/>
  <c r="J72" i="3"/>
  <c r="K72" i="3"/>
  <c r="L72" i="3"/>
  <c r="M72" i="3"/>
  <c r="N72" i="3"/>
  <c r="G73" i="3"/>
  <c r="H73" i="3"/>
  <c r="I73" i="3"/>
  <c r="J73" i="3"/>
  <c r="K73" i="3"/>
  <c r="L73" i="3"/>
  <c r="M73" i="3"/>
  <c r="N73" i="3"/>
  <c r="G74" i="3"/>
  <c r="H74" i="3"/>
  <c r="I74" i="3"/>
  <c r="J74" i="3"/>
  <c r="K74" i="3"/>
  <c r="L74" i="3"/>
  <c r="M74" i="3"/>
  <c r="N74" i="3"/>
  <c r="G75" i="3"/>
  <c r="H75" i="3"/>
  <c r="I75" i="3"/>
  <c r="J75" i="3"/>
  <c r="K75" i="3"/>
  <c r="L75" i="3"/>
  <c r="M75" i="3"/>
  <c r="N75" i="3"/>
  <c r="G76" i="3"/>
  <c r="H76" i="3"/>
  <c r="I76" i="3"/>
  <c r="J76" i="3"/>
  <c r="K76" i="3"/>
  <c r="L76" i="3"/>
  <c r="M76" i="3"/>
  <c r="N76" i="3"/>
  <c r="G77" i="3"/>
  <c r="H77" i="3"/>
  <c r="I77" i="3"/>
  <c r="J77" i="3"/>
  <c r="K77" i="3"/>
  <c r="L77" i="3"/>
  <c r="M77" i="3"/>
  <c r="N77" i="3"/>
  <c r="G78" i="3"/>
  <c r="H78" i="3"/>
  <c r="I78" i="3"/>
  <c r="J78" i="3"/>
  <c r="K78" i="3"/>
  <c r="L78" i="3"/>
  <c r="M78" i="3"/>
  <c r="N78" i="3"/>
  <c r="G79" i="3"/>
  <c r="H79" i="3"/>
  <c r="I79" i="3"/>
  <c r="J79" i="3"/>
  <c r="K79" i="3"/>
  <c r="L79" i="3"/>
  <c r="M79" i="3"/>
  <c r="N79" i="3"/>
  <c r="G80" i="3"/>
  <c r="H80" i="3"/>
  <c r="I80" i="3"/>
  <c r="J80" i="3"/>
  <c r="K80" i="3"/>
  <c r="L80" i="3"/>
  <c r="M80" i="3"/>
  <c r="N80" i="3"/>
  <c r="G81" i="3"/>
  <c r="H81" i="3"/>
  <c r="I81" i="3"/>
  <c r="J81" i="3"/>
  <c r="K81" i="3"/>
  <c r="L81" i="3"/>
  <c r="M81" i="3"/>
  <c r="N81" i="3"/>
  <c r="G82" i="3"/>
  <c r="H82" i="3"/>
  <c r="I82" i="3"/>
  <c r="J82" i="3"/>
  <c r="K82" i="3"/>
  <c r="L82" i="3"/>
  <c r="M82" i="3"/>
  <c r="N82" i="3"/>
  <c r="G83" i="3"/>
  <c r="H83" i="3"/>
  <c r="I83" i="3"/>
  <c r="J83" i="3"/>
  <c r="K83" i="3"/>
  <c r="M83" i="3"/>
  <c r="N83" i="3"/>
  <c r="G84" i="3"/>
  <c r="H84" i="3"/>
  <c r="I84" i="3"/>
  <c r="J84" i="3"/>
  <c r="K84" i="3"/>
  <c r="L84" i="3"/>
  <c r="M84" i="3"/>
  <c r="N84" i="3"/>
  <c r="G85" i="3"/>
  <c r="H85" i="3"/>
  <c r="I85" i="3"/>
  <c r="J85" i="3"/>
  <c r="K85" i="3"/>
  <c r="L85" i="3"/>
  <c r="M85" i="3"/>
  <c r="N85" i="3"/>
  <c r="G86" i="3"/>
  <c r="H86" i="3"/>
  <c r="I86" i="3"/>
  <c r="J86" i="3"/>
  <c r="K86" i="3"/>
  <c r="L86" i="3"/>
  <c r="M86" i="3"/>
  <c r="N86" i="3"/>
  <c r="G87" i="3"/>
  <c r="H87" i="3"/>
  <c r="I87" i="3"/>
  <c r="J87" i="3"/>
  <c r="K87" i="3"/>
  <c r="L87" i="3"/>
  <c r="M87" i="3"/>
  <c r="N87" i="3"/>
  <c r="G88" i="3"/>
  <c r="H88" i="3"/>
  <c r="I88" i="3"/>
  <c r="J88" i="3"/>
  <c r="K88" i="3"/>
  <c r="L88" i="3"/>
  <c r="M88" i="3"/>
  <c r="N88" i="3"/>
  <c r="G89" i="3"/>
  <c r="H89" i="3"/>
  <c r="I89" i="3"/>
  <c r="J89" i="3"/>
  <c r="K89" i="3"/>
  <c r="L89" i="3"/>
  <c r="M89" i="3"/>
  <c r="N89" i="3"/>
  <c r="G90" i="3"/>
  <c r="H90" i="3"/>
  <c r="I90" i="3"/>
  <c r="J90" i="3"/>
  <c r="K90" i="3"/>
  <c r="L90" i="3"/>
  <c r="M90" i="3"/>
  <c r="N90" i="3"/>
  <c r="G91" i="3"/>
  <c r="H91" i="3"/>
  <c r="I91" i="3"/>
  <c r="J91" i="3"/>
  <c r="K91" i="3"/>
  <c r="L91" i="3"/>
  <c r="M91" i="3"/>
  <c r="N91" i="3"/>
  <c r="G92" i="3"/>
  <c r="H92" i="3"/>
  <c r="I92" i="3"/>
  <c r="J92" i="3"/>
  <c r="K92" i="3"/>
  <c r="L92" i="3"/>
  <c r="M92" i="3"/>
  <c r="N92" i="3"/>
  <c r="G93" i="3"/>
  <c r="H93" i="3"/>
  <c r="I93" i="3"/>
  <c r="J93" i="3"/>
  <c r="K93" i="3"/>
  <c r="L93" i="3"/>
  <c r="M93" i="3"/>
  <c r="N93" i="3"/>
  <c r="G94" i="3"/>
  <c r="H94" i="3"/>
  <c r="I94" i="3"/>
  <c r="J94" i="3"/>
  <c r="K94" i="3"/>
  <c r="L94" i="3"/>
  <c r="M94" i="3"/>
  <c r="N94" i="3"/>
  <c r="G95" i="3"/>
  <c r="H95" i="3"/>
  <c r="I95" i="3"/>
  <c r="J95" i="3"/>
  <c r="K95" i="3"/>
  <c r="L95" i="3"/>
  <c r="M95" i="3"/>
  <c r="N95" i="3"/>
  <c r="G96" i="3"/>
  <c r="H96" i="3"/>
  <c r="I96" i="3"/>
  <c r="J96" i="3"/>
  <c r="K96" i="3"/>
  <c r="L96" i="3"/>
  <c r="M96" i="3"/>
  <c r="N96" i="3"/>
  <c r="G97" i="3"/>
  <c r="H97" i="3"/>
  <c r="I97" i="3"/>
  <c r="J97" i="3"/>
  <c r="K97" i="3"/>
  <c r="L97" i="3"/>
  <c r="M97" i="3"/>
  <c r="N97" i="3"/>
  <c r="G98" i="3"/>
  <c r="H98" i="3"/>
  <c r="I98" i="3"/>
  <c r="J98" i="3"/>
  <c r="K98" i="3"/>
  <c r="L98" i="3"/>
  <c r="M98" i="3"/>
  <c r="N98" i="3"/>
</calcChain>
</file>

<file path=xl/sharedStrings.xml><?xml version="1.0" encoding="utf-8"?>
<sst xmlns="http://schemas.openxmlformats.org/spreadsheetml/2006/main" count="782" uniqueCount="241">
  <si>
    <t>Product</t>
  </si>
  <si>
    <t>↓ MB Mini App Price for Customer (Monthly)</t>
  </si>
  <si>
    <t>↓ MB Mini App Price for Customer (TOTAL)</t>
  </si>
  <si>
    <t>One Time 
+ Care</t>
  </si>
  <si>
    <t>REF</t>
  </si>
  <si>
    <t>B/F</t>
  </si>
  <si>
    <t>LBB33BLGA</t>
  </si>
  <si>
    <t>LBB33BLGA.ABMPEVN</t>
  </si>
  <si>
    <t>LBB33BLM</t>
  </si>
  <si>
    <t>LBB33BLM.AEPPEVN</t>
  </si>
  <si>
    <t>LBB33BGMAI</t>
  </si>
  <si>
    <t>LBB33BGMAI.ABEPEVN</t>
  </si>
  <si>
    <t>DW</t>
  </si>
  <si>
    <t>LDT14BGA3</t>
  </si>
  <si>
    <t>LDT14BGA3.ANBPEVN</t>
  </si>
  <si>
    <t>LDT14BLA4</t>
  </si>
  <si>
    <t>LDT14BLA4.ABMPEVN</t>
  </si>
  <si>
    <t>LDT14SVA4</t>
  </si>
  <si>
    <t>LDT14SVA4.APYPEVN</t>
  </si>
  <si>
    <t>LDN14BLA5</t>
  </si>
  <si>
    <t>LDN14BLA5.ABMPEVN</t>
  </si>
  <si>
    <t>F/D</t>
  </si>
  <si>
    <t>LFD61BLGAI</t>
  </si>
  <si>
    <t>LFD61BLGAI.ABMPEVN</t>
  </si>
  <si>
    <t>LFD58BLMAI</t>
  </si>
  <si>
    <t>LFD58BLMAI.AEPPEVN</t>
  </si>
  <si>
    <t>F61BMD</t>
  </si>
  <si>
    <t>F61BMD.AEPPEVN</t>
  </si>
  <si>
    <t>F58BGD</t>
  </si>
  <si>
    <t>F58BGD.ABMPEVN</t>
  </si>
  <si>
    <t>LFB58BLMA</t>
  </si>
  <si>
    <t>LFB58BLMA.AEPPEVN</t>
  </si>
  <si>
    <t>F51EG</t>
  </si>
  <si>
    <t>F51EG.ADMPEVN</t>
  </si>
  <si>
    <t>F50BG</t>
  </si>
  <si>
    <t>F50BG.ADBPEVN</t>
  </si>
  <si>
    <t>SXS</t>
  </si>
  <si>
    <t>GR-X257BG</t>
  </si>
  <si>
    <t>GR-X257BG.AEEPEVN</t>
  </si>
  <si>
    <t>LSI63BLMA</t>
  </si>
  <si>
    <t>LSI63BLMA.AEPPEVN</t>
  </si>
  <si>
    <t>T/F</t>
  </si>
  <si>
    <t>T33SV</t>
  </si>
  <si>
    <t>T33SV.APYPEVN</t>
  </si>
  <si>
    <t>T30SV</t>
  </si>
  <si>
    <t>T30SV.APYPEVN</t>
  </si>
  <si>
    <t>T26BG</t>
  </si>
  <si>
    <t>T26BG.AGKPEVN</t>
  </si>
  <si>
    <t>T21BG</t>
  </si>
  <si>
    <t>T21BG.AGKPEVN</t>
  </si>
  <si>
    <t>LTV</t>
  </si>
  <si>
    <t>MRGB</t>
  </si>
  <si>
    <t>86MRGB86BSA</t>
  </si>
  <si>
    <t>86MRGB86BSA.ATV</t>
  </si>
  <si>
    <t>75MRGB86BSA</t>
  </si>
  <si>
    <t>75MRGB86BSA.ATV</t>
  </si>
  <si>
    <t>65MRGB86BSA</t>
  </si>
  <si>
    <t>65MRGB86BSA.ATV</t>
  </si>
  <si>
    <t>OLED</t>
  </si>
  <si>
    <t>OLED83W6PSA</t>
  </si>
  <si>
    <t>OLED83W6PSA.ATV</t>
  </si>
  <si>
    <t>OLED77G6PSA</t>
  </si>
  <si>
    <t>OLED77G6PSA.ATV</t>
  </si>
  <si>
    <t>OLED65G6PSA</t>
  </si>
  <si>
    <t>OLED65G6PSA.ATV</t>
  </si>
  <si>
    <t>OLED55G6PSA</t>
  </si>
  <si>
    <t>OLED55G6PSA.ATV</t>
  </si>
  <si>
    <t>OLED83C6PSA</t>
  </si>
  <si>
    <t>OLED83C6PSA.ATV</t>
  </si>
  <si>
    <t>OLED77C6PSA</t>
  </si>
  <si>
    <t>OLED77C6PSA.ATV</t>
  </si>
  <si>
    <t>OLED65C6PSA</t>
  </si>
  <si>
    <t>OLED65C6PSA.ATV</t>
  </si>
  <si>
    <t>OLED55C6PSA</t>
  </si>
  <si>
    <t>OLED55C6PSA.ATV</t>
  </si>
  <si>
    <t>OLED77B6PSA</t>
  </si>
  <si>
    <t>OLED77B6PSA.ATV</t>
  </si>
  <si>
    <t>OLED65B6PSA</t>
  </si>
  <si>
    <t>OLED65B6PSA.ATV</t>
  </si>
  <si>
    <t>OLED55B6PSA</t>
  </si>
  <si>
    <t>OLED55B6PSA.ATV</t>
  </si>
  <si>
    <t>QNED</t>
  </si>
  <si>
    <t>100QNED86BS</t>
  </si>
  <si>
    <t>100QNED86BS.ATV</t>
  </si>
  <si>
    <t>86QNED86BSA</t>
  </si>
  <si>
    <t>86QNED86BSA.ATV</t>
  </si>
  <si>
    <t>75QNED86BSA</t>
  </si>
  <si>
    <t>75QNED86BSA.ATV</t>
  </si>
  <si>
    <t>65QNED86BSA</t>
  </si>
  <si>
    <t>65QNED86BSA.ATV</t>
  </si>
  <si>
    <t>55QNED86BSA</t>
  </si>
  <si>
    <t>55QNED86BSA.ATV</t>
  </si>
  <si>
    <t>85QNED80BSA</t>
  </si>
  <si>
    <t>85QNED80BSA.ATV</t>
  </si>
  <si>
    <t>75QNED80BSA</t>
  </si>
  <si>
    <t>75QNED80BSA.ATV</t>
  </si>
  <si>
    <t>65QNED80BSA</t>
  </si>
  <si>
    <t>65QNED80BSA.ATV</t>
  </si>
  <si>
    <t>55QNED80BSA</t>
  </si>
  <si>
    <t>55QNED80BSA.ATV</t>
  </si>
  <si>
    <t>50QNED80BSA</t>
  </si>
  <si>
    <t>50QNED80BSA.ATV</t>
  </si>
  <si>
    <t>43QNED80BSA</t>
  </si>
  <si>
    <t>43QNED80BSA.ATV</t>
  </si>
  <si>
    <t>UHD</t>
  </si>
  <si>
    <t>98NU855BPSB</t>
  </si>
  <si>
    <t>98NU855BPSB.ATVQ</t>
  </si>
  <si>
    <t>85NU855BPSA</t>
  </si>
  <si>
    <t>85NU855BPSA.ATV</t>
  </si>
  <si>
    <t>75NU855BPSA</t>
  </si>
  <si>
    <t>75NU855BPSA.ATV</t>
  </si>
  <si>
    <t>65NU855BPSA</t>
  </si>
  <si>
    <t>65NU855BPSA.ATV</t>
  </si>
  <si>
    <t>55NU855BPSA</t>
  </si>
  <si>
    <t>55NU855BPSA.ATV</t>
  </si>
  <si>
    <t>50NU855BPSA</t>
  </si>
  <si>
    <t>50NU855BPSA.ATV</t>
  </si>
  <si>
    <t>43NU855BPSA</t>
  </si>
  <si>
    <t>43NU855BPSA.ATV</t>
  </si>
  <si>
    <t>Air Care</t>
  </si>
  <si>
    <t>Air purifier</t>
  </si>
  <si>
    <t>AS10GDWH0</t>
  </si>
  <si>
    <t>AS10GDWH0.ABAE</t>
  </si>
  <si>
    <t>AS65GDWH0</t>
  </si>
  <si>
    <t>AS65GDWH0.ABAE</t>
  </si>
  <si>
    <t>AS20GPBK0</t>
  </si>
  <si>
    <t>AS20GPBK0.ABAE</t>
  </si>
  <si>
    <t>AS20GPWU0</t>
  </si>
  <si>
    <t>AS20GPWU0.ABAE</t>
  </si>
  <si>
    <t>AS20GSHU0</t>
  </si>
  <si>
    <t>AS20GSHU0.ABAE</t>
  </si>
  <si>
    <t>FS15GPBK0</t>
  </si>
  <si>
    <t>FS15GPBK0.ABAE</t>
  </si>
  <si>
    <t>AS30GGW1A</t>
  </si>
  <si>
    <t>AS30GGW1A.ABAE</t>
  </si>
  <si>
    <t>AS30GGG1A</t>
  </si>
  <si>
    <t>AS30GGG1A.ABAE</t>
  </si>
  <si>
    <t>ES</t>
  </si>
  <si>
    <t>RAC BD</t>
  </si>
  <si>
    <t>IDC09M2</t>
  </si>
  <si>
    <t>IDC09M2.ATYGEVH</t>
  </si>
  <si>
    <t>IDC12M2</t>
  </si>
  <si>
    <t>IDC12M2.ATYGEVH</t>
  </si>
  <si>
    <t>IDC18M2</t>
  </si>
  <si>
    <t>IDC18M2.ATYGEVH</t>
  </si>
  <si>
    <t>IDH09M1</t>
  </si>
  <si>
    <t>IDH09M1.ATYGEVH</t>
  </si>
  <si>
    <t>IDH12M1</t>
  </si>
  <si>
    <t>IDH12M1.ATYGEVH</t>
  </si>
  <si>
    <t>IDH18M1</t>
  </si>
  <si>
    <t>IDH18M1.ATYGEVH</t>
  </si>
  <si>
    <t>IDH24M1</t>
  </si>
  <si>
    <t>IDH24M1.ATYGEVH</t>
  </si>
  <si>
    <t>AS10GDBY0</t>
  </si>
  <si>
    <t>AS10GDBY0.ABAE</t>
  </si>
  <si>
    <t>AS65GDBY0</t>
  </si>
  <si>
    <t>AS65GDBY0.ABAE</t>
  </si>
  <si>
    <t>AS55GGSY0</t>
  </si>
  <si>
    <t>AS55GGSY0.ABAE</t>
  </si>
  <si>
    <t>AS60GHWG0</t>
  </si>
  <si>
    <t>AS60GHWG0.ABAE</t>
  </si>
  <si>
    <t>MD16GQSE0</t>
  </si>
  <si>
    <t>MD16GQSE0.ABAE</t>
  </si>
  <si>
    <t>MD19GQGE0</t>
  </si>
  <si>
    <t>MD19GQGE0.ABAE</t>
  </si>
  <si>
    <t>W/M</t>
  </si>
  <si>
    <t>Styler</t>
  </si>
  <si>
    <t>SC5MBR80H</t>
  </si>
  <si>
    <t>SC5MBR80H.ASBPEVN</t>
  </si>
  <si>
    <t>Dryer</t>
  </si>
  <si>
    <t>DVHP50M</t>
  </si>
  <si>
    <t>DVHP50M.AMBPEVN</t>
  </si>
  <si>
    <t>WashTower</t>
  </si>
  <si>
    <t>WT2517NHEG</t>
  </si>
  <si>
    <t>WT2517NHEG.ABGPEVN</t>
  </si>
  <si>
    <t>T/L</t>
  </si>
  <si>
    <t>TX2725AT9G</t>
  </si>
  <si>
    <t>TX2725AT9G.AEGPEVN</t>
  </si>
  <si>
    <t>F/L</t>
  </si>
  <si>
    <t>FX1412S3KAV</t>
  </si>
  <si>
    <t>FX1412S3KAV.AEBPEVN</t>
  </si>
  <si>
    <t>Lifestyle</t>
  </si>
  <si>
    <t>27LX6TDGA.ATV</t>
  </si>
  <si>
    <t>27LX6TDGA</t>
  </si>
  <si>
    <t>Cooking</t>
  </si>
  <si>
    <t>MWO</t>
  </si>
  <si>
    <t>MS2535GIK</t>
  </si>
  <si>
    <t>MS2535GIK.BSEPLVN</t>
  </si>
  <si>
    <t>MS3032JAS</t>
  </si>
  <si>
    <t>MS3032JAS.BBKPLVN</t>
  </si>
  <si>
    <t>MS2032GIK</t>
  </si>
  <si>
    <t>MS2032GIK.BSEPLVN</t>
  </si>
  <si>
    <t>MS2032GAS</t>
  </si>
  <si>
    <t>MS2032GAS.BBKPLVN</t>
  </si>
  <si>
    <t>Audio</t>
  </si>
  <si>
    <t>Soundbar</t>
  </si>
  <si>
    <t>S95AR</t>
  </si>
  <si>
    <t>S95AR.DVNMLLK</t>
  </si>
  <si>
    <t>SG10TY</t>
  </si>
  <si>
    <t>SG10TY.DVNMLLK</t>
  </si>
  <si>
    <t>xboom</t>
  </si>
  <si>
    <t>STAGE301</t>
  </si>
  <si>
    <t>STAGE301.AVNMLBK</t>
  </si>
  <si>
    <t>STAGE501</t>
  </si>
  <si>
    <t>STAGE501.AVNMLBK</t>
  </si>
  <si>
    <t>32LX6BDGA</t>
  </si>
  <si>
    <t>32LX6BDGA.ATV</t>
  </si>
  <si>
    <t>No</t>
  </si>
  <si>
    <t>Model name</t>
  </si>
  <si>
    <t>Model suffix</t>
  </si>
  <si>
    <t>New</t>
  </si>
  <si>
    <t>Sản phẩm này update sau</t>
  </si>
  <si>
    <t>out of stock</t>
  </si>
  <si>
    <t>EOL</t>
  </si>
  <si>
    <t>Prod. Lv 1</t>
  </si>
  <si>
    <t>Prod. Lv 1 Name</t>
  </si>
  <si>
    <t>Prod. Lv 2</t>
  </si>
  <si>
    <t>Prod. Lv 2 Name</t>
  </si>
  <si>
    <t>Prod. Lv 3</t>
  </si>
  <si>
    <t>Prod. Lv 3 Name</t>
  </si>
  <si>
    <t>Prod. Lv 4</t>
  </si>
  <si>
    <t>Prod. Lv 4 Name</t>
  </si>
  <si>
    <t>IDC09M2N.ATYGEVH</t>
  </si>
  <si>
    <t>IDC09M2U.ATYGEVH</t>
  </si>
  <si>
    <t>IDC12M2U.ATYGEVH</t>
  </si>
  <si>
    <t>IDC12M2N.ATYGEVH</t>
  </si>
  <si>
    <t>IDC18M2U.ATYGEVH</t>
  </si>
  <si>
    <t>IDC18M2N.ATYGEVH</t>
  </si>
  <si>
    <t>IDH09M1U.ATYGEVH</t>
  </si>
  <si>
    <t>IDH09M1N.ATYGEVH</t>
  </si>
  <si>
    <t>IDH12M1U.ATYGEVH</t>
  </si>
  <si>
    <t>IDH12M1N.ATYGEVH</t>
  </si>
  <si>
    <t>IDH18M1U.ATYGEVH</t>
  </si>
  <si>
    <t>IDH18M1N.ATYGEVH</t>
  </si>
  <si>
    <t>IDH24M1N.ATYGEVH</t>
  </si>
  <si>
    <t>IDH24M1U.ATYGEVH</t>
  </si>
  <si>
    <t>Tủ lạnh ngăn đá trên</t>
  </si>
  <si>
    <t>InstaView</t>
  </si>
  <si>
    <t xml:space="preserve"> </t>
  </si>
  <si>
    <t>IDH là 2 chiều, IDC là 1 chiều</t>
  </si>
  <si>
    <t>Chia category điều hoà theo 2 chiều / 1 chiều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</si>
</sst>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_-;\-* #,##0_-;_-* &quot;-&quot;??_-;_-@_-"/>
  </numFmts>
  <fonts count="7" x14ac:knownFonts="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0"/>
      <name val="Calibri Light"/>
      <family val="3"/>
      <charset val="129"/>
      <scheme val="major"/>
    </font>
    <font>
      <b/>
      <sz val="10"/>
      <name val="Calibri Light"/>
      <family val="3"/>
      <charset val="129"/>
      <scheme val="major"/>
    </font>
    <font>
      <sz val="11"/>
      <color theme="1"/>
      <name val="Montserrat"/>
    </font>
    <font>
      <sz val="11"/>
      <name val="Montserrat"/>
    </font>
    <font>
      <b/>
      <sz val="11"/>
      <name val="Montserrat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164" fontId="2" fillId="2" borderId="6" xfId="1" applyFont="1" applyFill="1" applyBorder="1" applyAlignment="1">
      <alignment vertical="center" shrinkToFit="1"/>
    </xf>
    <xf numFmtId="165" fontId="2" fillId="2" borderId="6" xfId="0" applyNumberFormat="1" applyFont="1" applyFill="1" applyBorder="1" applyAlignment="1">
      <alignment vertical="center" shrinkToFit="1"/>
    </xf>
    <xf numFmtId="165" fontId="2" fillId="2" borderId="7" xfId="0" applyNumberFormat="1" applyFont="1" applyFill="1" applyBorder="1" applyAlignment="1">
      <alignment vertical="center" shrinkToFit="1"/>
    </xf>
    <xf numFmtId="165" fontId="2" fillId="0" borderId="1" xfId="0" applyNumberFormat="1" applyFont="1" applyBorder="1" applyAlignment="1">
      <alignment vertical="center" shrinkToFit="1"/>
    </xf>
    <xf numFmtId="164" fontId="2" fillId="2" borderId="8" xfId="1" applyFont="1" applyFill="1" applyBorder="1" applyAlignment="1">
      <alignment vertical="center" shrinkToFit="1"/>
    </xf>
    <xf numFmtId="164" fontId="2" fillId="2" borderId="5" xfId="1" applyFont="1" applyFill="1" applyBorder="1" applyAlignment="1">
      <alignment vertical="center" shrinkToFit="1"/>
    </xf>
    <xf numFmtId="165" fontId="2" fillId="2" borderId="5" xfId="0" applyNumberFormat="1" applyFont="1" applyFill="1" applyBorder="1" applyAlignment="1">
      <alignment vertical="center" shrinkToFit="1"/>
    </xf>
    <xf numFmtId="165" fontId="2" fillId="2" borderId="2" xfId="0" applyNumberFormat="1" applyFont="1" applyFill="1" applyBorder="1" applyAlignment="1">
      <alignment vertical="center" shrinkToFit="1"/>
    </xf>
    <xf numFmtId="164" fontId="2" fillId="2" borderId="4" xfId="1" applyFont="1" applyFill="1" applyBorder="1" applyAlignment="1">
      <alignment vertical="center" shrinkToFit="1"/>
    </xf>
    <xf numFmtId="165" fontId="2" fillId="0" borderId="1" xfId="3" applyNumberFormat="1" applyFont="1" applyBorder="1" applyAlignment="1">
      <alignment vertical="center" shrinkToFit="1"/>
    </xf>
    <xf numFmtId="164" fontId="2" fillId="2" borderId="5" xfId="2" applyFont="1" applyFill="1" applyBorder="1" applyAlignment="1">
      <alignment vertical="center" shrinkToFit="1"/>
    </xf>
    <xf numFmtId="165" fontId="2" fillId="2" borderId="5" xfId="3" applyNumberFormat="1" applyFont="1" applyFill="1" applyBorder="1" applyAlignment="1">
      <alignment vertical="center" shrinkToFit="1"/>
    </xf>
    <xf numFmtId="165" fontId="2" fillId="2" borderId="2" xfId="3" applyNumberFormat="1" applyFont="1" applyFill="1" applyBorder="1" applyAlignment="1">
      <alignment vertical="center" shrinkToFit="1"/>
    </xf>
    <xf numFmtId="164" fontId="2" fillId="2" borderId="4" xfId="2" applyFont="1" applyFill="1" applyBorder="1" applyAlignment="1">
      <alignment vertical="center" shrinkToFit="1"/>
    </xf>
    <xf numFmtId="165" fontId="2" fillId="0" borderId="6" xfId="3" applyNumberFormat="1" applyFont="1" applyBorder="1" applyAlignment="1">
      <alignment vertical="center" shrinkToFit="1"/>
    </xf>
    <xf numFmtId="0" fontId="0" fillId="0" borderId="9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 shrinkToFit="1"/>
    </xf>
    <xf numFmtId="49" fontId="2" fillId="5" borderId="6" xfId="1" applyNumberFormat="1" applyFont="1" applyFill="1" applyBorder="1" applyAlignment="1">
      <alignment horizontal="center" vertical="center" shrinkToFit="1"/>
    </xf>
    <xf numFmtId="164" fontId="2" fillId="5" borderId="5" xfId="2" applyFont="1" applyFill="1" applyBorder="1" applyAlignment="1">
      <alignment vertical="center" shrinkToFit="1"/>
    </xf>
    <xf numFmtId="165" fontId="2" fillId="5" borderId="5" xfId="3" applyNumberFormat="1" applyFont="1" applyFill="1" applyBorder="1" applyAlignment="1">
      <alignment vertical="center" shrinkToFit="1"/>
    </xf>
    <xf numFmtId="165" fontId="2" fillId="5" borderId="2" xfId="3" applyNumberFormat="1" applyFont="1" applyFill="1" applyBorder="1" applyAlignment="1">
      <alignment vertical="center" shrinkToFit="1"/>
    </xf>
    <xf numFmtId="165" fontId="2" fillId="5" borderId="1" xfId="3" applyNumberFormat="1" applyFont="1" applyFill="1" applyBorder="1" applyAlignment="1">
      <alignment vertical="center" shrinkToFit="1"/>
    </xf>
    <xf numFmtId="164" fontId="2" fillId="5" borderId="4" xfId="2" applyFont="1" applyFill="1" applyBorder="1" applyAlignment="1">
      <alignment vertical="center" shrinkToFit="1"/>
    </xf>
    <xf numFmtId="0" fontId="0" fillId="5" borderId="0" xfId="0" applyFill="1">
      <alignment vertical="center"/>
    </xf>
    <xf numFmtId="49" fontId="2" fillId="6" borderId="6" xfId="1" applyNumberFormat="1" applyFont="1" applyFill="1" applyBorder="1" applyAlignment="1">
      <alignment horizontal="center" vertical="center" shrinkToFit="1"/>
    </xf>
    <xf numFmtId="164" fontId="2" fillId="6" borderId="5" xfId="2" applyFont="1" applyFill="1" applyBorder="1" applyAlignment="1">
      <alignment vertical="center" shrinkToFit="1"/>
    </xf>
    <xf numFmtId="165" fontId="2" fillId="6" borderId="5" xfId="3" applyNumberFormat="1" applyFont="1" applyFill="1" applyBorder="1" applyAlignment="1">
      <alignment vertical="center" shrinkToFit="1"/>
    </xf>
    <xf numFmtId="165" fontId="2" fillId="6" borderId="2" xfId="3" applyNumberFormat="1" applyFont="1" applyFill="1" applyBorder="1" applyAlignment="1">
      <alignment vertical="center" shrinkToFit="1"/>
    </xf>
    <xf numFmtId="165" fontId="2" fillId="6" borderId="1" xfId="3" applyNumberFormat="1" applyFont="1" applyFill="1" applyBorder="1" applyAlignment="1">
      <alignment vertical="center" shrinkToFit="1"/>
    </xf>
    <xf numFmtId="164" fontId="2" fillId="6" borderId="4" xfId="2" applyFont="1" applyFill="1" applyBorder="1" applyAlignment="1">
      <alignment vertical="center" shrinkToFit="1"/>
    </xf>
    <xf numFmtId="0" fontId="0" fillId="6" borderId="0" xfId="0" applyFill="1">
      <alignment vertical="center"/>
    </xf>
    <xf numFmtId="164" fontId="2" fillId="5" borderId="5" xfId="1" applyFont="1" applyFill="1" applyBorder="1" applyAlignment="1">
      <alignment vertical="center" shrinkToFit="1"/>
    </xf>
    <xf numFmtId="165" fontId="2" fillId="5" borderId="5" xfId="0" applyNumberFormat="1" applyFont="1" applyFill="1" applyBorder="1" applyAlignment="1">
      <alignment vertical="center" shrinkToFit="1"/>
    </xf>
    <xf numFmtId="165" fontId="2" fillId="5" borderId="1" xfId="0" applyNumberFormat="1" applyFont="1" applyFill="1" applyBorder="1" applyAlignment="1">
      <alignment vertical="center" shrinkToFit="1"/>
    </xf>
    <xf numFmtId="164" fontId="2" fillId="5" borderId="4" xfId="1" applyFont="1" applyFill="1" applyBorder="1" applyAlignment="1">
      <alignment vertical="center" shrinkToFit="1"/>
    </xf>
    <xf numFmtId="164" fontId="2" fillId="6" borderId="5" xfId="1" applyFont="1" applyFill="1" applyBorder="1" applyAlignment="1">
      <alignment vertical="center" shrinkToFit="1"/>
    </xf>
    <xf numFmtId="165" fontId="2" fillId="6" borderId="5" xfId="0" applyNumberFormat="1" applyFont="1" applyFill="1" applyBorder="1" applyAlignment="1">
      <alignment vertical="center" shrinkToFit="1"/>
    </xf>
    <xf numFmtId="165" fontId="2" fillId="6" borderId="2" xfId="0" applyNumberFormat="1" applyFont="1" applyFill="1" applyBorder="1" applyAlignment="1">
      <alignment vertical="center" shrinkToFit="1"/>
    </xf>
    <xf numFmtId="165" fontId="2" fillId="6" borderId="1" xfId="0" applyNumberFormat="1" applyFont="1" applyFill="1" applyBorder="1" applyAlignment="1">
      <alignment vertical="center" shrinkToFit="1"/>
    </xf>
    <xf numFmtId="164" fontId="2" fillId="6" borderId="4" xfId="1" applyFont="1" applyFill="1" applyBorder="1" applyAlignment="1">
      <alignment vertical="center" shrinkToFit="1"/>
    </xf>
    <xf numFmtId="164" fontId="2" fillId="6" borderId="6" xfId="2" applyFont="1" applyFill="1" applyBorder="1" applyAlignment="1">
      <alignment vertical="center" shrinkToFit="1"/>
    </xf>
    <xf numFmtId="165" fontId="2" fillId="6" borderId="6" xfId="3" applyNumberFormat="1" applyFont="1" applyFill="1" applyBorder="1" applyAlignment="1">
      <alignment vertical="center" shrinkToFit="1"/>
    </xf>
    <xf numFmtId="165" fontId="2" fillId="6" borderId="7" xfId="3" applyNumberFormat="1" applyFont="1" applyFill="1" applyBorder="1" applyAlignment="1">
      <alignment vertical="center" shrinkToFit="1"/>
    </xf>
    <xf numFmtId="164" fontId="2" fillId="6" borderId="8" xfId="2" applyFont="1" applyFill="1" applyBorder="1" applyAlignment="1">
      <alignment vertical="center" shrinkToFit="1"/>
    </xf>
    <xf numFmtId="0" fontId="3" fillId="3" borderId="0" xfId="0" applyFont="1" applyFill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7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49" fontId="5" fillId="2" borderId="6" xfId="1" applyNumberFormat="1" applyFont="1" applyFill="1" applyBorder="1" applyAlignment="1">
      <alignment horizontal="center" vertical="center" shrinkToFit="1"/>
    </xf>
    <xf numFmtId="164" fontId="5" fillId="2" borderId="6" xfId="1" applyFont="1" applyFill="1" applyBorder="1" applyAlignment="1">
      <alignment vertical="center" shrinkToFit="1"/>
    </xf>
    <xf numFmtId="165" fontId="5" fillId="2" borderId="6" xfId="0" applyNumberFormat="1" applyFont="1" applyFill="1" applyBorder="1" applyAlignment="1">
      <alignment vertical="center" shrinkToFit="1"/>
    </xf>
    <xf numFmtId="164" fontId="5" fillId="2" borderId="5" xfId="1" applyFont="1" applyFill="1" applyBorder="1" applyAlignment="1">
      <alignment vertical="center" shrinkToFit="1"/>
    </xf>
    <xf numFmtId="165" fontId="5" fillId="2" borderId="5" xfId="0" applyNumberFormat="1" applyFont="1" applyFill="1" applyBorder="1" applyAlignment="1">
      <alignment vertical="center" shrinkToFit="1"/>
    </xf>
    <xf numFmtId="49" fontId="5" fillId="5" borderId="6" xfId="1" applyNumberFormat="1" applyFont="1" applyFill="1" applyBorder="1" applyAlignment="1">
      <alignment horizontal="center" vertical="center" shrinkToFit="1"/>
    </xf>
    <xf numFmtId="164" fontId="5" fillId="5" borderId="5" xfId="1" applyFont="1" applyFill="1" applyBorder="1" applyAlignment="1">
      <alignment vertical="center" shrinkToFit="1"/>
    </xf>
    <xf numFmtId="165" fontId="5" fillId="5" borderId="5" xfId="0" applyNumberFormat="1" applyFont="1" applyFill="1" applyBorder="1" applyAlignment="1">
      <alignment vertical="center" shrinkToFit="1"/>
    </xf>
    <xf numFmtId="49" fontId="5" fillId="7" borderId="6" xfId="1" applyNumberFormat="1" applyFont="1" applyFill="1" applyBorder="1" applyAlignment="1">
      <alignment horizontal="center" vertical="center" shrinkToFit="1"/>
    </xf>
    <xf numFmtId="164" fontId="5" fillId="7" borderId="5" xfId="1" applyFont="1" applyFill="1" applyBorder="1" applyAlignment="1">
      <alignment vertical="center" shrinkToFit="1"/>
    </xf>
    <xf numFmtId="165" fontId="5" fillId="7" borderId="5" xfId="0" applyNumberFormat="1" applyFont="1" applyFill="1" applyBorder="1" applyAlignment="1">
      <alignment vertical="center" shrinkToFit="1"/>
    </xf>
    <xf numFmtId="164" fontId="5" fillId="7" borderId="6" xfId="2" applyFont="1" applyFill="1" applyBorder="1" applyAlignment="1">
      <alignment vertical="center" shrinkToFit="1"/>
    </xf>
    <xf numFmtId="165" fontId="5" fillId="7" borderId="6" xfId="3" applyNumberFormat="1" applyFont="1" applyFill="1" applyBorder="1" applyAlignment="1">
      <alignment vertical="center" shrinkToFit="1"/>
    </xf>
    <xf numFmtId="164" fontId="5" fillId="2" borderId="5" xfId="2" applyFont="1" applyFill="1" applyBorder="1" applyAlignment="1">
      <alignment vertical="center" shrinkToFit="1"/>
    </xf>
    <xf numFmtId="165" fontId="5" fillId="2" borderId="5" xfId="3" applyNumberFormat="1" applyFont="1" applyFill="1" applyBorder="1" applyAlignment="1">
      <alignment vertical="center" shrinkToFit="1"/>
    </xf>
    <xf numFmtId="164" fontId="5" fillId="5" borderId="5" xfId="2" applyFont="1" applyFill="1" applyBorder="1" applyAlignment="1">
      <alignment vertical="center" shrinkToFit="1"/>
    </xf>
    <xf numFmtId="165" fontId="5" fillId="5" borderId="5" xfId="3" applyNumberFormat="1" applyFont="1" applyFill="1" applyBorder="1" applyAlignment="1">
      <alignment vertical="center" shrinkToFit="1"/>
    </xf>
    <xf numFmtId="164" fontId="5" fillId="7" borderId="5" xfId="2" applyFont="1" applyFill="1" applyBorder="1" applyAlignment="1">
      <alignment vertical="center" shrinkToFit="1"/>
    </xf>
    <xf numFmtId="165" fontId="5" fillId="7" borderId="5" xfId="3" applyNumberFormat="1" applyFont="1" applyFill="1" applyBorder="1" applyAlignment="1">
      <alignment vertical="center" shrinkToFit="1"/>
    </xf>
  </cellXfs>
  <cellStyles count="4">
    <cellStyle name="Comma [0]" xfId="1" builtinId="6"/>
    <cellStyle name="Comma [0] 3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iem.dao/Downloads/Product%20+%20Classif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>
        <row r="4">
          <cell r="E4" t="str">
            <v>A9K-CORE2.BIGQLGF</v>
          </cell>
          <cell r="F4">
            <v>0</v>
          </cell>
          <cell r="G4">
            <v>0</v>
          </cell>
          <cell r="H4">
            <v>15</v>
          </cell>
          <cell r="I4">
            <v>15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 t="str">
            <v/>
          </cell>
          <cell r="AH4" t="str">
            <v/>
          </cell>
          <cell r="AI4" t="str">
            <v/>
          </cell>
          <cell r="AJ4" t="str">
            <v/>
          </cell>
          <cell r="AK4" t="str">
            <v>0.045438</v>
          </cell>
          <cell r="AL4" t="str">
            <v>1</v>
          </cell>
          <cell r="AM4" t="str">
            <v>F</v>
          </cell>
          <cell r="AN4" t="str">
            <v>M0</v>
          </cell>
          <cell r="AO4" t="str">
            <v>Active(Model)</v>
          </cell>
          <cell r="AP4" t="str">
            <v/>
          </cell>
          <cell r="AQ4" t="str">
            <v/>
          </cell>
          <cell r="AR4" t="str">
            <v>Y</v>
          </cell>
          <cell r="AS4" t="str">
            <v/>
          </cell>
          <cell r="AT4" t="str">
            <v>VC</v>
          </cell>
          <cell r="AU4" t="str">
            <v>Vacuum Cleaner</v>
          </cell>
          <cell r="AV4" t="str">
            <v>VCVC</v>
          </cell>
          <cell r="AW4" t="str">
            <v>Vacuum Cleaner</v>
          </cell>
          <cell r="AX4" t="str">
            <v>VCVCHS</v>
          </cell>
          <cell r="AY4" t="str">
            <v>H/Stick</v>
          </cell>
          <cell r="AZ4" t="str">
            <v>VCVCHSCL</v>
          </cell>
          <cell r="BA4" t="str">
            <v>H/Stick(Cordless)</v>
          </cell>
        </row>
        <row r="5">
          <cell r="E5" t="str">
            <v>A9K-LITE1C.BCBQEUR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1</v>
          </cell>
          <cell r="AG5" t="str">
            <v/>
          </cell>
          <cell r="AH5" t="str">
            <v/>
          </cell>
          <cell r="AI5" t="str">
            <v/>
          </cell>
          <cell r="AJ5" t="str">
            <v/>
          </cell>
          <cell r="AK5" t="str">
            <v>0.040053</v>
          </cell>
          <cell r="AL5" t="str">
            <v>1</v>
          </cell>
          <cell r="AM5" t="str">
            <v>F</v>
          </cell>
          <cell r="AN5" t="str">
            <v>M0</v>
          </cell>
          <cell r="AO5" t="str">
            <v>Active(Model)</v>
          </cell>
          <cell r="AP5" t="str">
            <v/>
          </cell>
          <cell r="AQ5" t="str">
            <v/>
          </cell>
          <cell r="AR5" t="str">
            <v>Y</v>
          </cell>
          <cell r="AS5" t="str">
            <v/>
          </cell>
          <cell r="AT5" t="str">
            <v>VC</v>
          </cell>
          <cell r="AU5" t="str">
            <v>Vacuum Cleaner</v>
          </cell>
          <cell r="AV5" t="str">
            <v>VCVC</v>
          </cell>
          <cell r="AW5" t="str">
            <v>Vacuum Cleaner</v>
          </cell>
          <cell r="AX5" t="str">
            <v>VCVCHS</v>
          </cell>
          <cell r="AY5" t="str">
            <v>H/Stick</v>
          </cell>
          <cell r="AZ5" t="str">
            <v>VCVCHSCL</v>
          </cell>
          <cell r="BA5" t="str">
            <v>H/Stick(Cordless)</v>
          </cell>
        </row>
        <row r="6">
          <cell r="E6" t="str">
            <v>A9K-PROPLUS.BBBQLTK</v>
          </cell>
          <cell r="F6">
            <v>1</v>
          </cell>
          <cell r="G6">
            <v>0</v>
          </cell>
          <cell r="H6">
            <v>0</v>
          </cell>
          <cell r="I6">
            <v>1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>0.066426</v>
          </cell>
          <cell r="AL6" t="str">
            <v>1</v>
          </cell>
          <cell r="AM6" t="str">
            <v>F</v>
          </cell>
          <cell r="AN6" t="str">
            <v>M0</v>
          </cell>
          <cell r="AO6" t="str">
            <v>Active(Model)</v>
          </cell>
          <cell r="AP6" t="str">
            <v/>
          </cell>
          <cell r="AQ6" t="str">
            <v/>
          </cell>
          <cell r="AR6" t="str">
            <v>Y</v>
          </cell>
          <cell r="AS6" t="str">
            <v/>
          </cell>
          <cell r="AT6" t="str">
            <v>VC</v>
          </cell>
          <cell r="AU6" t="str">
            <v>Vacuum Cleaner</v>
          </cell>
          <cell r="AV6" t="str">
            <v>VCVC</v>
          </cell>
          <cell r="AW6" t="str">
            <v>Vacuum Cleaner</v>
          </cell>
          <cell r="AX6" t="str">
            <v>VCVCHS</v>
          </cell>
          <cell r="AY6" t="str">
            <v>H/Stick</v>
          </cell>
          <cell r="AZ6" t="str">
            <v>VCVCHSCL</v>
          </cell>
          <cell r="BA6" t="str">
            <v>H/Stick(Cordless)</v>
          </cell>
        </row>
        <row r="7">
          <cell r="E7" t="str">
            <v>A9K-SOLO.BFSQEMC</v>
          </cell>
          <cell r="F7">
            <v>0</v>
          </cell>
          <cell r="G7">
            <v>0</v>
          </cell>
          <cell r="H7">
            <v>1</v>
          </cell>
          <cell r="I7">
            <v>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>0.044957</v>
          </cell>
          <cell r="AL7" t="str">
            <v>1</v>
          </cell>
          <cell r="AM7" t="str">
            <v>F</v>
          </cell>
          <cell r="AN7" t="str">
            <v>M0</v>
          </cell>
          <cell r="AO7" t="str">
            <v>Active(Model)</v>
          </cell>
          <cell r="AP7" t="str">
            <v/>
          </cell>
          <cell r="AQ7" t="str">
            <v/>
          </cell>
          <cell r="AR7" t="str">
            <v>Y</v>
          </cell>
          <cell r="AS7" t="str">
            <v/>
          </cell>
          <cell r="AT7" t="str">
            <v>VC</v>
          </cell>
          <cell r="AU7" t="str">
            <v>Vacuum Cleaner</v>
          </cell>
          <cell r="AV7" t="str">
            <v>VCVC</v>
          </cell>
          <cell r="AW7" t="str">
            <v>Vacuum Cleaner</v>
          </cell>
          <cell r="AX7" t="str">
            <v>VCVCHS</v>
          </cell>
          <cell r="AY7" t="str">
            <v>H/Stick</v>
          </cell>
          <cell r="AZ7" t="str">
            <v>VCVCHSCL</v>
          </cell>
          <cell r="BA7" t="str">
            <v>H/Stick(Cordless)</v>
          </cell>
        </row>
        <row r="8">
          <cell r="E8" t="str">
            <v>A9L-TOWER2.DEGRLAP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900</v>
          </cell>
          <cell r="O8">
            <v>0</v>
          </cell>
          <cell r="P8">
            <v>900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>0.143952</v>
          </cell>
          <cell r="AL8" t="str">
            <v>1</v>
          </cell>
          <cell r="AM8" t="str">
            <v>F</v>
          </cell>
          <cell r="AN8" t="str">
            <v>M0</v>
          </cell>
          <cell r="AO8" t="str">
            <v>Active(Model)</v>
          </cell>
          <cell r="AP8" t="str">
            <v/>
          </cell>
          <cell r="AQ8" t="str">
            <v/>
          </cell>
          <cell r="AR8" t="str">
            <v>Y</v>
          </cell>
          <cell r="AS8" t="str">
            <v/>
          </cell>
          <cell r="AT8" t="str">
            <v>VC</v>
          </cell>
          <cell r="AU8" t="str">
            <v>Vacuum Cleaner</v>
          </cell>
          <cell r="AV8" t="str">
            <v>VCVC</v>
          </cell>
          <cell r="AW8" t="str">
            <v>Vacuum Cleaner</v>
          </cell>
          <cell r="AX8" t="str">
            <v>VCVCHS</v>
          </cell>
          <cell r="AY8" t="str">
            <v>H/Stick</v>
          </cell>
          <cell r="AZ8" t="str">
            <v>VCVCHSCL</v>
          </cell>
          <cell r="BA8" t="str">
            <v>H/Stick(Cordless)</v>
          </cell>
        </row>
        <row r="9">
          <cell r="E9" t="str">
            <v>A9X-AUTO.DEGBLTT</v>
          </cell>
          <cell r="F9">
            <v>273</v>
          </cell>
          <cell r="G9">
            <v>0</v>
          </cell>
          <cell r="H9">
            <v>0</v>
          </cell>
          <cell r="I9">
            <v>273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30</v>
          </cell>
          <cell r="O9">
            <v>0</v>
          </cell>
          <cell r="P9">
            <v>30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>0.150000</v>
          </cell>
          <cell r="AL9" t="str">
            <v>1</v>
          </cell>
          <cell r="AM9" t="str">
            <v>F</v>
          </cell>
          <cell r="AN9" t="str">
            <v>M0</v>
          </cell>
          <cell r="AO9" t="str">
            <v>Active(Model)</v>
          </cell>
          <cell r="AP9" t="str">
            <v/>
          </cell>
          <cell r="AQ9" t="str">
            <v/>
          </cell>
          <cell r="AR9" t="str">
            <v>Y</v>
          </cell>
          <cell r="AS9" t="str">
            <v/>
          </cell>
          <cell r="AT9" t="str">
            <v>VC</v>
          </cell>
          <cell r="AU9" t="str">
            <v>Vacuum Cleaner</v>
          </cell>
          <cell r="AV9" t="str">
            <v>VCVC</v>
          </cell>
          <cell r="AW9" t="str">
            <v>Vacuum Cleaner</v>
          </cell>
          <cell r="AX9" t="str">
            <v>VCVCHS</v>
          </cell>
          <cell r="AY9" t="str">
            <v>H/Stick</v>
          </cell>
          <cell r="AZ9" t="str">
            <v>VCVCHSCL</v>
          </cell>
          <cell r="BA9" t="str">
            <v>H/Stick(Cordless)</v>
          </cell>
        </row>
        <row r="10">
          <cell r="E10" t="str">
            <v>A9X-AUTO2.DCBRLAP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200</v>
          </cell>
          <cell r="O10">
            <v>0</v>
          </cell>
          <cell r="P10">
            <v>200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>0.158400</v>
          </cell>
          <cell r="AL10" t="str">
            <v>1</v>
          </cell>
          <cell r="AM10" t="str">
            <v>F</v>
          </cell>
          <cell r="AN10" t="str">
            <v>M0</v>
          </cell>
          <cell r="AO10" t="str">
            <v>Active(Model)</v>
          </cell>
          <cell r="AP10" t="str">
            <v/>
          </cell>
          <cell r="AQ10" t="str">
            <v/>
          </cell>
          <cell r="AR10" t="str">
            <v>Y</v>
          </cell>
          <cell r="AS10" t="str">
            <v/>
          </cell>
          <cell r="AT10" t="str">
            <v>VC</v>
          </cell>
          <cell r="AU10" t="str">
            <v>Vacuum Cleaner</v>
          </cell>
          <cell r="AV10" t="str">
            <v>VCVC</v>
          </cell>
          <cell r="AW10" t="str">
            <v>Vacuum Cleaner</v>
          </cell>
          <cell r="AX10" t="str">
            <v>VCVCHS</v>
          </cell>
          <cell r="AY10" t="str">
            <v>H/Stick</v>
          </cell>
          <cell r="AZ10" t="str">
            <v>VCVCHSCL</v>
          </cell>
          <cell r="BA10" t="str">
            <v>H/Stick(Cordless)</v>
          </cell>
        </row>
        <row r="11">
          <cell r="E11" t="str">
            <v>A9X-STEAM.DCBBLTT</v>
          </cell>
          <cell r="F11">
            <v>99</v>
          </cell>
          <cell r="G11">
            <v>0</v>
          </cell>
          <cell r="H11">
            <v>0</v>
          </cell>
          <cell r="I11">
            <v>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>0.150000</v>
          </cell>
          <cell r="AL11" t="str">
            <v>1</v>
          </cell>
          <cell r="AM11" t="str">
            <v>F</v>
          </cell>
          <cell r="AN11" t="str">
            <v>M0</v>
          </cell>
          <cell r="AO11" t="str">
            <v>Active(Model)</v>
          </cell>
          <cell r="AP11" t="str">
            <v/>
          </cell>
          <cell r="AQ11" t="str">
            <v/>
          </cell>
          <cell r="AR11" t="str">
            <v>Y</v>
          </cell>
          <cell r="AS11" t="str">
            <v/>
          </cell>
          <cell r="AT11" t="str">
            <v>VC</v>
          </cell>
          <cell r="AU11" t="str">
            <v>Vacuum Cleaner</v>
          </cell>
          <cell r="AV11" t="str">
            <v>VCVC</v>
          </cell>
          <cell r="AW11" t="str">
            <v>Vacuum Cleaner</v>
          </cell>
          <cell r="AX11" t="str">
            <v>VCVCHS</v>
          </cell>
          <cell r="AY11" t="str">
            <v>H/Stick</v>
          </cell>
          <cell r="AZ11" t="str">
            <v>VCVCHSCL</v>
          </cell>
          <cell r="BA11" t="str">
            <v>H/Stick(Cordless)</v>
          </cell>
        </row>
        <row r="12">
          <cell r="E12" t="str">
            <v>A9X-ULTRA.DEGGNAG</v>
          </cell>
          <cell r="F12">
            <v>1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>0.132746</v>
          </cell>
          <cell r="AL12" t="str">
            <v>1</v>
          </cell>
          <cell r="AM12" t="str">
            <v>F</v>
          </cell>
          <cell r="AN12" t="str">
            <v>M0</v>
          </cell>
          <cell r="AO12" t="str">
            <v>Active(Model)</v>
          </cell>
          <cell r="AP12" t="str">
            <v/>
          </cell>
          <cell r="AQ12" t="str">
            <v/>
          </cell>
          <cell r="AR12" t="str">
            <v>Y</v>
          </cell>
          <cell r="AS12" t="str">
            <v/>
          </cell>
          <cell r="AT12" t="str">
            <v>VC</v>
          </cell>
          <cell r="AU12" t="str">
            <v>Vacuum Cleaner</v>
          </cell>
          <cell r="AV12" t="str">
            <v>VCVC</v>
          </cell>
          <cell r="AW12" t="str">
            <v>Vacuum Cleaner</v>
          </cell>
          <cell r="AX12" t="str">
            <v>VCVCHS</v>
          </cell>
          <cell r="AY12" t="str">
            <v>H/Stick</v>
          </cell>
          <cell r="AZ12" t="str">
            <v>VCVCHSCL</v>
          </cell>
          <cell r="BA12" t="str">
            <v>H/Stick(Cordless)</v>
          </cell>
        </row>
        <row r="13">
          <cell r="E13" t="str">
            <v>A9X-ULTRA2.DEGRLAP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210</v>
          </cell>
          <cell r="O13">
            <v>0</v>
          </cell>
          <cell r="P13">
            <v>210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>0.158400</v>
          </cell>
          <cell r="AL13" t="str">
            <v>1</v>
          </cell>
          <cell r="AM13" t="str">
            <v>F</v>
          </cell>
          <cell r="AN13" t="str">
            <v>M0</v>
          </cell>
          <cell r="AO13" t="str">
            <v>Active(Model)</v>
          </cell>
          <cell r="AP13" t="str">
            <v/>
          </cell>
          <cell r="AQ13" t="str">
            <v/>
          </cell>
          <cell r="AR13" t="str">
            <v>Y</v>
          </cell>
          <cell r="AS13" t="str">
            <v/>
          </cell>
          <cell r="AT13" t="str">
            <v>VC</v>
          </cell>
          <cell r="AU13" t="str">
            <v>Vacuum Cleaner</v>
          </cell>
          <cell r="AV13" t="str">
            <v>VCVC</v>
          </cell>
          <cell r="AW13" t="str">
            <v>Vacuum Cleaner</v>
          </cell>
          <cell r="AX13" t="str">
            <v>VCVCHS</v>
          </cell>
          <cell r="AY13" t="str">
            <v>H/Stick</v>
          </cell>
          <cell r="AZ13" t="str">
            <v>VCVCHSCL</v>
          </cell>
          <cell r="BA13" t="str">
            <v>H/Stick(Cordless)</v>
          </cell>
        </row>
        <row r="14">
          <cell r="E14" t="str">
            <v>A9X-ULTRA2G.DCGRLAP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190</v>
          </cell>
          <cell r="O14">
            <v>0</v>
          </cell>
          <cell r="P14">
            <v>190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>0.158400</v>
          </cell>
          <cell r="AL14" t="str">
            <v>1</v>
          </cell>
          <cell r="AM14" t="str">
            <v>F</v>
          </cell>
          <cell r="AN14" t="str">
            <v>M0</v>
          </cell>
          <cell r="AO14" t="str">
            <v>Active(Model)</v>
          </cell>
          <cell r="AP14" t="str">
            <v/>
          </cell>
          <cell r="AQ14" t="str">
            <v/>
          </cell>
          <cell r="AR14" t="str">
            <v>Y</v>
          </cell>
          <cell r="AS14" t="str">
            <v/>
          </cell>
          <cell r="AT14" t="str">
            <v>VC</v>
          </cell>
          <cell r="AU14" t="str">
            <v>Vacuum Cleaner</v>
          </cell>
          <cell r="AV14" t="str">
            <v>VCVC</v>
          </cell>
          <cell r="AW14" t="str">
            <v>Vacuum Cleaner</v>
          </cell>
          <cell r="AX14" t="str">
            <v>VCVCHS</v>
          </cell>
          <cell r="AY14" t="str">
            <v>H/Stick</v>
          </cell>
          <cell r="AZ14" t="str">
            <v>VCVCHSCL</v>
          </cell>
          <cell r="BA14" t="str">
            <v>H/Stick(Cordless)</v>
          </cell>
        </row>
        <row r="15">
          <cell r="E15" t="str">
            <v>ASGMBBDG3D1.BKRBP27</v>
          </cell>
          <cell r="F15">
            <v>100</v>
          </cell>
          <cell r="G15">
            <v>0</v>
          </cell>
          <cell r="H15">
            <v>0</v>
          </cell>
          <cell r="I15">
            <v>100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 t="str">
            <v/>
          </cell>
          <cell r="AH15" t="str">
            <v/>
          </cell>
          <cell r="AI15" t="str">
            <v>KR18P11064190</v>
          </cell>
          <cell r="AJ15" t="str">
            <v>ASGMBBDG3D1.ARFQ</v>
          </cell>
          <cell r="AK15" t="str">
            <v>0.005376</v>
          </cell>
          <cell r="AL15" t="str">
            <v>1</v>
          </cell>
          <cell r="AM15" t="str">
            <v>F</v>
          </cell>
          <cell r="AN15" t="str">
            <v>M0</v>
          </cell>
          <cell r="AO15" t="str">
            <v>Active(Model)</v>
          </cell>
          <cell r="AP15" t="str">
            <v/>
          </cell>
          <cell r="AQ15" t="str">
            <v/>
          </cell>
          <cell r="AR15" t="str">
            <v>Y</v>
          </cell>
          <cell r="AS15" t="str">
            <v/>
          </cell>
          <cell r="AT15" t="str">
            <v>IN</v>
          </cell>
          <cell r="AU15" t="str">
            <v>Infotainment</v>
          </cell>
          <cell r="AV15" t="str">
            <v>INAV</v>
          </cell>
          <cell r="AW15" t="str">
            <v>AV/AVN</v>
          </cell>
          <cell r="AX15" t="str">
            <v>INAVAV</v>
          </cell>
          <cell r="AY15" t="str">
            <v>AV</v>
          </cell>
          <cell r="AZ15" t="str">
            <v>INAVAVVS</v>
          </cell>
          <cell r="BA15" t="str">
            <v>AV Silver Box</v>
          </cell>
        </row>
        <row r="16">
          <cell r="E16" t="str">
            <v>ASGMBBDG3D3.BKRBP27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208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 t="str">
            <v/>
          </cell>
          <cell r="AH16" t="str">
            <v/>
          </cell>
          <cell r="AI16" t="str">
            <v>KR18P11064190</v>
          </cell>
          <cell r="AJ16" t="str">
            <v>ASGMBBDG3D3.ARFQ</v>
          </cell>
          <cell r="AK16" t="str">
            <v>0.005376</v>
          </cell>
          <cell r="AL16" t="str">
            <v>1</v>
          </cell>
          <cell r="AM16" t="str">
            <v>F</v>
          </cell>
          <cell r="AN16" t="str">
            <v>M0</v>
          </cell>
          <cell r="AO16" t="str">
            <v>Active(Model)</v>
          </cell>
          <cell r="AP16" t="str">
            <v/>
          </cell>
          <cell r="AQ16" t="str">
            <v/>
          </cell>
          <cell r="AR16" t="str">
            <v>Y</v>
          </cell>
          <cell r="AS16" t="str">
            <v/>
          </cell>
          <cell r="AT16" t="str">
            <v>IN</v>
          </cell>
          <cell r="AU16" t="str">
            <v>Infotainment</v>
          </cell>
          <cell r="AV16" t="str">
            <v>INAV</v>
          </cell>
          <cell r="AW16" t="str">
            <v>AV/AVN</v>
          </cell>
          <cell r="AX16" t="str">
            <v>INAVAV</v>
          </cell>
          <cell r="AY16" t="str">
            <v>AV</v>
          </cell>
          <cell r="AZ16" t="str">
            <v>INAVAVVS</v>
          </cell>
          <cell r="BA16" t="str">
            <v>AV Silver Box</v>
          </cell>
        </row>
        <row r="17">
          <cell r="E17" t="str">
            <v>ASGMBBDG3D3.BKRCW27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 t="str">
            <v/>
          </cell>
          <cell r="AH17" t="str">
            <v/>
          </cell>
          <cell r="AI17" t="str">
            <v>KR18P11064190</v>
          </cell>
          <cell r="AJ17" t="str">
            <v>ASGMBBDG3D3.ARFQ</v>
          </cell>
          <cell r="AK17" t="str">
            <v>0.005376</v>
          </cell>
          <cell r="AL17" t="str">
            <v>1</v>
          </cell>
          <cell r="AM17" t="str">
            <v>F</v>
          </cell>
          <cell r="AN17" t="str">
            <v>M0</v>
          </cell>
          <cell r="AO17" t="str">
            <v>Active(Model)</v>
          </cell>
          <cell r="AP17" t="str">
            <v/>
          </cell>
          <cell r="AQ17" t="str">
            <v/>
          </cell>
          <cell r="AR17" t="str">
            <v>Y</v>
          </cell>
          <cell r="AS17" t="str">
            <v/>
          </cell>
          <cell r="AT17" t="str">
            <v>IN</v>
          </cell>
          <cell r="AU17" t="str">
            <v>Infotainment</v>
          </cell>
          <cell r="AV17" t="str">
            <v>INAV</v>
          </cell>
          <cell r="AW17" t="str">
            <v>AV/AVN</v>
          </cell>
          <cell r="AX17" t="str">
            <v>INAVAV</v>
          </cell>
          <cell r="AY17" t="str">
            <v>AV</v>
          </cell>
          <cell r="AZ17" t="str">
            <v>INAVAVVS</v>
          </cell>
          <cell r="BA17" t="str">
            <v>AV Silver Box</v>
          </cell>
        </row>
        <row r="18">
          <cell r="E18" t="str">
            <v>ASGMBBDG4D1.BBRSC27</v>
          </cell>
          <cell r="F18">
            <v>1192</v>
          </cell>
          <cell r="G18">
            <v>0</v>
          </cell>
          <cell r="H18">
            <v>0</v>
          </cell>
          <cell r="I18">
            <v>1192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 t="str">
            <v/>
          </cell>
          <cell r="AH18" t="str">
            <v/>
          </cell>
          <cell r="AI18" t="str">
            <v>KR18P11064190</v>
          </cell>
          <cell r="AJ18" t="str">
            <v>ASGMBBDG4D1.ARFQ</v>
          </cell>
          <cell r="AK18" t="str">
            <v>0.005414</v>
          </cell>
          <cell r="AL18" t="str">
            <v>1</v>
          </cell>
          <cell r="AM18" t="str">
            <v>F</v>
          </cell>
          <cell r="AN18" t="str">
            <v>M0</v>
          </cell>
          <cell r="AO18" t="str">
            <v>Active(Model)</v>
          </cell>
          <cell r="AP18" t="str">
            <v/>
          </cell>
          <cell r="AQ18" t="str">
            <v/>
          </cell>
          <cell r="AR18" t="str">
            <v>Y</v>
          </cell>
          <cell r="AS18" t="str">
            <v/>
          </cell>
          <cell r="AT18" t="str">
            <v>IN</v>
          </cell>
          <cell r="AU18" t="str">
            <v>Infotainment</v>
          </cell>
          <cell r="AV18" t="str">
            <v>INAV</v>
          </cell>
          <cell r="AW18" t="str">
            <v>AV/AVN</v>
          </cell>
          <cell r="AX18" t="str">
            <v>INAVAV</v>
          </cell>
          <cell r="AY18" t="str">
            <v>AV</v>
          </cell>
          <cell r="AZ18" t="str">
            <v>INAVAVVS</v>
          </cell>
          <cell r="BA18" t="str">
            <v>AV Silver Box</v>
          </cell>
        </row>
        <row r="19">
          <cell r="E19" t="str">
            <v>ASGMBBDG4D1.BBRSJ26</v>
          </cell>
          <cell r="F19">
            <v>2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/>
          </cell>
          <cell r="AH19" t="str">
            <v/>
          </cell>
          <cell r="AI19" t="str">
            <v>KR18P11064190</v>
          </cell>
          <cell r="AJ19" t="str">
            <v>ASGMBBDG4D1.ARFQ</v>
          </cell>
          <cell r="AK19" t="str">
            <v>0.005414</v>
          </cell>
          <cell r="AL19" t="str">
            <v>1</v>
          </cell>
          <cell r="AM19" t="str">
            <v>F</v>
          </cell>
          <cell r="AN19" t="str">
            <v>M0</v>
          </cell>
          <cell r="AO19" t="str">
            <v>Active(Model)</v>
          </cell>
          <cell r="AP19" t="str">
            <v/>
          </cell>
          <cell r="AQ19" t="str">
            <v/>
          </cell>
          <cell r="AR19" t="str">
            <v>Y</v>
          </cell>
          <cell r="AS19" t="str">
            <v/>
          </cell>
          <cell r="AT19" t="str">
            <v>IN</v>
          </cell>
          <cell r="AU19" t="str">
            <v>Infotainment</v>
          </cell>
          <cell r="AV19" t="str">
            <v>INAV</v>
          </cell>
          <cell r="AW19" t="str">
            <v>AV/AVN</v>
          </cell>
          <cell r="AX19" t="str">
            <v>INAVAV</v>
          </cell>
          <cell r="AY19" t="str">
            <v>AV</v>
          </cell>
          <cell r="AZ19" t="str">
            <v>INAVAVVS</v>
          </cell>
          <cell r="BA19" t="str">
            <v>AV Silver Box</v>
          </cell>
        </row>
        <row r="20">
          <cell r="E20" t="str">
            <v>ASGMBBDG4D1.BBRSJ27</v>
          </cell>
          <cell r="F20">
            <v>1580</v>
          </cell>
          <cell r="G20">
            <v>0</v>
          </cell>
          <cell r="H20">
            <v>0</v>
          </cell>
          <cell r="I20">
            <v>1580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 t="str">
            <v/>
          </cell>
          <cell r="AH20" t="str">
            <v/>
          </cell>
          <cell r="AI20" t="str">
            <v>KR18P11064190</v>
          </cell>
          <cell r="AJ20" t="str">
            <v>ASGMBBDG4D1.ARFQ</v>
          </cell>
          <cell r="AK20" t="str">
            <v>0.005414</v>
          </cell>
          <cell r="AL20" t="str">
            <v>1</v>
          </cell>
          <cell r="AM20" t="str">
            <v>F</v>
          </cell>
          <cell r="AN20" t="str">
            <v>M0</v>
          </cell>
          <cell r="AO20" t="str">
            <v>Active(Model)</v>
          </cell>
          <cell r="AP20" t="str">
            <v/>
          </cell>
          <cell r="AQ20" t="str">
            <v/>
          </cell>
          <cell r="AR20" t="str">
            <v>Y</v>
          </cell>
          <cell r="AS20" t="str">
            <v/>
          </cell>
          <cell r="AT20" t="str">
            <v>IN</v>
          </cell>
          <cell r="AU20" t="str">
            <v>Infotainment</v>
          </cell>
          <cell r="AV20" t="str">
            <v>INAV</v>
          </cell>
          <cell r="AW20" t="str">
            <v>AV/AVN</v>
          </cell>
          <cell r="AX20" t="str">
            <v>INAVAV</v>
          </cell>
          <cell r="AY20" t="str">
            <v>AV</v>
          </cell>
          <cell r="AZ20" t="str">
            <v>INAVAVVS</v>
          </cell>
          <cell r="BA20" t="str">
            <v>AV Silver Box</v>
          </cell>
        </row>
        <row r="21">
          <cell r="E21" t="str">
            <v>ASGMBBDG5F1.BBRRO05</v>
          </cell>
          <cell r="F21">
            <v>637</v>
          </cell>
          <cell r="G21">
            <v>0</v>
          </cell>
          <cell r="H21">
            <v>0</v>
          </cell>
          <cell r="I21">
            <v>637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 t="str">
            <v/>
          </cell>
          <cell r="AH21" t="str">
            <v/>
          </cell>
          <cell r="AI21" t="str">
            <v>KR18P11064190</v>
          </cell>
          <cell r="AJ21" t="str">
            <v>ASGMBBDG5F1.ARFQ</v>
          </cell>
          <cell r="AK21" t="str">
            <v>0.005414</v>
          </cell>
          <cell r="AL21" t="str">
            <v>1</v>
          </cell>
          <cell r="AM21" t="str">
            <v>F</v>
          </cell>
          <cell r="AN21" t="str">
            <v>M0</v>
          </cell>
          <cell r="AO21" t="str">
            <v>Active(Model)</v>
          </cell>
          <cell r="AP21" t="str">
            <v/>
          </cell>
          <cell r="AQ21" t="str">
            <v/>
          </cell>
          <cell r="AR21" t="str">
            <v>Y</v>
          </cell>
          <cell r="AS21" t="str">
            <v/>
          </cell>
          <cell r="AT21" t="str">
            <v>IN</v>
          </cell>
          <cell r="AU21" t="str">
            <v>Infotainment</v>
          </cell>
          <cell r="AV21" t="str">
            <v>INAV</v>
          </cell>
          <cell r="AW21" t="str">
            <v>AV/AVN</v>
          </cell>
          <cell r="AX21" t="str">
            <v>INAVAV</v>
          </cell>
          <cell r="AY21" t="str">
            <v>AV</v>
          </cell>
          <cell r="AZ21" t="str">
            <v>INAVAVVS</v>
          </cell>
          <cell r="BA21" t="str">
            <v>AV Silver Box</v>
          </cell>
        </row>
        <row r="22">
          <cell r="E22" t="str">
            <v>ASGMBFDG3D1.BKRBP27</v>
          </cell>
          <cell r="F22">
            <v>3839</v>
          </cell>
          <cell r="G22">
            <v>0</v>
          </cell>
          <cell r="H22">
            <v>0</v>
          </cell>
          <cell r="I22">
            <v>3839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960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 t="str">
            <v/>
          </cell>
          <cell r="AH22" t="str">
            <v/>
          </cell>
          <cell r="AI22" t="str">
            <v>KR18P11064190</v>
          </cell>
          <cell r="AJ22" t="str">
            <v>ASGMBFDG3D1.ARFQ</v>
          </cell>
          <cell r="AK22" t="str">
            <v>0.005376</v>
          </cell>
          <cell r="AL22" t="str">
            <v>1</v>
          </cell>
          <cell r="AM22" t="str">
            <v>F</v>
          </cell>
          <cell r="AN22" t="str">
            <v>M0</v>
          </cell>
          <cell r="AO22" t="str">
            <v>Active(Model)</v>
          </cell>
          <cell r="AP22" t="str">
            <v/>
          </cell>
          <cell r="AQ22" t="str">
            <v/>
          </cell>
          <cell r="AR22" t="str">
            <v>Y</v>
          </cell>
          <cell r="AS22" t="str">
            <v/>
          </cell>
          <cell r="AT22" t="str">
            <v>IN</v>
          </cell>
          <cell r="AU22" t="str">
            <v>Infotainment</v>
          </cell>
          <cell r="AV22" t="str">
            <v>INAV</v>
          </cell>
          <cell r="AW22" t="str">
            <v>AV/AVN</v>
          </cell>
          <cell r="AX22" t="str">
            <v>INAVAV</v>
          </cell>
          <cell r="AY22" t="str">
            <v>AV</v>
          </cell>
          <cell r="AZ22" t="str">
            <v>INAVAVVS</v>
          </cell>
          <cell r="BA22" t="str">
            <v>AV Silver Box</v>
          </cell>
        </row>
        <row r="23">
          <cell r="E23" t="str">
            <v>ASGMBFDG3D3.BKRBP27</v>
          </cell>
          <cell r="F23">
            <v>438</v>
          </cell>
          <cell r="G23">
            <v>0</v>
          </cell>
          <cell r="H23">
            <v>0</v>
          </cell>
          <cell r="I23">
            <v>438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3072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str">
            <v/>
          </cell>
          <cell r="AH23" t="str">
            <v/>
          </cell>
          <cell r="AI23" t="str">
            <v>KR18P11064190</v>
          </cell>
          <cell r="AJ23" t="str">
            <v>ASGMBFDG3D3.ARFQ</v>
          </cell>
          <cell r="AK23" t="str">
            <v>0.005376</v>
          </cell>
          <cell r="AL23" t="str">
            <v>1</v>
          </cell>
          <cell r="AM23" t="str">
            <v>F</v>
          </cell>
          <cell r="AN23" t="str">
            <v>M0</v>
          </cell>
          <cell r="AO23" t="str">
            <v>Active(Model)</v>
          </cell>
          <cell r="AP23" t="str">
            <v/>
          </cell>
          <cell r="AQ23" t="str">
            <v/>
          </cell>
          <cell r="AR23" t="str">
            <v>Y</v>
          </cell>
          <cell r="AS23" t="str">
            <v/>
          </cell>
          <cell r="AT23" t="str">
            <v>IN</v>
          </cell>
          <cell r="AU23" t="str">
            <v>Infotainment</v>
          </cell>
          <cell r="AV23" t="str">
            <v>INAV</v>
          </cell>
          <cell r="AW23" t="str">
            <v>AV/AVN</v>
          </cell>
          <cell r="AX23" t="str">
            <v>INAVAV</v>
          </cell>
          <cell r="AY23" t="str">
            <v>AV</v>
          </cell>
          <cell r="AZ23" t="str">
            <v>INAVAVVS</v>
          </cell>
          <cell r="BA23" t="str">
            <v>AV Silver Box</v>
          </cell>
        </row>
        <row r="24">
          <cell r="E24" t="str">
            <v>ASGMBFDG3D3.BKRCW27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3456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/>
          </cell>
          <cell r="AH24" t="str">
            <v/>
          </cell>
          <cell r="AI24" t="str">
            <v>KR18P11064190</v>
          </cell>
          <cell r="AJ24" t="str">
            <v>ASGMBFDG3D3.ARFQ</v>
          </cell>
          <cell r="AK24" t="str">
            <v>0.005376</v>
          </cell>
          <cell r="AL24" t="str">
            <v>1</v>
          </cell>
          <cell r="AM24" t="str">
            <v>F</v>
          </cell>
          <cell r="AN24" t="str">
            <v>M0</v>
          </cell>
          <cell r="AO24" t="str">
            <v>Active(Model)</v>
          </cell>
          <cell r="AP24" t="str">
            <v/>
          </cell>
          <cell r="AQ24" t="str">
            <v/>
          </cell>
          <cell r="AR24" t="str">
            <v>Y</v>
          </cell>
          <cell r="AS24" t="str">
            <v/>
          </cell>
          <cell r="AT24" t="str">
            <v>IN</v>
          </cell>
          <cell r="AU24" t="str">
            <v>Infotainment</v>
          </cell>
          <cell r="AV24" t="str">
            <v>INAV</v>
          </cell>
          <cell r="AW24" t="str">
            <v>AV/AVN</v>
          </cell>
          <cell r="AX24" t="str">
            <v>INAVAV</v>
          </cell>
          <cell r="AY24" t="str">
            <v>AV</v>
          </cell>
          <cell r="AZ24" t="str">
            <v>INAVAVVS</v>
          </cell>
          <cell r="BA24" t="str">
            <v>AV Silver Box</v>
          </cell>
        </row>
        <row r="25">
          <cell r="E25" t="str">
            <v>ASNSCBRG1D1.BJPPCQ3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52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 t="str">
            <v/>
          </cell>
          <cell r="AH25" t="str">
            <v/>
          </cell>
          <cell r="AI25" t="str">
            <v>KR21P07291010</v>
          </cell>
          <cell r="AJ25" t="str">
            <v>ASNSCBRG1D1.ARFQ</v>
          </cell>
          <cell r="AK25" t="str">
            <v>0.005760</v>
          </cell>
          <cell r="AL25" t="str">
            <v>1</v>
          </cell>
          <cell r="AM25" t="str">
            <v>F</v>
          </cell>
          <cell r="AN25" t="str">
            <v>M0</v>
          </cell>
          <cell r="AO25" t="str">
            <v>Active(Model)</v>
          </cell>
          <cell r="AP25" t="str">
            <v/>
          </cell>
          <cell r="AQ25" t="str">
            <v/>
          </cell>
          <cell r="AR25" t="str">
            <v>Y</v>
          </cell>
          <cell r="AS25" t="str">
            <v/>
          </cell>
          <cell r="AT25" t="str">
            <v>IN</v>
          </cell>
          <cell r="AU25" t="str">
            <v>Infotainment</v>
          </cell>
          <cell r="AV25" t="str">
            <v>INAV</v>
          </cell>
          <cell r="AW25" t="str">
            <v>AV/AVN</v>
          </cell>
          <cell r="AX25" t="str">
            <v>INAVAV</v>
          </cell>
          <cell r="AY25" t="str">
            <v>AV</v>
          </cell>
          <cell r="AZ25" t="str">
            <v>INAVAVVS</v>
          </cell>
          <cell r="BA25" t="str">
            <v>AV Silver Box</v>
          </cell>
        </row>
        <row r="26">
          <cell r="E26" t="str">
            <v>ASNSCDRG1D1.BGLPRG1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99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 t="str">
            <v/>
          </cell>
          <cell r="AH26" t="str">
            <v/>
          </cell>
          <cell r="AI26" t="str">
            <v>KR21P07291010</v>
          </cell>
          <cell r="AJ26" t="str">
            <v>ASNSCDRG1D1.ARFQ</v>
          </cell>
          <cell r="AK26" t="str">
            <v>0.005760</v>
          </cell>
          <cell r="AL26" t="str">
            <v>1</v>
          </cell>
          <cell r="AM26" t="str">
            <v>F</v>
          </cell>
          <cell r="AN26" t="str">
            <v>M0</v>
          </cell>
          <cell r="AO26" t="str">
            <v>Active(Model)</v>
          </cell>
          <cell r="AP26" t="str">
            <v/>
          </cell>
          <cell r="AQ26" t="str">
            <v/>
          </cell>
          <cell r="AR26" t="str">
            <v>Y</v>
          </cell>
          <cell r="AS26" t="str">
            <v/>
          </cell>
          <cell r="AT26" t="str">
            <v>IN</v>
          </cell>
          <cell r="AU26" t="str">
            <v>Infotainment</v>
          </cell>
          <cell r="AV26" t="str">
            <v>INAV</v>
          </cell>
          <cell r="AW26" t="str">
            <v>AV/AVN</v>
          </cell>
          <cell r="AX26" t="str">
            <v>INAVAV</v>
          </cell>
          <cell r="AY26" t="str">
            <v>AV</v>
          </cell>
          <cell r="AZ26" t="str">
            <v>INAVAVVS</v>
          </cell>
          <cell r="BA26" t="str">
            <v>AV Silver Box</v>
          </cell>
        </row>
        <row r="27">
          <cell r="E27" t="str">
            <v>ASNSCDRG1D1.BWWPAQ2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500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 t="str">
            <v/>
          </cell>
          <cell r="AH27" t="str">
            <v/>
          </cell>
          <cell r="AI27" t="str">
            <v>KR21P07291010</v>
          </cell>
          <cell r="AJ27" t="str">
            <v>ASNSCDRG1D1.ARFQ</v>
          </cell>
          <cell r="AK27" t="str">
            <v>0.005760</v>
          </cell>
          <cell r="AL27" t="str">
            <v>1</v>
          </cell>
          <cell r="AM27" t="str">
            <v>F</v>
          </cell>
          <cell r="AN27" t="str">
            <v>M0</v>
          </cell>
          <cell r="AO27" t="str">
            <v>Active(Model)</v>
          </cell>
          <cell r="AP27" t="str">
            <v/>
          </cell>
          <cell r="AQ27" t="str">
            <v/>
          </cell>
          <cell r="AR27" t="str">
            <v>Y</v>
          </cell>
          <cell r="AS27" t="str">
            <v/>
          </cell>
          <cell r="AT27" t="str">
            <v>IN</v>
          </cell>
          <cell r="AU27" t="str">
            <v>Infotainment</v>
          </cell>
          <cell r="AV27" t="str">
            <v>INAV</v>
          </cell>
          <cell r="AW27" t="str">
            <v>AV/AVN</v>
          </cell>
          <cell r="AX27" t="str">
            <v>INAVAV</v>
          </cell>
          <cell r="AY27" t="str">
            <v>AV</v>
          </cell>
          <cell r="AZ27" t="str">
            <v>INAVAVVS</v>
          </cell>
          <cell r="BA27" t="str">
            <v>AV Silver Box</v>
          </cell>
        </row>
        <row r="28">
          <cell r="E28" t="str">
            <v>ASNSCFRG1D2.BUSPRQ1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str">
            <v/>
          </cell>
          <cell r="AH28" t="str">
            <v/>
          </cell>
          <cell r="AI28" t="str">
            <v>KR21P07291010</v>
          </cell>
          <cell r="AJ28" t="str">
            <v>ASNSCFRG1D2.ARFQ</v>
          </cell>
          <cell r="AK28" t="str">
            <v>0.005760</v>
          </cell>
          <cell r="AL28" t="str">
            <v>1</v>
          </cell>
          <cell r="AM28" t="str">
            <v>F</v>
          </cell>
          <cell r="AN28" t="str">
            <v>M0</v>
          </cell>
          <cell r="AO28" t="str">
            <v>Active(Model)</v>
          </cell>
          <cell r="AP28" t="str">
            <v/>
          </cell>
          <cell r="AQ28" t="str">
            <v/>
          </cell>
          <cell r="AR28" t="str">
            <v>Y</v>
          </cell>
          <cell r="AS28" t="str">
            <v/>
          </cell>
          <cell r="AT28" t="str">
            <v>IN</v>
          </cell>
          <cell r="AU28" t="str">
            <v>Infotainment</v>
          </cell>
          <cell r="AV28" t="str">
            <v>INAV</v>
          </cell>
          <cell r="AW28" t="str">
            <v>AV/AVN</v>
          </cell>
          <cell r="AX28" t="str">
            <v>INAVAV</v>
          </cell>
          <cell r="AY28" t="str">
            <v>AV</v>
          </cell>
          <cell r="AZ28" t="str">
            <v>INAVAVVS</v>
          </cell>
          <cell r="BA28" t="str">
            <v>AV Silver Box</v>
          </cell>
        </row>
        <row r="29">
          <cell r="E29" t="str">
            <v>ASNSCKRG1D1.BEEPAQ2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49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 t="str">
            <v/>
          </cell>
          <cell r="AH29" t="str">
            <v/>
          </cell>
          <cell r="AI29" t="str">
            <v>KR21P07291010</v>
          </cell>
          <cell r="AJ29" t="str">
            <v>ASNSCKRG1D1.ARFQ</v>
          </cell>
          <cell r="AK29" t="str">
            <v>0.005760</v>
          </cell>
          <cell r="AL29" t="str">
            <v>1</v>
          </cell>
          <cell r="AM29" t="str">
            <v>F</v>
          </cell>
          <cell r="AN29" t="str">
            <v>M0</v>
          </cell>
          <cell r="AO29" t="str">
            <v>Active(Model)</v>
          </cell>
          <cell r="AP29" t="str">
            <v/>
          </cell>
          <cell r="AQ29" t="str">
            <v/>
          </cell>
          <cell r="AR29" t="str">
            <v>Y</v>
          </cell>
          <cell r="AS29" t="str">
            <v/>
          </cell>
          <cell r="AT29" t="str">
            <v>IN</v>
          </cell>
          <cell r="AU29" t="str">
            <v>Infotainment</v>
          </cell>
          <cell r="AV29" t="str">
            <v>INAV</v>
          </cell>
          <cell r="AW29" t="str">
            <v>AV/AVN</v>
          </cell>
          <cell r="AX29" t="str">
            <v>INAVAV</v>
          </cell>
          <cell r="AY29" t="str">
            <v>AV</v>
          </cell>
          <cell r="AZ29" t="str">
            <v>INAVAVVS</v>
          </cell>
          <cell r="BA29" t="str">
            <v>AV Silver Box</v>
          </cell>
        </row>
        <row r="30">
          <cell r="E30" t="str">
            <v>ASNSCKRG1D1.BEUPBQ2</v>
          </cell>
          <cell r="F30">
            <v>41</v>
          </cell>
          <cell r="G30">
            <v>0</v>
          </cell>
          <cell r="H30">
            <v>0</v>
          </cell>
          <cell r="I30">
            <v>41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1430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 t="str">
            <v/>
          </cell>
          <cell r="AH30" t="str">
            <v/>
          </cell>
          <cell r="AI30" t="str">
            <v>KR21P07291010</v>
          </cell>
          <cell r="AJ30" t="str">
            <v>ASNSCKRG1D1.ARFQ</v>
          </cell>
          <cell r="AK30" t="str">
            <v>0.005760</v>
          </cell>
          <cell r="AL30" t="str">
            <v>1</v>
          </cell>
          <cell r="AM30" t="str">
            <v>F</v>
          </cell>
          <cell r="AN30" t="str">
            <v>M0</v>
          </cell>
          <cell r="AO30" t="str">
            <v>Active(Model)</v>
          </cell>
          <cell r="AP30" t="str">
            <v/>
          </cell>
          <cell r="AQ30" t="str">
            <v/>
          </cell>
          <cell r="AR30" t="str">
            <v>Y</v>
          </cell>
          <cell r="AS30" t="str">
            <v/>
          </cell>
          <cell r="AT30" t="str">
            <v>IN</v>
          </cell>
          <cell r="AU30" t="str">
            <v>Infotainment</v>
          </cell>
          <cell r="AV30" t="str">
            <v>INAV</v>
          </cell>
          <cell r="AW30" t="str">
            <v>AV/AVN</v>
          </cell>
          <cell r="AX30" t="str">
            <v>INAVAV</v>
          </cell>
          <cell r="AY30" t="str">
            <v>AV</v>
          </cell>
          <cell r="AZ30" t="str">
            <v>INAVAVVS</v>
          </cell>
          <cell r="BA30" t="str">
            <v>AV Silver Box</v>
          </cell>
        </row>
        <row r="31">
          <cell r="E31" t="str">
            <v>ASNSCKRG1D2.BTKPBR2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497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str">
            <v/>
          </cell>
          <cell r="AH31" t="str">
            <v/>
          </cell>
          <cell r="AI31" t="str">
            <v>KR21P07291010</v>
          </cell>
          <cell r="AJ31" t="str">
            <v>ASNSCKRG1D2.ARFQ</v>
          </cell>
          <cell r="AK31" t="str">
            <v>0.005760</v>
          </cell>
          <cell r="AL31" t="str">
            <v>1</v>
          </cell>
          <cell r="AM31" t="str">
            <v>F</v>
          </cell>
          <cell r="AN31" t="str">
            <v>M0</v>
          </cell>
          <cell r="AO31" t="str">
            <v>Active(Model)</v>
          </cell>
          <cell r="AP31" t="str">
            <v/>
          </cell>
          <cell r="AQ31" t="str">
            <v/>
          </cell>
          <cell r="AR31" t="str">
            <v>Y</v>
          </cell>
          <cell r="AS31" t="str">
            <v/>
          </cell>
          <cell r="AT31" t="str">
            <v>IN</v>
          </cell>
          <cell r="AU31" t="str">
            <v>Infotainment</v>
          </cell>
          <cell r="AV31" t="str">
            <v>INAV</v>
          </cell>
          <cell r="AW31" t="str">
            <v>AV/AVN</v>
          </cell>
          <cell r="AX31" t="str">
            <v>INAVAV</v>
          </cell>
          <cell r="AY31" t="str">
            <v>AV</v>
          </cell>
          <cell r="AZ31" t="str">
            <v>INAVAVVS</v>
          </cell>
          <cell r="BA31" t="str">
            <v>AV Silver Box</v>
          </cell>
        </row>
        <row r="32">
          <cell r="E32" t="str">
            <v>ASNSCKRG1D4.BAUPAQ2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100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 t="str">
            <v/>
          </cell>
          <cell r="AH32" t="str">
            <v/>
          </cell>
          <cell r="AI32" t="str">
            <v>KR21P07291010</v>
          </cell>
          <cell r="AJ32" t="str">
            <v>ASNSCKRG1D4.ARFQ</v>
          </cell>
          <cell r="AK32" t="str">
            <v>0.005760</v>
          </cell>
          <cell r="AL32" t="str">
            <v>1</v>
          </cell>
          <cell r="AM32" t="str">
            <v>F</v>
          </cell>
          <cell r="AN32" t="str">
            <v>M0</v>
          </cell>
          <cell r="AO32" t="str">
            <v>Active(Model)</v>
          </cell>
          <cell r="AP32" t="str">
            <v/>
          </cell>
          <cell r="AQ32" t="str">
            <v/>
          </cell>
          <cell r="AR32" t="str">
            <v>Y</v>
          </cell>
          <cell r="AS32" t="str">
            <v/>
          </cell>
          <cell r="AT32" t="str">
            <v>IN</v>
          </cell>
          <cell r="AU32" t="str">
            <v>Infotainment</v>
          </cell>
          <cell r="AV32" t="str">
            <v>INAV</v>
          </cell>
          <cell r="AW32" t="str">
            <v>AV/AVN</v>
          </cell>
          <cell r="AX32" t="str">
            <v>INAVAV</v>
          </cell>
          <cell r="AY32" t="str">
            <v>AV</v>
          </cell>
          <cell r="AZ32" t="str">
            <v>INAVAVVS</v>
          </cell>
          <cell r="BA32" t="str">
            <v>AV Silver Box</v>
          </cell>
        </row>
        <row r="33">
          <cell r="E33" t="str">
            <v>ASNSCKRG1D4.BGLPBQ3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250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 t="str">
            <v/>
          </cell>
          <cell r="AH33" t="str">
            <v/>
          </cell>
          <cell r="AI33" t="str">
            <v>KR21P07291010</v>
          </cell>
          <cell r="AJ33" t="str">
            <v>ASNSCKRG1D4.ARFQ</v>
          </cell>
          <cell r="AK33" t="str">
            <v>0.005760</v>
          </cell>
          <cell r="AL33" t="str">
            <v>1</v>
          </cell>
          <cell r="AM33" t="str">
            <v>F</v>
          </cell>
          <cell r="AN33" t="str">
            <v>M0</v>
          </cell>
          <cell r="AO33" t="str">
            <v>Active(Model)</v>
          </cell>
          <cell r="AP33" t="str">
            <v/>
          </cell>
          <cell r="AQ33" t="str">
            <v/>
          </cell>
          <cell r="AR33" t="str">
            <v>Y</v>
          </cell>
          <cell r="AS33" t="str">
            <v/>
          </cell>
          <cell r="AT33" t="str">
            <v>IN</v>
          </cell>
          <cell r="AU33" t="str">
            <v>Infotainment</v>
          </cell>
          <cell r="AV33" t="str">
            <v>INAV</v>
          </cell>
          <cell r="AW33" t="str">
            <v>AV/AVN</v>
          </cell>
          <cell r="AX33" t="str">
            <v>INAVAV</v>
          </cell>
          <cell r="AY33" t="str">
            <v>AV</v>
          </cell>
          <cell r="AZ33" t="str">
            <v>INAVAVVS</v>
          </cell>
          <cell r="BA33" t="str">
            <v>AV Silver Box</v>
          </cell>
        </row>
        <row r="34">
          <cell r="E34" t="str">
            <v>ASNSCKRG1D4.BWWJVQ1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 t="str">
            <v/>
          </cell>
          <cell r="AH34" t="str">
            <v/>
          </cell>
          <cell r="AI34" t="str">
            <v>KR21P07291010</v>
          </cell>
          <cell r="AJ34" t="str">
            <v>ASNSCKRG1D4.ARFQ</v>
          </cell>
          <cell r="AK34" t="str">
            <v>0.005760</v>
          </cell>
          <cell r="AL34" t="str">
            <v>1</v>
          </cell>
          <cell r="AM34" t="str">
            <v>F</v>
          </cell>
          <cell r="AN34" t="str">
            <v>M0</v>
          </cell>
          <cell r="AO34" t="str">
            <v>Active(Model)</v>
          </cell>
          <cell r="AP34" t="str">
            <v/>
          </cell>
          <cell r="AQ34" t="str">
            <v/>
          </cell>
          <cell r="AR34" t="str">
            <v>Y</v>
          </cell>
          <cell r="AS34" t="str">
            <v/>
          </cell>
          <cell r="AT34" t="str">
            <v>IN</v>
          </cell>
          <cell r="AU34" t="str">
            <v>Infotainment</v>
          </cell>
          <cell r="AV34" t="str">
            <v>INAV</v>
          </cell>
          <cell r="AW34" t="str">
            <v>AV/AVN</v>
          </cell>
          <cell r="AX34" t="str">
            <v>INAVAV</v>
          </cell>
          <cell r="AY34" t="str">
            <v>AV</v>
          </cell>
          <cell r="AZ34" t="str">
            <v>INAVAVVS</v>
          </cell>
          <cell r="BA34" t="str">
            <v>AV Silver Box</v>
          </cell>
        </row>
        <row r="35">
          <cell r="E35" t="str">
            <v>ASNSCKRG1D4.BWWPAQ3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205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 t="str">
            <v/>
          </cell>
          <cell r="AH35" t="str">
            <v/>
          </cell>
          <cell r="AI35" t="str">
            <v>KR21P07291010</v>
          </cell>
          <cell r="AJ35" t="str">
            <v>ASNSCKRG1D4.ARFQ</v>
          </cell>
          <cell r="AK35" t="str">
            <v>0.005760</v>
          </cell>
          <cell r="AL35" t="str">
            <v>1</v>
          </cell>
          <cell r="AM35" t="str">
            <v>F</v>
          </cell>
          <cell r="AN35" t="str">
            <v>M0</v>
          </cell>
          <cell r="AO35" t="str">
            <v>Active(Model)</v>
          </cell>
          <cell r="AP35" t="str">
            <v/>
          </cell>
          <cell r="AQ35" t="str">
            <v/>
          </cell>
          <cell r="AR35" t="str">
            <v>Y</v>
          </cell>
          <cell r="AS35" t="str">
            <v/>
          </cell>
          <cell r="AT35" t="str">
            <v>IN</v>
          </cell>
          <cell r="AU35" t="str">
            <v>Infotainment</v>
          </cell>
          <cell r="AV35" t="str">
            <v>INAV</v>
          </cell>
          <cell r="AW35" t="str">
            <v>AV/AVN</v>
          </cell>
          <cell r="AX35" t="str">
            <v>INAVAV</v>
          </cell>
          <cell r="AY35" t="str">
            <v>AV</v>
          </cell>
          <cell r="AZ35" t="str">
            <v>INAVAVVS</v>
          </cell>
          <cell r="BA35" t="str">
            <v>AV Silver Box</v>
          </cell>
        </row>
        <row r="36">
          <cell r="E36" t="str">
            <v>ASNSEGDGFC1.BJCHAM0</v>
          </cell>
          <cell r="F36">
            <v>88</v>
          </cell>
          <cell r="G36">
            <v>0</v>
          </cell>
          <cell r="H36">
            <v>0</v>
          </cell>
          <cell r="I36">
            <v>88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 t="str">
            <v/>
          </cell>
          <cell r="AH36" t="str">
            <v/>
          </cell>
          <cell r="AI36" t="str">
            <v>KR23P00018070</v>
          </cell>
          <cell r="AJ36" t="str">
            <v>ASNSEGDGFC1.ARFQ</v>
          </cell>
          <cell r="AK36" t="str">
            <v>0.005760</v>
          </cell>
          <cell r="AL36" t="str">
            <v>1</v>
          </cell>
          <cell r="AM36" t="str">
            <v>F</v>
          </cell>
          <cell r="AN36" t="str">
            <v>M0</v>
          </cell>
          <cell r="AO36" t="str">
            <v>Active(Model)</v>
          </cell>
          <cell r="AP36" t="str">
            <v/>
          </cell>
          <cell r="AQ36" t="str">
            <v/>
          </cell>
          <cell r="AR36" t="str">
            <v>Y</v>
          </cell>
          <cell r="AS36" t="str">
            <v/>
          </cell>
          <cell r="AT36" t="str">
            <v>IN</v>
          </cell>
          <cell r="AU36" t="str">
            <v>Infotainment</v>
          </cell>
          <cell r="AV36" t="str">
            <v>INAV</v>
          </cell>
          <cell r="AW36" t="str">
            <v>AV/AVN</v>
          </cell>
          <cell r="AX36" t="str">
            <v>INAVAV</v>
          </cell>
          <cell r="AY36" t="str">
            <v>AV</v>
          </cell>
          <cell r="AZ36" t="str">
            <v>INAVAVVS</v>
          </cell>
          <cell r="BA36" t="str">
            <v>AV Silver Box</v>
          </cell>
        </row>
        <row r="37">
          <cell r="E37" t="str">
            <v>ASRN8GRG0E1.BWWCM6N</v>
          </cell>
          <cell r="F37">
            <v>0</v>
          </cell>
          <cell r="G37">
            <v>0</v>
          </cell>
          <cell r="H37">
            <v>16</v>
          </cell>
          <cell r="I37">
            <v>16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 t="str">
            <v/>
          </cell>
          <cell r="AH37" t="str">
            <v/>
          </cell>
          <cell r="AI37" t="str">
            <v>KR20P04146470</v>
          </cell>
          <cell r="AJ37" t="str">
            <v>ASRN8GRG0E1.ARFQ</v>
          </cell>
          <cell r="AK37" t="str">
            <v>0.005760</v>
          </cell>
          <cell r="AL37" t="str">
            <v>1</v>
          </cell>
          <cell r="AM37" t="str">
            <v>F</v>
          </cell>
          <cell r="AN37" t="str">
            <v>M0</v>
          </cell>
          <cell r="AO37" t="str">
            <v>Active(Model)</v>
          </cell>
          <cell r="AP37" t="str">
            <v/>
          </cell>
          <cell r="AQ37" t="str">
            <v/>
          </cell>
          <cell r="AR37" t="str">
            <v>Y</v>
          </cell>
          <cell r="AS37" t="str">
            <v/>
          </cell>
          <cell r="AT37" t="str">
            <v>IN</v>
          </cell>
          <cell r="AU37" t="str">
            <v>Infotainment</v>
          </cell>
          <cell r="AV37" t="str">
            <v>INAV</v>
          </cell>
          <cell r="AW37" t="str">
            <v>AV/AVN</v>
          </cell>
          <cell r="AX37" t="str">
            <v>INAVAV</v>
          </cell>
          <cell r="AY37" t="str">
            <v>AV</v>
          </cell>
          <cell r="AZ37" t="str">
            <v>INAVAVVS</v>
          </cell>
          <cell r="BA37" t="str">
            <v>AV Silver Box</v>
          </cell>
        </row>
        <row r="38">
          <cell r="E38" t="str">
            <v>ASRN8GRG0E1.BWWCM7N</v>
          </cell>
          <cell r="F38">
            <v>4502</v>
          </cell>
          <cell r="G38">
            <v>0</v>
          </cell>
          <cell r="H38">
            <v>4</v>
          </cell>
          <cell r="I38">
            <v>4506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4500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 t="str">
            <v/>
          </cell>
          <cell r="AH38" t="str">
            <v/>
          </cell>
          <cell r="AI38" t="str">
            <v>KR20P04146470</v>
          </cell>
          <cell r="AJ38" t="str">
            <v>ASRN8GRG0E1.ARFQ</v>
          </cell>
          <cell r="AK38" t="str">
            <v>0.005760</v>
          </cell>
          <cell r="AL38" t="str">
            <v>1</v>
          </cell>
          <cell r="AM38" t="str">
            <v>F</v>
          </cell>
          <cell r="AN38" t="str">
            <v>M0</v>
          </cell>
          <cell r="AO38" t="str">
            <v>Active(Model)</v>
          </cell>
          <cell r="AP38" t="str">
            <v/>
          </cell>
          <cell r="AQ38" t="str">
            <v/>
          </cell>
          <cell r="AR38" t="str">
            <v>Y</v>
          </cell>
          <cell r="AS38" t="str">
            <v/>
          </cell>
          <cell r="AT38" t="str">
            <v>IN</v>
          </cell>
          <cell r="AU38" t="str">
            <v>Infotainment</v>
          </cell>
          <cell r="AV38" t="str">
            <v>INAV</v>
          </cell>
          <cell r="AW38" t="str">
            <v>AV/AVN</v>
          </cell>
          <cell r="AX38" t="str">
            <v>INAVAV</v>
          </cell>
          <cell r="AY38" t="str">
            <v>AV</v>
          </cell>
          <cell r="AZ38" t="str">
            <v>INAVAVVS</v>
          </cell>
          <cell r="BA38" t="str">
            <v>AV Silver Box</v>
          </cell>
        </row>
        <row r="39">
          <cell r="E39" t="str">
            <v>AVRNAGRG0D6.BWWCMDN</v>
          </cell>
          <cell r="F39">
            <v>1</v>
          </cell>
          <cell r="G39">
            <v>0</v>
          </cell>
          <cell r="H39">
            <v>0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str">
            <v/>
          </cell>
          <cell r="AH39" t="str">
            <v/>
          </cell>
          <cell r="AI39" t="str">
            <v>KR20P04146470</v>
          </cell>
          <cell r="AJ39" t="str">
            <v>AVRNAGRG0D6.ARFQ</v>
          </cell>
          <cell r="AK39" t="str">
            <v>0.012800</v>
          </cell>
          <cell r="AL39" t="str">
            <v>1</v>
          </cell>
          <cell r="AM39" t="str">
            <v>F</v>
          </cell>
          <cell r="AN39" t="str">
            <v>M0</v>
          </cell>
          <cell r="AO39" t="str">
            <v>Active(Model)</v>
          </cell>
          <cell r="AP39" t="str">
            <v/>
          </cell>
          <cell r="AQ39" t="str">
            <v/>
          </cell>
          <cell r="AR39" t="str">
            <v>Y</v>
          </cell>
          <cell r="AS39" t="str">
            <v/>
          </cell>
          <cell r="AT39" t="str">
            <v>IN</v>
          </cell>
          <cell r="AU39" t="str">
            <v>Infotainment</v>
          </cell>
          <cell r="AV39" t="str">
            <v>INAV</v>
          </cell>
          <cell r="AW39" t="str">
            <v>AV/AVN</v>
          </cell>
          <cell r="AX39" t="str">
            <v>INAVAV</v>
          </cell>
          <cell r="AY39" t="str">
            <v>AV</v>
          </cell>
          <cell r="AZ39" t="str">
            <v>INAVAVVV</v>
          </cell>
          <cell r="BA39" t="str">
            <v>AV with Display</v>
          </cell>
        </row>
        <row r="40">
          <cell r="E40" t="str">
            <v>AVRNAGRG0D6.BWWCMEN</v>
          </cell>
          <cell r="F40">
            <v>0</v>
          </cell>
          <cell r="G40">
            <v>0</v>
          </cell>
          <cell r="H40">
            <v>0</v>
          </cell>
          <cell r="I40">
            <v>630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539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str">
            <v/>
          </cell>
          <cell r="AH40" t="str">
            <v/>
          </cell>
          <cell r="AI40" t="str">
            <v>KR20P04146470</v>
          </cell>
          <cell r="AJ40" t="str">
            <v>AVRNAGRG0D6.ARFQ</v>
          </cell>
          <cell r="AK40" t="str">
            <v>0.057600</v>
          </cell>
          <cell r="AL40" t="str">
            <v>1</v>
          </cell>
          <cell r="AM40" t="str">
            <v>F</v>
          </cell>
          <cell r="AN40" t="str">
            <v>M0</v>
          </cell>
          <cell r="AO40" t="str">
            <v>Active(Model)</v>
          </cell>
          <cell r="AP40" t="str">
            <v/>
          </cell>
          <cell r="AQ40" t="str">
            <v/>
          </cell>
          <cell r="AR40" t="str">
            <v>Y</v>
          </cell>
          <cell r="AS40" t="str">
            <v/>
          </cell>
          <cell r="AT40" t="str">
            <v>IN</v>
          </cell>
          <cell r="AU40" t="str">
            <v>Infotainment</v>
          </cell>
          <cell r="AV40" t="str">
            <v>INAV</v>
          </cell>
          <cell r="AW40" t="str">
            <v>AV/AVN</v>
          </cell>
          <cell r="AX40" t="str">
            <v>INAVAV</v>
          </cell>
          <cell r="AY40" t="str">
            <v>AV</v>
          </cell>
          <cell r="AZ40" t="str">
            <v>INAVAVVV</v>
          </cell>
          <cell r="BA40" t="str">
            <v>AV with Display</v>
          </cell>
        </row>
        <row r="41">
          <cell r="E41" t="str">
            <v>AVRNAGRG0D6.BWWCMFN</v>
          </cell>
          <cell r="F41">
            <v>79</v>
          </cell>
          <cell r="G41">
            <v>0</v>
          </cell>
          <cell r="H41">
            <v>0</v>
          </cell>
          <cell r="I41">
            <v>529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1800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 t="str">
            <v/>
          </cell>
          <cell r="AH41" t="str">
            <v/>
          </cell>
          <cell r="AI41" t="str">
            <v>KR20P04146470</v>
          </cell>
          <cell r="AJ41" t="str">
            <v>AVRNAGRG0D6.ARFQ</v>
          </cell>
          <cell r="AK41" t="str">
            <v>0.012800</v>
          </cell>
          <cell r="AL41" t="str">
            <v>1</v>
          </cell>
          <cell r="AM41" t="str">
            <v>F</v>
          </cell>
          <cell r="AN41" t="str">
            <v>M0</v>
          </cell>
          <cell r="AO41" t="str">
            <v>Active(Model)</v>
          </cell>
          <cell r="AP41" t="str">
            <v/>
          </cell>
          <cell r="AQ41" t="str">
            <v/>
          </cell>
          <cell r="AR41" t="str">
            <v>Y</v>
          </cell>
          <cell r="AS41" t="str">
            <v/>
          </cell>
          <cell r="AT41" t="str">
            <v>IN</v>
          </cell>
          <cell r="AU41" t="str">
            <v>Infotainment</v>
          </cell>
          <cell r="AV41" t="str">
            <v>INAV</v>
          </cell>
          <cell r="AW41" t="str">
            <v>AV/AVN</v>
          </cell>
          <cell r="AX41" t="str">
            <v>INAVAV</v>
          </cell>
          <cell r="AY41" t="str">
            <v>AV</v>
          </cell>
          <cell r="AZ41" t="str">
            <v>INAVAVVV</v>
          </cell>
          <cell r="BA41" t="str">
            <v>AV with Display</v>
          </cell>
        </row>
        <row r="42">
          <cell r="E42" t="str">
            <v>AVRNAGRG0D7.BWWCMGN</v>
          </cell>
          <cell r="F42">
            <v>0</v>
          </cell>
          <cell r="G42">
            <v>0</v>
          </cell>
          <cell r="H42">
            <v>6</v>
          </cell>
          <cell r="I42">
            <v>6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 t="str">
            <v/>
          </cell>
          <cell r="AH42" t="str">
            <v/>
          </cell>
          <cell r="AI42" t="str">
            <v>KR20P04146470</v>
          </cell>
          <cell r="AJ42" t="str">
            <v>AVRNAGRG0D7.ARFQ</v>
          </cell>
          <cell r="AK42" t="str">
            <v>0.057600</v>
          </cell>
          <cell r="AL42" t="str">
            <v>1</v>
          </cell>
          <cell r="AM42" t="str">
            <v>F</v>
          </cell>
          <cell r="AN42" t="str">
            <v>M0</v>
          </cell>
          <cell r="AO42" t="str">
            <v>Active(Model)</v>
          </cell>
          <cell r="AP42" t="str">
            <v/>
          </cell>
          <cell r="AQ42" t="str">
            <v/>
          </cell>
          <cell r="AR42" t="str">
            <v>Y</v>
          </cell>
          <cell r="AS42" t="str">
            <v/>
          </cell>
          <cell r="AT42" t="str">
            <v>IN</v>
          </cell>
          <cell r="AU42" t="str">
            <v>Infotainment</v>
          </cell>
          <cell r="AV42" t="str">
            <v>INAV</v>
          </cell>
          <cell r="AW42" t="str">
            <v>AV/AVN</v>
          </cell>
          <cell r="AX42" t="str">
            <v>INAVAV</v>
          </cell>
          <cell r="AY42" t="str">
            <v>AV</v>
          </cell>
          <cell r="AZ42" t="str">
            <v>INAVAVVV</v>
          </cell>
          <cell r="BA42" t="str">
            <v>AV with Display</v>
          </cell>
        </row>
        <row r="43">
          <cell r="E43" t="str">
            <v>AVRNAGRG0D7.BWWCMIN</v>
          </cell>
          <cell r="F43">
            <v>789</v>
          </cell>
          <cell r="G43">
            <v>0</v>
          </cell>
          <cell r="H43">
            <v>0</v>
          </cell>
          <cell r="I43">
            <v>3849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180</v>
          </cell>
          <cell r="O43">
            <v>4049</v>
          </cell>
          <cell r="P43">
            <v>180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str">
            <v/>
          </cell>
          <cell r="AH43" t="str">
            <v/>
          </cell>
          <cell r="AI43" t="str">
            <v>KR20P04146470</v>
          </cell>
          <cell r="AJ43" t="str">
            <v>AVRNAGRG0D7.ARFQ</v>
          </cell>
          <cell r="AK43" t="str">
            <v>0.057600</v>
          </cell>
          <cell r="AL43" t="str">
            <v>1</v>
          </cell>
          <cell r="AM43" t="str">
            <v>F</v>
          </cell>
          <cell r="AN43" t="str">
            <v>M0</v>
          </cell>
          <cell r="AO43" t="str">
            <v>Active(Model)</v>
          </cell>
          <cell r="AP43" t="str">
            <v/>
          </cell>
          <cell r="AQ43" t="str">
            <v/>
          </cell>
          <cell r="AR43" t="str">
            <v>Y</v>
          </cell>
          <cell r="AS43" t="str">
            <v/>
          </cell>
          <cell r="AT43" t="str">
            <v>IN</v>
          </cell>
          <cell r="AU43" t="str">
            <v>Infotainment</v>
          </cell>
          <cell r="AV43" t="str">
            <v>INAV</v>
          </cell>
          <cell r="AW43" t="str">
            <v>AV/AVN</v>
          </cell>
          <cell r="AX43" t="str">
            <v>INAVAV</v>
          </cell>
          <cell r="AY43" t="str">
            <v>AV</v>
          </cell>
          <cell r="AZ43" t="str">
            <v>INAVAVVV</v>
          </cell>
          <cell r="BA43" t="str">
            <v>AV with Display</v>
          </cell>
        </row>
        <row r="44">
          <cell r="E44" t="str">
            <v>AVRNAGRG0E1.BWWCM5N</v>
          </cell>
          <cell r="F44">
            <v>3</v>
          </cell>
          <cell r="G44">
            <v>0</v>
          </cell>
          <cell r="H44">
            <v>0</v>
          </cell>
          <cell r="I44">
            <v>3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str">
            <v/>
          </cell>
          <cell r="AH44" t="str">
            <v/>
          </cell>
          <cell r="AI44" t="str">
            <v>KR20P04146470</v>
          </cell>
          <cell r="AJ44" t="str">
            <v>AVRNAGRG0E1.ARFQ</v>
          </cell>
          <cell r="AK44" t="str">
            <v>0.012800</v>
          </cell>
          <cell r="AL44" t="str">
            <v>1</v>
          </cell>
          <cell r="AM44" t="str">
            <v>F</v>
          </cell>
          <cell r="AN44" t="str">
            <v>M0</v>
          </cell>
          <cell r="AO44" t="str">
            <v>Active(Model)</v>
          </cell>
          <cell r="AP44" t="str">
            <v/>
          </cell>
          <cell r="AQ44" t="str">
            <v/>
          </cell>
          <cell r="AR44" t="str">
            <v>Y</v>
          </cell>
          <cell r="AS44" t="str">
            <v/>
          </cell>
          <cell r="AT44" t="str">
            <v>IN</v>
          </cell>
          <cell r="AU44" t="str">
            <v>Infotainment</v>
          </cell>
          <cell r="AV44" t="str">
            <v>INAV</v>
          </cell>
          <cell r="AW44" t="str">
            <v>AV/AVN</v>
          </cell>
          <cell r="AX44" t="str">
            <v>INAVAV</v>
          </cell>
          <cell r="AY44" t="str">
            <v>AV</v>
          </cell>
          <cell r="AZ44" t="str">
            <v>INAVAVVV</v>
          </cell>
          <cell r="BA44" t="str">
            <v>AV with Display</v>
          </cell>
        </row>
        <row r="45">
          <cell r="E45" t="str">
            <v>AVRNAGRG0E1.BWWCM6N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str">
            <v/>
          </cell>
          <cell r="AH45" t="str">
            <v/>
          </cell>
          <cell r="AI45" t="str">
            <v>KR20P04146470</v>
          </cell>
          <cell r="AJ45" t="str">
            <v>AVRNAGRG0E1.ARFQ</v>
          </cell>
          <cell r="AK45" t="str">
            <v>0.057600</v>
          </cell>
          <cell r="AL45" t="str">
            <v>1</v>
          </cell>
          <cell r="AM45" t="str">
            <v>F</v>
          </cell>
          <cell r="AN45" t="str">
            <v>M0</v>
          </cell>
          <cell r="AO45" t="str">
            <v>Active(Model)</v>
          </cell>
          <cell r="AP45" t="str">
            <v/>
          </cell>
          <cell r="AQ45" t="str">
            <v/>
          </cell>
          <cell r="AR45" t="str">
            <v>Y</v>
          </cell>
          <cell r="AS45" t="str">
            <v/>
          </cell>
          <cell r="AT45" t="str">
            <v>IN</v>
          </cell>
          <cell r="AU45" t="str">
            <v>Infotainment</v>
          </cell>
          <cell r="AV45" t="str">
            <v>INAV</v>
          </cell>
          <cell r="AW45" t="str">
            <v>AV/AVN</v>
          </cell>
          <cell r="AX45" t="str">
            <v>INAVAV</v>
          </cell>
          <cell r="AY45" t="str">
            <v>AV</v>
          </cell>
          <cell r="AZ45" t="str">
            <v>INAVAVVV</v>
          </cell>
          <cell r="BA45" t="str">
            <v>AV with Display</v>
          </cell>
        </row>
        <row r="46">
          <cell r="E46" t="str">
            <v>AVRNAGRG0E2.BWWCM3N</v>
          </cell>
          <cell r="F46">
            <v>472</v>
          </cell>
          <cell r="G46">
            <v>0</v>
          </cell>
          <cell r="H46">
            <v>0</v>
          </cell>
          <cell r="I46">
            <v>472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179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 t="str">
            <v/>
          </cell>
          <cell r="AH46" t="str">
            <v/>
          </cell>
          <cell r="AI46" t="str">
            <v>KR20P04146470</v>
          </cell>
          <cell r="AJ46" t="str">
            <v>AVRNAGRG0E2.ARFQ</v>
          </cell>
          <cell r="AK46" t="str">
            <v>0.057600</v>
          </cell>
          <cell r="AL46" t="str">
            <v>1</v>
          </cell>
          <cell r="AM46" t="str">
            <v>F</v>
          </cell>
          <cell r="AN46" t="str">
            <v>M0</v>
          </cell>
          <cell r="AO46" t="str">
            <v>Active(Model)</v>
          </cell>
          <cell r="AP46" t="str">
            <v/>
          </cell>
          <cell r="AQ46" t="str">
            <v/>
          </cell>
          <cell r="AR46" t="str">
            <v>Y</v>
          </cell>
          <cell r="AS46" t="str">
            <v/>
          </cell>
          <cell r="AT46" t="str">
            <v>IN</v>
          </cell>
          <cell r="AU46" t="str">
            <v>Infotainment</v>
          </cell>
          <cell r="AV46" t="str">
            <v>INAV</v>
          </cell>
          <cell r="AW46" t="str">
            <v>AV/AVN</v>
          </cell>
          <cell r="AX46" t="str">
            <v>INAVAV</v>
          </cell>
          <cell r="AY46" t="str">
            <v>AV</v>
          </cell>
          <cell r="AZ46" t="str">
            <v>INAVAVVV</v>
          </cell>
          <cell r="BA46" t="str">
            <v>AV with Display</v>
          </cell>
        </row>
        <row r="47">
          <cell r="E47" t="str">
            <v>AVRNAGRG0E2.BWWCM4N</v>
          </cell>
          <cell r="F47">
            <v>0</v>
          </cell>
          <cell r="G47">
            <v>0</v>
          </cell>
          <cell r="H47">
            <v>0</v>
          </cell>
          <cell r="I47">
            <v>539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536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 t="str">
            <v/>
          </cell>
          <cell r="AH47" t="str">
            <v/>
          </cell>
          <cell r="AI47" t="str">
            <v>KR20P04146470</v>
          </cell>
          <cell r="AJ47" t="str">
            <v>AVRNAGRG0E2.ARFQ</v>
          </cell>
          <cell r="AK47" t="str">
            <v>0.012800</v>
          </cell>
          <cell r="AL47" t="str">
            <v>1</v>
          </cell>
          <cell r="AM47" t="str">
            <v>F</v>
          </cell>
          <cell r="AN47" t="str">
            <v>M0</v>
          </cell>
          <cell r="AO47" t="str">
            <v>Active(Model)</v>
          </cell>
          <cell r="AP47" t="str">
            <v/>
          </cell>
          <cell r="AQ47" t="str">
            <v/>
          </cell>
          <cell r="AR47" t="str">
            <v>Y</v>
          </cell>
          <cell r="AS47" t="str">
            <v/>
          </cell>
          <cell r="AT47" t="str">
            <v>IN</v>
          </cell>
          <cell r="AU47" t="str">
            <v>Infotainment</v>
          </cell>
          <cell r="AV47" t="str">
            <v>INAV</v>
          </cell>
          <cell r="AW47" t="str">
            <v>AV/AVN</v>
          </cell>
          <cell r="AX47" t="str">
            <v>INAVAV</v>
          </cell>
          <cell r="AY47" t="str">
            <v>AV</v>
          </cell>
          <cell r="AZ47" t="str">
            <v>INAVAVVV</v>
          </cell>
          <cell r="BA47" t="str">
            <v>AV with Display</v>
          </cell>
        </row>
        <row r="48">
          <cell r="E48" t="str">
            <v>AVRNAGRG0E2.BWWCM6N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59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 t="str">
            <v/>
          </cell>
          <cell r="AH48" t="str">
            <v/>
          </cell>
          <cell r="AI48" t="str">
            <v>KR20P04146470</v>
          </cell>
          <cell r="AJ48" t="str">
            <v>AVRNAGRG0E2.ARFQ</v>
          </cell>
          <cell r="AK48" t="str">
            <v>0.012800</v>
          </cell>
          <cell r="AL48" t="str">
            <v>1</v>
          </cell>
          <cell r="AM48" t="str">
            <v>F</v>
          </cell>
          <cell r="AN48" t="str">
            <v>M0</v>
          </cell>
          <cell r="AO48" t="str">
            <v>Active(Model)</v>
          </cell>
          <cell r="AP48" t="str">
            <v/>
          </cell>
          <cell r="AQ48" t="str">
            <v/>
          </cell>
          <cell r="AR48" t="str">
            <v>Y</v>
          </cell>
          <cell r="AS48" t="str">
            <v/>
          </cell>
          <cell r="AT48" t="str">
            <v>IN</v>
          </cell>
          <cell r="AU48" t="str">
            <v>Infotainment</v>
          </cell>
          <cell r="AV48" t="str">
            <v>INAV</v>
          </cell>
          <cell r="AW48" t="str">
            <v>AV/AVN</v>
          </cell>
          <cell r="AX48" t="str">
            <v>INAVAV</v>
          </cell>
          <cell r="AY48" t="str">
            <v>AV</v>
          </cell>
          <cell r="AZ48" t="str">
            <v>INAVAVVV</v>
          </cell>
          <cell r="BA48" t="str">
            <v>AV with Display</v>
          </cell>
        </row>
        <row r="49">
          <cell r="E49" t="str">
            <v>AVRNAGRG0E3.BWWCM0N</v>
          </cell>
          <cell r="F49">
            <v>360</v>
          </cell>
          <cell r="G49">
            <v>0</v>
          </cell>
          <cell r="H49">
            <v>0</v>
          </cell>
          <cell r="I49">
            <v>360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 t="str">
            <v/>
          </cell>
          <cell r="AH49" t="str">
            <v/>
          </cell>
          <cell r="AI49" t="str">
            <v>KR20P04146470</v>
          </cell>
          <cell r="AJ49" t="str">
            <v>AVRNAGRG0E3.ARFQ</v>
          </cell>
          <cell r="AK49" t="str">
            <v>0.012800</v>
          </cell>
          <cell r="AL49" t="str">
            <v>1</v>
          </cell>
          <cell r="AM49" t="str">
            <v>F</v>
          </cell>
          <cell r="AN49" t="str">
            <v>M0</v>
          </cell>
          <cell r="AO49" t="str">
            <v>Active(Model)</v>
          </cell>
          <cell r="AP49" t="str">
            <v/>
          </cell>
          <cell r="AQ49" t="str">
            <v/>
          </cell>
          <cell r="AR49" t="str">
            <v>Y</v>
          </cell>
          <cell r="AS49" t="str">
            <v/>
          </cell>
          <cell r="AT49" t="str">
            <v>IN</v>
          </cell>
          <cell r="AU49" t="str">
            <v>Infotainment</v>
          </cell>
          <cell r="AV49" t="str">
            <v>INAV</v>
          </cell>
          <cell r="AW49" t="str">
            <v>AV/AVN</v>
          </cell>
          <cell r="AX49" t="str">
            <v>INAVAV</v>
          </cell>
          <cell r="AY49" t="str">
            <v>AV</v>
          </cell>
          <cell r="AZ49" t="str">
            <v>INAVAVVV</v>
          </cell>
          <cell r="BA49" t="str">
            <v>AV with Display</v>
          </cell>
        </row>
        <row r="50">
          <cell r="E50" t="str">
            <v>AVRNAGRG0E4.BWWCM1N</v>
          </cell>
          <cell r="F50">
            <v>470</v>
          </cell>
          <cell r="G50">
            <v>0</v>
          </cell>
          <cell r="H50">
            <v>0</v>
          </cell>
          <cell r="I50">
            <v>470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1920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 t="str">
            <v/>
          </cell>
          <cell r="AH50" t="str">
            <v/>
          </cell>
          <cell r="AI50" t="str">
            <v>KR20P04146470</v>
          </cell>
          <cell r="AJ50" t="str">
            <v>AVRNAGRG0E4.ARFQ</v>
          </cell>
          <cell r="AK50" t="str">
            <v>0.012800</v>
          </cell>
          <cell r="AL50" t="str">
            <v>1</v>
          </cell>
          <cell r="AM50" t="str">
            <v>F</v>
          </cell>
          <cell r="AN50" t="str">
            <v>M0</v>
          </cell>
          <cell r="AO50" t="str">
            <v>Active(Model)</v>
          </cell>
          <cell r="AP50" t="str">
            <v/>
          </cell>
          <cell r="AQ50" t="str">
            <v/>
          </cell>
          <cell r="AR50" t="str">
            <v>Y</v>
          </cell>
          <cell r="AS50" t="str">
            <v/>
          </cell>
          <cell r="AT50" t="str">
            <v>IN</v>
          </cell>
          <cell r="AU50" t="str">
            <v>Infotainment</v>
          </cell>
          <cell r="AV50" t="str">
            <v>INAV</v>
          </cell>
          <cell r="AW50" t="str">
            <v>AV/AVN</v>
          </cell>
          <cell r="AX50" t="str">
            <v>INAVAV</v>
          </cell>
          <cell r="AY50" t="str">
            <v>AV</v>
          </cell>
          <cell r="AZ50" t="str">
            <v>INAVAVVV</v>
          </cell>
          <cell r="BA50" t="str">
            <v>AV with Display</v>
          </cell>
        </row>
        <row r="51">
          <cell r="E51" t="str">
            <v>AVRNAGRG0E5.BWWCM2N</v>
          </cell>
          <cell r="F51">
            <v>1</v>
          </cell>
          <cell r="G51">
            <v>0</v>
          </cell>
          <cell r="H51">
            <v>0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str">
            <v/>
          </cell>
          <cell r="AH51" t="str">
            <v/>
          </cell>
          <cell r="AI51" t="str">
            <v>KR20P04146470</v>
          </cell>
          <cell r="AJ51" t="str">
            <v>AVRNAGRG0E5.ARFQ</v>
          </cell>
          <cell r="AK51" t="str">
            <v>0.012800</v>
          </cell>
          <cell r="AL51" t="str">
            <v>1</v>
          </cell>
          <cell r="AM51" t="str">
            <v>F</v>
          </cell>
          <cell r="AN51" t="str">
            <v>M0</v>
          </cell>
          <cell r="AO51" t="str">
            <v>Active(Model)</v>
          </cell>
          <cell r="AP51" t="str">
            <v/>
          </cell>
          <cell r="AQ51" t="str">
            <v/>
          </cell>
          <cell r="AR51" t="str">
            <v>Y</v>
          </cell>
          <cell r="AS51" t="str">
            <v/>
          </cell>
          <cell r="AT51" t="str">
            <v>IN</v>
          </cell>
          <cell r="AU51" t="str">
            <v>Infotainment</v>
          </cell>
          <cell r="AV51" t="str">
            <v>INAV</v>
          </cell>
          <cell r="AW51" t="str">
            <v>AV/AVN</v>
          </cell>
          <cell r="AX51" t="str">
            <v>INAVAV</v>
          </cell>
          <cell r="AY51" t="str">
            <v>AV</v>
          </cell>
          <cell r="AZ51" t="str">
            <v>INAVAVVV</v>
          </cell>
          <cell r="BA51" t="str">
            <v>AV with Display</v>
          </cell>
        </row>
        <row r="52">
          <cell r="E52" t="str">
            <v>AVRNAGRG0E5.BWWCM3N</v>
          </cell>
          <cell r="F52">
            <v>170</v>
          </cell>
          <cell r="G52">
            <v>0</v>
          </cell>
          <cell r="H52">
            <v>0</v>
          </cell>
          <cell r="I52">
            <v>5480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630</v>
          </cell>
          <cell r="O52">
            <v>7560</v>
          </cell>
          <cell r="P52">
            <v>630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 t="str">
            <v/>
          </cell>
          <cell r="AH52" t="str">
            <v/>
          </cell>
          <cell r="AI52" t="str">
            <v>KR20P04146470</v>
          </cell>
          <cell r="AJ52" t="str">
            <v>AVRNAGRG0E5.ARFQ</v>
          </cell>
          <cell r="AK52" t="str">
            <v>0.057600</v>
          </cell>
          <cell r="AL52" t="str">
            <v>1</v>
          </cell>
          <cell r="AM52" t="str">
            <v>F</v>
          </cell>
          <cell r="AN52" t="str">
            <v>M0</v>
          </cell>
          <cell r="AO52" t="str">
            <v>Active(Model)</v>
          </cell>
          <cell r="AP52" t="str">
            <v/>
          </cell>
          <cell r="AQ52" t="str">
            <v/>
          </cell>
          <cell r="AR52" t="str">
            <v>Y</v>
          </cell>
          <cell r="AS52" t="str">
            <v/>
          </cell>
          <cell r="AT52" t="str">
            <v>IN</v>
          </cell>
          <cell r="AU52" t="str">
            <v>Infotainment</v>
          </cell>
          <cell r="AV52" t="str">
            <v>INAV</v>
          </cell>
          <cell r="AW52" t="str">
            <v>AV/AVN</v>
          </cell>
          <cell r="AX52" t="str">
            <v>INAVAV</v>
          </cell>
          <cell r="AY52" t="str">
            <v>AV</v>
          </cell>
          <cell r="AZ52" t="str">
            <v>INAVAVVV</v>
          </cell>
          <cell r="BA52" t="str">
            <v>AV with Display</v>
          </cell>
        </row>
        <row r="53">
          <cell r="E53" t="str">
            <v>AVRNAGRG0F1.BWWCM2N</v>
          </cell>
          <cell r="F53">
            <v>0</v>
          </cell>
          <cell r="G53">
            <v>0</v>
          </cell>
          <cell r="H53">
            <v>0</v>
          </cell>
          <cell r="I53">
            <v>624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90</v>
          </cell>
          <cell r="O53">
            <v>630</v>
          </cell>
          <cell r="P53">
            <v>90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 t="str">
            <v/>
          </cell>
          <cell r="AH53" t="str">
            <v/>
          </cell>
          <cell r="AI53" t="str">
            <v>KR20P04146470</v>
          </cell>
          <cell r="AJ53" t="str">
            <v>AVRNAGRG0F1.ARFQ</v>
          </cell>
          <cell r="AK53" t="str">
            <v>0.012800</v>
          </cell>
          <cell r="AL53" t="str">
            <v>1</v>
          </cell>
          <cell r="AM53" t="str">
            <v>F</v>
          </cell>
          <cell r="AN53" t="str">
            <v>M0</v>
          </cell>
          <cell r="AO53" t="str">
            <v>Active(Model)</v>
          </cell>
          <cell r="AP53" t="str">
            <v/>
          </cell>
          <cell r="AQ53" t="str">
            <v/>
          </cell>
          <cell r="AR53" t="str">
            <v>Y</v>
          </cell>
          <cell r="AS53" t="str">
            <v/>
          </cell>
          <cell r="AT53" t="str">
            <v>IN</v>
          </cell>
          <cell r="AU53" t="str">
            <v>Infotainment</v>
          </cell>
          <cell r="AV53" t="str">
            <v>INAV</v>
          </cell>
          <cell r="AW53" t="str">
            <v>AV/AVN</v>
          </cell>
          <cell r="AX53" t="str">
            <v>INAVAV</v>
          </cell>
          <cell r="AY53" t="str">
            <v>AV</v>
          </cell>
          <cell r="AZ53" t="str">
            <v>INAVAVVV</v>
          </cell>
          <cell r="BA53" t="str">
            <v>AV with Display</v>
          </cell>
        </row>
        <row r="54">
          <cell r="E54" t="str">
            <v>C33FNT.BKOR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43</v>
          </cell>
          <cell r="O54">
            <v>374</v>
          </cell>
          <cell r="P54">
            <v>43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>0.055696</v>
          </cell>
          <cell r="AL54" t="str">
            <v>1</v>
          </cell>
          <cell r="AM54" t="str">
            <v>F</v>
          </cell>
          <cell r="AN54" t="str">
            <v>M0</v>
          </cell>
          <cell r="AO54" t="str">
            <v>Active(Model)</v>
          </cell>
          <cell r="AP54" t="str">
            <v/>
          </cell>
          <cell r="AQ54" t="str">
            <v/>
          </cell>
          <cell r="AR54" t="str">
            <v>Y</v>
          </cell>
          <cell r="AS54" t="str">
            <v/>
          </cell>
          <cell r="AT54" t="str">
            <v>VC</v>
          </cell>
          <cell r="AU54" t="str">
            <v>Vacuum Cleaner</v>
          </cell>
          <cell r="AV54" t="str">
            <v>VCVC</v>
          </cell>
          <cell r="AW54" t="str">
            <v>Vacuum Cleaner</v>
          </cell>
          <cell r="AX54" t="str">
            <v>VCVCCR</v>
          </cell>
          <cell r="AY54" t="str">
            <v>Canister</v>
          </cell>
          <cell r="AZ54" t="str">
            <v>VCVCCRSC</v>
          </cell>
          <cell r="BA54" t="str">
            <v>Single Cyclone(Canister)</v>
          </cell>
        </row>
        <row r="55">
          <cell r="E55" t="str">
            <v>C40RF.AKOR1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299</v>
          </cell>
          <cell r="O55">
            <v>0</v>
          </cell>
          <cell r="P55">
            <v>299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>0.064091</v>
          </cell>
          <cell r="AL55" t="str">
            <v>1</v>
          </cell>
          <cell r="AM55" t="str">
            <v>F</v>
          </cell>
          <cell r="AN55" t="str">
            <v>M0</v>
          </cell>
          <cell r="AO55" t="str">
            <v>Active(Model)</v>
          </cell>
          <cell r="AP55" t="str">
            <v/>
          </cell>
          <cell r="AQ55" t="str">
            <v/>
          </cell>
          <cell r="AR55" t="str">
            <v>Y</v>
          </cell>
          <cell r="AS55" t="str">
            <v/>
          </cell>
          <cell r="AT55" t="str">
            <v>VC</v>
          </cell>
          <cell r="AU55" t="str">
            <v>Vacuum Cleaner</v>
          </cell>
          <cell r="AV55" t="str">
            <v>VCVC</v>
          </cell>
          <cell r="AW55" t="str">
            <v>Vacuum Cleaner</v>
          </cell>
          <cell r="AX55" t="str">
            <v>VCVCCR</v>
          </cell>
          <cell r="AY55" t="str">
            <v>Canister</v>
          </cell>
          <cell r="AZ55" t="str">
            <v>VCVCCRMC</v>
          </cell>
          <cell r="BA55" t="str">
            <v>Multi Cyclone(Canister)</v>
          </cell>
        </row>
        <row r="56">
          <cell r="E56" t="str">
            <v>C40RFHT.AKOR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301</v>
          </cell>
          <cell r="O56">
            <v>131</v>
          </cell>
          <cell r="P56">
            <v>301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>0.064091</v>
          </cell>
          <cell r="AL56" t="str">
            <v>1</v>
          </cell>
          <cell r="AM56" t="str">
            <v>F</v>
          </cell>
          <cell r="AN56" t="str">
            <v>M0</v>
          </cell>
          <cell r="AO56" t="str">
            <v>Active(Model)</v>
          </cell>
          <cell r="AP56" t="str">
            <v/>
          </cell>
          <cell r="AQ56" t="str">
            <v/>
          </cell>
          <cell r="AR56" t="str">
            <v>Y</v>
          </cell>
          <cell r="AS56" t="str">
            <v/>
          </cell>
          <cell r="AT56" t="str">
            <v>VC</v>
          </cell>
          <cell r="AU56" t="str">
            <v>Vacuum Cleaner</v>
          </cell>
          <cell r="AV56" t="str">
            <v>VCVC</v>
          </cell>
          <cell r="AW56" t="str">
            <v>Vacuum Cleaner</v>
          </cell>
          <cell r="AX56" t="str">
            <v>VCVCCR</v>
          </cell>
          <cell r="AY56" t="str">
            <v>Canister</v>
          </cell>
          <cell r="AZ56" t="str">
            <v>VCVCCRSC</v>
          </cell>
          <cell r="BA56" t="str">
            <v>Single Cyclone(Canister)</v>
          </cell>
        </row>
        <row r="57">
          <cell r="E57" t="str">
            <v>C40SFHT.AKOR</v>
          </cell>
          <cell r="F57">
            <v>510</v>
          </cell>
          <cell r="G57">
            <v>0</v>
          </cell>
          <cell r="H57">
            <v>0</v>
          </cell>
          <cell r="I57">
            <v>510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200</v>
          </cell>
          <cell r="O57">
            <v>1729</v>
          </cell>
          <cell r="P57">
            <v>200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>0.064091</v>
          </cell>
          <cell r="AL57" t="str">
            <v>1</v>
          </cell>
          <cell r="AM57" t="str">
            <v>F</v>
          </cell>
          <cell r="AN57" t="str">
            <v>M0</v>
          </cell>
          <cell r="AO57" t="str">
            <v>Active(Model)</v>
          </cell>
          <cell r="AP57" t="str">
            <v/>
          </cell>
          <cell r="AQ57" t="str">
            <v/>
          </cell>
          <cell r="AR57" t="str">
            <v>Y</v>
          </cell>
          <cell r="AS57" t="str">
            <v/>
          </cell>
          <cell r="AT57" t="str">
            <v>VC</v>
          </cell>
          <cell r="AU57" t="str">
            <v>Vacuum Cleaner</v>
          </cell>
          <cell r="AV57" t="str">
            <v>VCVC</v>
          </cell>
          <cell r="AW57" t="str">
            <v>Vacuum Cleaner</v>
          </cell>
          <cell r="AX57" t="str">
            <v>VCVCCR</v>
          </cell>
          <cell r="AY57" t="str">
            <v>Canister</v>
          </cell>
          <cell r="AZ57" t="str">
            <v>VCVCCRSC</v>
          </cell>
          <cell r="BA57" t="str">
            <v>Single Cyclone(Canister)</v>
          </cell>
        </row>
        <row r="58">
          <cell r="E58" t="str">
            <v>C40SGY.AKOR1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1064</v>
          </cell>
          <cell r="O58">
            <v>266</v>
          </cell>
          <cell r="P58">
            <v>1064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>0.059887</v>
          </cell>
          <cell r="AL58" t="str">
            <v>1</v>
          </cell>
          <cell r="AM58" t="str">
            <v>F</v>
          </cell>
          <cell r="AN58" t="str">
            <v>M0</v>
          </cell>
          <cell r="AO58" t="str">
            <v>Active(Model)</v>
          </cell>
          <cell r="AP58" t="str">
            <v/>
          </cell>
          <cell r="AQ58" t="str">
            <v/>
          </cell>
          <cell r="AR58" t="str">
            <v>Y</v>
          </cell>
          <cell r="AS58" t="str">
            <v/>
          </cell>
          <cell r="AT58" t="str">
            <v>VC</v>
          </cell>
          <cell r="AU58" t="str">
            <v>Vacuum Cleaner</v>
          </cell>
          <cell r="AV58" t="str">
            <v>VCVC</v>
          </cell>
          <cell r="AW58" t="str">
            <v>Vacuum Cleaner</v>
          </cell>
          <cell r="AX58" t="str">
            <v>VCVCCR</v>
          </cell>
          <cell r="AY58" t="str">
            <v>Canister</v>
          </cell>
          <cell r="AZ58" t="str">
            <v>VCVCCRSC</v>
          </cell>
          <cell r="BA58" t="str">
            <v>Single Cyclone(Canister)</v>
          </cell>
        </row>
        <row r="59">
          <cell r="E59" t="str">
            <v>C40WGY.BKOR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463</v>
          </cell>
          <cell r="O59">
            <v>1139</v>
          </cell>
          <cell r="P59">
            <v>463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>0.060527</v>
          </cell>
          <cell r="AL59" t="str">
            <v>1</v>
          </cell>
          <cell r="AM59" t="str">
            <v>F</v>
          </cell>
          <cell r="AN59" t="str">
            <v>M0</v>
          </cell>
          <cell r="AO59" t="str">
            <v>Active(Model)</v>
          </cell>
          <cell r="AP59" t="str">
            <v/>
          </cell>
          <cell r="AQ59" t="str">
            <v/>
          </cell>
          <cell r="AR59" t="str">
            <v>Y</v>
          </cell>
          <cell r="AS59" t="str">
            <v/>
          </cell>
          <cell r="AT59" t="str">
            <v>VC</v>
          </cell>
          <cell r="AU59" t="str">
            <v>Vacuum Cleaner</v>
          </cell>
          <cell r="AV59" t="str">
            <v>VCVC</v>
          </cell>
          <cell r="AW59" t="str">
            <v>Vacuum Cleaner</v>
          </cell>
          <cell r="AX59" t="str">
            <v>VCVCCR</v>
          </cell>
          <cell r="AY59" t="str">
            <v>Canister</v>
          </cell>
          <cell r="AZ59" t="str">
            <v>VCVCCRSC</v>
          </cell>
          <cell r="BA59" t="str">
            <v>Single Cyclone(Canister)</v>
          </cell>
        </row>
        <row r="60">
          <cell r="E60" t="str">
            <v>CF101B-DAE0.BE1DPR4</v>
          </cell>
          <cell r="F60">
            <v>3850</v>
          </cell>
          <cell r="G60">
            <v>0</v>
          </cell>
          <cell r="H60">
            <v>0</v>
          </cell>
          <cell r="I60">
            <v>3850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4000</v>
          </cell>
          <cell r="O60">
            <v>4049</v>
          </cell>
          <cell r="P60">
            <v>4000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 t="str">
            <v/>
          </cell>
          <cell r="AH60" t="str">
            <v/>
          </cell>
          <cell r="AI60" t="str">
            <v>KR16P10503380</v>
          </cell>
          <cell r="AJ60" t="str">
            <v>KEDMF101501.ARFQ</v>
          </cell>
          <cell r="AK60" t="str">
            <v>0.001440</v>
          </cell>
          <cell r="AL60" t="str">
            <v>1</v>
          </cell>
          <cell r="AM60" t="str">
            <v>F</v>
          </cell>
          <cell r="AN60" t="str">
            <v>M0</v>
          </cell>
          <cell r="AO60" t="str">
            <v>Active(Model)</v>
          </cell>
          <cell r="AP60" t="str">
            <v/>
          </cell>
          <cell r="AQ60" t="str">
            <v/>
          </cell>
          <cell r="AR60" t="str">
            <v>Y</v>
          </cell>
          <cell r="AS60" t="str">
            <v/>
          </cell>
          <cell r="AT60" t="str">
            <v>SA</v>
          </cell>
          <cell r="AU60" t="str">
            <v>Vehicle Safety</v>
          </cell>
          <cell r="AV60" t="str">
            <v>SAAD</v>
          </cell>
          <cell r="AW60" t="str">
            <v>ADAS</v>
          </cell>
          <cell r="AX60" t="str">
            <v>SAADCA</v>
          </cell>
          <cell r="AY60" t="str">
            <v>Vehicle Camera</v>
          </cell>
          <cell r="AZ60" t="str">
            <v>SAADCAEC</v>
          </cell>
          <cell r="BA60" t="str">
            <v>External View Camera</v>
          </cell>
        </row>
        <row r="61">
          <cell r="E61" t="str">
            <v>CF101B-DAE0.BE1DPS4</v>
          </cell>
          <cell r="F61">
            <v>2013</v>
          </cell>
          <cell r="G61">
            <v>0</v>
          </cell>
          <cell r="H61">
            <v>0</v>
          </cell>
          <cell r="I61">
            <v>2013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4000</v>
          </cell>
          <cell r="O61">
            <v>3000</v>
          </cell>
          <cell r="P61">
            <v>4000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 t="str">
            <v/>
          </cell>
          <cell r="AH61" t="str">
            <v/>
          </cell>
          <cell r="AI61" t="str">
            <v>KR16P10503380</v>
          </cell>
          <cell r="AJ61" t="str">
            <v>KEDMF101501.ARFQ</v>
          </cell>
          <cell r="AK61" t="str">
            <v>0.001440</v>
          </cell>
          <cell r="AL61" t="str">
            <v>1</v>
          </cell>
          <cell r="AM61" t="str">
            <v>F</v>
          </cell>
          <cell r="AN61" t="str">
            <v>M0</v>
          </cell>
          <cell r="AO61" t="str">
            <v>Active(Model)</v>
          </cell>
          <cell r="AP61" t="str">
            <v/>
          </cell>
          <cell r="AQ61" t="str">
            <v/>
          </cell>
          <cell r="AR61" t="str">
            <v>Y</v>
          </cell>
          <cell r="AS61" t="str">
            <v/>
          </cell>
          <cell r="AT61" t="str">
            <v>SA</v>
          </cell>
          <cell r="AU61" t="str">
            <v>Vehicle Safety</v>
          </cell>
          <cell r="AV61" t="str">
            <v>SAAD</v>
          </cell>
          <cell r="AW61" t="str">
            <v>ADAS</v>
          </cell>
          <cell r="AX61" t="str">
            <v>SAADCA</v>
          </cell>
          <cell r="AY61" t="str">
            <v>Vehicle Camera</v>
          </cell>
          <cell r="AZ61" t="str">
            <v>SAADCAEC</v>
          </cell>
          <cell r="BA61" t="str">
            <v>External View Camera</v>
          </cell>
        </row>
        <row r="62">
          <cell r="E62" t="str">
            <v>CF102C-DAE0.BE2P2F4</v>
          </cell>
          <cell r="F62">
            <v>3009</v>
          </cell>
          <cell r="G62">
            <v>0</v>
          </cell>
          <cell r="H62">
            <v>0</v>
          </cell>
          <cell r="I62">
            <v>3009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3000</v>
          </cell>
          <cell r="O62">
            <v>1991</v>
          </cell>
          <cell r="P62">
            <v>3000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 t="str">
            <v/>
          </cell>
          <cell r="AH62" t="str">
            <v/>
          </cell>
          <cell r="AI62" t="str">
            <v>KR21P17277800</v>
          </cell>
          <cell r="AJ62" t="str">
            <v>KEDMF1002C1.ARFQ</v>
          </cell>
          <cell r="AK62" t="str">
            <v>0.001440</v>
          </cell>
          <cell r="AL62" t="str">
            <v>1</v>
          </cell>
          <cell r="AM62" t="str">
            <v>F</v>
          </cell>
          <cell r="AN62" t="str">
            <v>M0</v>
          </cell>
          <cell r="AO62" t="str">
            <v>Active(Model)</v>
          </cell>
          <cell r="AP62" t="str">
            <v/>
          </cell>
          <cell r="AQ62" t="str">
            <v/>
          </cell>
          <cell r="AR62" t="str">
            <v>Y</v>
          </cell>
          <cell r="AS62" t="str">
            <v/>
          </cell>
          <cell r="AT62" t="str">
            <v>SA</v>
          </cell>
          <cell r="AU62" t="str">
            <v>Vehicle Safety</v>
          </cell>
          <cell r="AV62" t="str">
            <v>SAAD</v>
          </cell>
          <cell r="AW62" t="str">
            <v>ADAS</v>
          </cell>
          <cell r="AX62" t="str">
            <v>SAADCA</v>
          </cell>
          <cell r="AY62" t="str">
            <v>Vehicle Camera</v>
          </cell>
          <cell r="AZ62" t="str">
            <v>SAADCAEC</v>
          </cell>
          <cell r="BA62" t="str">
            <v>External View Camera</v>
          </cell>
        </row>
        <row r="63">
          <cell r="E63" t="str">
            <v>CF102C-DAE0.BE2V2F4</v>
          </cell>
          <cell r="F63">
            <v>0</v>
          </cell>
          <cell r="G63">
            <v>0</v>
          </cell>
          <cell r="H63">
            <v>0</v>
          </cell>
          <cell r="I63">
            <v>1400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3600</v>
          </cell>
          <cell r="O63">
            <v>6900</v>
          </cell>
          <cell r="P63">
            <v>3600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str">
            <v/>
          </cell>
          <cell r="AH63" t="str">
            <v/>
          </cell>
          <cell r="AI63" t="str">
            <v>KR21P17277800</v>
          </cell>
          <cell r="AJ63" t="str">
            <v>KEDMF1002D3.ARFQ</v>
          </cell>
          <cell r="AK63" t="str">
            <v>0.001440</v>
          </cell>
          <cell r="AL63" t="str">
            <v>1</v>
          </cell>
          <cell r="AM63" t="str">
            <v>F</v>
          </cell>
          <cell r="AN63" t="str">
            <v>M0</v>
          </cell>
          <cell r="AO63" t="str">
            <v>Active(Model)</v>
          </cell>
          <cell r="AP63" t="str">
            <v/>
          </cell>
          <cell r="AQ63" t="str">
            <v/>
          </cell>
          <cell r="AR63" t="str">
            <v>Y</v>
          </cell>
          <cell r="AS63" t="str">
            <v/>
          </cell>
          <cell r="AT63" t="str">
            <v>SA</v>
          </cell>
          <cell r="AU63" t="str">
            <v>Vehicle Safety</v>
          </cell>
          <cell r="AV63" t="str">
            <v>SAAD</v>
          </cell>
          <cell r="AW63" t="str">
            <v>ADAS</v>
          </cell>
          <cell r="AX63" t="str">
            <v>SAADCA</v>
          </cell>
          <cell r="AY63" t="str">
            <v>Vehicle Camera</v>
          </cell>
          <cell r="AZ63" t="str">
            <v>SAADCAEC</v>
          </cell>
          <cell r="BA63" t="str">
            <v>External View Camera</v>
          </cell>
        </row>
        <row r="64">
          <cell r="E64" t="str">
            <v>CI2VMAFDAG0.BEUD005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250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 t="str">
            <v/>
          </cell>
          <cell r="AH64" t="str">
            <v/>
          </cell>
          <cell r="AI64" t="str">
            <v>KR16P06720200</v>
          </cell>
          <cell r="AJ64" t="str">
            <v>KIDMF2GV191.ARFQ</v>
          </cell>
          <cell r="AK64" t="str">
            <v>0.002250</v>
          </cell>
          <cell r="AL64" t="str">
            <v>1</v>
          </cell>
          <cell r="AM64" t="str">
            <v>F</v>
          </cell>
          <cell r="AN64" t="str">
            <v>M0</v>
          </cell>
          <cell r="AO64" t="str">
            <v>Active(Model)</v>
          </cell>
          <cell r="AP64" t="str">
            <v/>
          </cell>
          <cell r="AQ64" t="str">
            <v/>
          </cell>
          <cell r="AR64" t="str">
            <v>Y</v>
          </cell>
          <cell r="AS64" t="str">
            <v/>
          </cell>
          <cell r="AT64" t="str">
            <v>SA</v>
          </cell>
          <cell r="AU64" t="str">
            <v>Vehicle Safety</v>
          </cell>
          <cell r="AV64" t="str">
            <v>SAAD</v>
          </cell>
          <cell r="AW64" t="str">
            <v>ADAS</v>
          </cell>
          <cell r="AX64" t="str">
            <v>SAADCA</v>
          </cell>
          <cell r="AY64" t="str">
            <v>Vehicle Camera</v>
          </cell>
          <cell r="AZ64" t="str">
            <v>SAADCAIC</v>
          </cell>
          <cell r="BA64" t="str">
            <v>Internal View Camera</v>
          </cell>
        </row>
        <row r="65">
          <cell r="E65" t="str">
            <v>CI2VMARDAG0.BEUD006</v>
          </cell>
          <cell r="F65">
            <v>230</v>
          </cell>
          <cell r="G65">
            <v>0</v>
          </cell>
          <cell r="H65">
            <v>0</v>
          </cell>
          <cell r="I65">
            <v>230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 t="str">
            <v/>
          </cell>
          <cell r="AH65" t="str">
            <v/>
          </cell>
          <cell r="AI65" t="str">
            <v>KR16P06720200</v>
          </cell>
          <cell r="AJ65" t="str">
            <v>KIDMR2GV191.ARFQ</v>
          </cell>
          <cell r="AK65" t="str">
            <v>0.002529</v>
          </cell>
          <cell r="AL65" t="str">
            <v>1</v>
          </cell>
          <cell r="AM65" t="str">
            <v>F</v>
          </cell>
          <cell r="AN65" t="str">
            <v>M0</v>
          </cell>
          <cell r="AO65" t="str">
            <v>Active(Model)</v>
          </cell>
          <cell r="AP65" t="str">
            <v/>
          </cell>
          <cell r="AQ65" t="str">
            <v/>
          </cell>
          <cell r="AR65" t="str">
            <v>Y</v>
          </cell>
          <cell r="AS65" t="str">
            <v/>
          </cell>
          <cell r="AT65" t="str">
            <v>SA</v>
          </cell>
          <cell r="AU65" t="str">
            <v>Vehicle Safety</v>
          </cell>
          <cell r="AV65" t="str">
            <v>SAAD</v>
          </cell>
          <cell r="AW65" t="str">
            <v>ADAS</v>
          </cell>
          <cell r="AX65" t="str">
            <v>SAADCA</v>
          </cell>
          <cell r="AY65" t="str">
            <v>Vehicle Camera</v>
          </cell>
          <cell r="AZ65" t="str">
            <v>SAADCAIC</v>
          </cell>
          <cell r="BA65" t="str">
            <v>Internal View Camera</v>
          </cell>
        </row>
        <row r="66">
          <cell r="E66" t="str">
            <v>CI2VMBFDAG0.BEUD008</v>
          </cell>
          <cell r="F66">
            <v>255</v>
          </cell>
          <cell r="G66">
            <v>0</v>
          </cell>
          <cell r="H66">
            <v>0</v>
          </cell>
          <cell r="I66">
            <v>1195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640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str">
            <v/>
          </cell>
          <cell r="AH66" t="str">
            <v/>
          </cell>
          <cell r="AI66" t="str">
            <v>KR20P16931720</v>
          </cell>
          <cell r="AJ66" t="str">
            <v>KIDMF2GV2C1.ARFQ</v>
          </cell>
          <cell r="AK66" t="str">
            <v>0.002250</v>
          </cell>
          <cell r="AL66" t="str">
            <v>1</v>
          </cell>
          <cell r="AM66" t="str">
            <v>F</v>
          </cell>
          <cell r="AN66" t="str">
            <v>M0</v>
          </cell>
          <cell r="AO66" t="str">
            <v>Active(Model)</v>
          </cell>
          <cell r="AP66" t="str">
            <v/>
          </cell>
          <cell r="AQ66" t="str">
            <v/>
          </cell>
          <cell r="AR66" t="str">
            <v>Y</v>
          </cell>
          <cell r="AS66" t="str">
            <v/>
          </cell>
          <cell r="AT66" t="str">
            <v>SA</v>
          </cell>
          <cell r="AU66" t="str">
            <v>Vehicle Safety</v>
          </cell>
          <cell r="AV66" t="str">
            <v>SAAD</v>
          </cell>
          <cell r="AW66" t="str">
            <v>ADAS</v>
          </cell>
          <cell r="AX66" t="str">
            <v>SAADCA</v>
          </cell>
          <cell r="AY66" t="str">
            <v>Vehicle Camera</v>
          </cell>
          <cell r="AZ66" t="str">
            <v>SAADCAIC</v>
          </cell>
          <cell r="BA66" t="str">
            <v>Internal View Camera</v>
          </cell>
        </row>
        <row r="67">
          <cell r="E67" t="str">
            <v>CID09AC-RFH.BKR9P</v>
          </cell>
          <cell r="F67">
            <v>0</v>
          </cell>
          <cell r="G67">
            <v>0</v>
          </cell>
          <cell r="H67">
            <v>0</v>
          </cell>
          <cell r="I67">
            <v>10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str">
            <v/>
          </cell>
          <cell r="AH67" t="str">
            <v/>
          </cell>
          <cell r="AI67" t="str">
            <v>KR15P03138050</v>
          </cell>
          <cell r="AJ67" t="str">
            <v>DLRN09AC7C1.ARFQ</v>
          </cell>
          <cell r="AK67" t="str">
            <v>0.009000</v>
          </cell>
          <cell r="AL67" t="str">
            <v>0</v>
          </cell>
          <cell r="AM67" t="str">
            <v>F</v>
          </cell>
          <cell r="AN67" t="str">
            <v>M0</v>
          </cell>
          <cell r="AO67" t="str">
            <v>Active(Model)</v>
          </cell>
          <cell r="AP67" t="str">
            <v/>
          </cell>
          <cell r="AQ67" t="str">
            <v/>
          </cell>
          <cell r="AR67" t="str">
            <v>Y</v>
          </cell>
          <cell r="AS67" t="str">
            <v/>
          </cell>
          <cell r="AT67" t="str">
            <v>IN</v>
          </cell>
          <cell r="AU67" t="str">
            <v>Infotainment</v>
          </cell>
          <cell r="AV67" t="str">
            <v>INDI</v>
          </cell>
          <cell r="AW67" t="str">
            <v>Vehicle Display</v>
          </cell>
          <cell r="AX67" t="str">
            <v>INDICI</v>
          </cell>
          <cell r="AY67" t="str">
            <v>CID</v>
          </cell>
          <cell r="AZ67" t="str">
            <v>INDICILC</v>
          </cell>
          <cell r="BA67" t="str">
            <v>LCD CID</v>
          </cell>
        </row>
        <row r="68">
          <cell r="E68" t="str">
            <v>CID10AT-DT9.BU6DT06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443</v>
          </cell>
          <cell r="O68">
            <v>0</v>
          </cell>
          <cell r="P68">
            <v>443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 t="str">
            <v/>
          </cell>
          <cell r="AH68" t="str">
            <v/>
          </cell>
          <cell r="AI68" t="str">
            <v>KR14P70289250</v>
          </cell>
          <cell r="AJ68" t="str">
            <v>DLDM10AT0A1.ARFQ</v>
          </cell>
          <cell r="AK68" t="str">
            <v>0.010748</v>
          </cell>
          <cell r="AL68" t="str">
            <v>1</v>
          </cell>
          <cell r="AM68" t="str">
            <v>F</v>
          </cell>
          <cell r="AN68" t="str">
            <v>M0</v>
          </cell>
          <cell r="AO68" t="str">
            <v>Active(Model)</v>
          </cell>
          <cell r="AP68" t="str">
            <v/>
          </cell>
          <cell r="AQ68" t="str">
            <v/>
          </cell>
          <cell r="AR68" t="str">
            <v>Y</v>
          </cell>
          <cell r="AS68" t="str">
            <v/>
          </cell>
          <cell r="AT68" t="str">
            <v>IN</v>
          </cell>
          <cell r="AU68" t="str">
            <v>Infotainment</v>
          </cell>
          <cell r="AV68" t="str">
            <v>INDI</v>
          </cell>
          <cell r="AW68" t="str">
            <v>Vehicle Display</v>
          </cell>
          <cell r="AX68" t="str">
            <v>INDICI</v>
          </cell>
          <cell r="AY68" t="str">
            <v>CID</v>
          </cell>
          <cell r="AZ68" t="str">
            <v>INDICILC</v>
          </cell>
          <cell r="BA68" t="str">
            <v>LCD CID</v>
          </cell>
        </row>
        <row r="69">
          <cell r="E69" t="str">
            <v>CID10AT-PJ1.BEU3PAH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197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str">
            <v/>
          </cell>
          <cell r="AH69" t="str">
            <v/>
          </cell>
          <cell r="AI69" t="str">
            <v>KR15P11079890</v>
          </cell>
          <cell r="AJ69" t="str">
            <v>DLVO10LI180.ARFQ</v>
          </cell>
          <cell r="AK69" t="str">
            <v>0.008227</v>
          </cell>
          <cell r="AL69" t="str">
            <v>1</v>
          </cell>
          <cell r="AM69" t="str">
            <v>F</v>
          </cell>
          <cell r="AN69" t="str">
            <v>M0</v>
          </cell>
          <cell r="AO69" t="str">
            <v>Active(Model)</v>
          </cell>
          <cell r="AP69" t="str">
            <v/>
          </cell>
          <cell r="AQ69" t="str">
            <v/>
          </cell>
          <cell r="AR69" t="str">
            <v>Y</v>
          </cell>
          <cell r="AS69" t="str">
            <v/>
          </cell>
          <cell r="AT69" t="str">
            <v>IN</v>
          </cell>
          <cell r="AU69" t="str">
            <v>Infotainment</v>
          </cell>
          <cell r="AV69" t="str">
            <v>INDI</v>
          </cell>
          <cell r="AW69" t="str">
            <v>Vehicle Display</v>
          </cell>
          <cell r="AX69" t="str">
            <v>INDICI</v>
          </cell>
          <cell r="AY69" t="str">
            <v>CID</v>
          </cell>
          <cell r="AZ69" t="str">
            <v>INDICILC</v>
          </cell>
          <cell r="BA69" t="str">
            <v>LCD CID</v>
          </cell>
        </row>
        <row r="70">
          <cell r="E70" t="str">
            <v>CID10LT-BR2.BEUB541</v>
          </cell>
          <cell r="F70">
            <v>317</v>
          </cell>
          <cell r="G70">
            <v>0</v>
          </cell>
          <cell r="H70">
            <v>0</v>
          </cell>
          <cell r="I70">
            <v>317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str">
            <v/>
          </cell>
          <cell r="AH70" t="str">
            <v/>
          </cell>
          <cell r="AI70" t="str">
            <v>KR14P40964200</v>
          </cell>
          <cell r="AJ70" t="str">
            <v>DLBM10AT005.ARFQ</v>
          </cell>
          <cell r="AK70" t="str">
            <v>0.004478</v>
          </cell>
          <cell r="AL70" t="str">
            <v>1</v>
          </cell>
          <cell r="AM70" t="str">
            <v>F</v>
          </cell>
          <cell r="AN70" t="str">
            <v>M0</v>
          </cell>
          <cell r="AO70" t="str">
            <v>Active(Model)</v>
          </cell>
          <cell r="AP70" t="str">
            <v/>
          </cell>
          <cell r="AQ70" t="str">
            <v/>
          </cell>
          <cell r="AR70" t="str">
            <v>Y</v>
          </cell>
          <cell r="AS70" t="str">
            <v/>
          </cell>
          <cell r="AT70" t="str">
            <v>IN</v>
          </cell>
          <cell r="AU70" t="str">
            <v>Infotainment</v>
          </cell>
          <cell r="AV70" t="str">
            <v>INDI</v>
          </cell>
          <cell r="AW70" t="str">
            <v>Vehicle Display</v>
          </cell>
          <cell r="AX70" t="str">
            <v>INDICI</v>
          </cell>
          <cell r="AY70" t="str">
            <v>CID</v>
          </cell>
          <cell r="AZ70" t="str">
            <v>INDICILC</v>
          </cell>
          <cell r="BA70" t="str">
            <v>LCD CID</v>
          </cell>
        </row>
        <row r="71">
          <cell r="E71" t="str">
            <v>CID10LT-P9L.BEU3PAK</v>
          </cell>
          <cell r="F71">
            <v>559</v>
          </cell>
          <cell r="G71">
            <v>0</v>
          </cell>
          <cell r="H71">
            <v>0</v>
          </cell>
          <cell r="I71">
            <v>559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576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 t="str">
            <v/>
          </cell>
          <cell r="AH71" t="str">
            <v/>
          </cell>
          <cell r="AI71" t="str">
            <v>KR15P11079890</v>
          </cell>
          <cell r="AJ71" t="str">
            <v>DLVO10LI181.ARFQ</v>
          </cell>
          <cell r="AK71" t="str">
            <v>0.007800</v>
          </cell>
          <cell r="AL71" t="str">
            <v>1</v>
          </cell>
          <cell r="AM71" t="str">
            <v>F</v>
          </cell>
          <cell r="AN71" t="str">
            <v>M0</v>
          </cell>
          <cell r="AO71" t="str">
            <v>Active(Model)</v>
          </cell>
          <cell r="AP71" t="str">
            <v/>
          </cell>
          <cell r="AQ71" t="str">
            <v/>
          </cell>
          <cell r="AR71" t="str">
            <v>Y</v>
          </cell>
          <cell r="AS71" t="str">
            <v/>
          </cell>
          <cell r="AT71" t="str">
            <v>IN</v>
          </cell>
          <cell r="AU71" t="str">
            <v>Infotainment</v>
          </cell>
          <cell r="AV71" t="str">
            <v>INDI</v>
          </cell>
          <cell r="AW71" t="str">
            <v>Vehicle Display</v>
          </cell>
          <cell r="AX71" t="str">
            <v>INDICI</v>
          </cell>
          <cell r="AY71" t="str">
            <v>CID</v>
          </cell>
          <cell r="AZ71" t="str">
            <v>INDICILC</v>
          </cell>
          <cell r="BA71" t="str">
            <v>LCD CID</v>
          </cell>
        </row>
        <row r="72">
          <cell r="E72" t="str">
            <v>CID10RT-P9R.BEU3PAL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192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str">
            <v/>
          </cell>
          <cell r="AH72" t="str">
            <v/>
          </cell>
          <cell r="AI72" t="str">
            <v>KR15P11079890</v>
          </cell>
          <cell r="AJ72" t="str">
            <v>DLVP10RI018.ARFQ</v>
          </cell>
          <cell r="AK72" t="str">
            <v>0.007800</v>
          </cell>
          <cell r="AL72" t="str">
            <v>1</v>
          </cell>
          <cell r="AM72" t="str">
            <v>F</v>
          </cell>
          <cell r="AN72" t="str">
            <v>M0</v>
          </cell>
          <cell r="AO72" t="str">
            <v>Active(Model)</v>
          </cell>
          <cell r="AP72" t="str">
            <v/>
          </cell>
          <cell r="AQ72" t="str">
            <v/>
          </cell>
          <cell r="AR72" t="str">
            <v>Y</v>
          </cell>
          <cell r="AS72" t="str">
            <v/>
          </cell>
          <cell r="AT72" t="str">
            <v>IN</v>
          </cell>
          <cell r="AU72" t="str">
            <v>Infotainment</v>
          </cell>
          <cell r="AV72" t="str">
            <v>INDI</v>
          </cell>
          <cell r="AW72" t="str">
            <v>Vehicle Display</v>
          </cell>
          <cell r="AX72" t="str">
            <v>INDICI</v>
          </cell>
          <cell r="AY72" t="str">
            <v>CID</v>
          </cell>
          <cell r="AZ72" t="str">
            <v>INDICILC</v>
          </cell>
          <cell r="BA72" t="str">
            <v>LCD CID</v>
          </cell>
        </row>
        <row r="73">
          <cell r="E73" t="str">
            <v>CID12AT-LLB.BP3UR4N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140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 t="str">
            <v/>
          </cell>
          <cell r="AH73" t="str">
            <v/>
          </cell>
          <cell r="AI73" t="str">
            <v>KR21P10088510</v>
          </cell>
          <cell r="AJ73" t="str">
            <v>DLVL00AP0D0.ARFQ</v>
          </cell>
          <cell r="AK73" t="str">
            <v>0.007800</v>
          </cell>
          <cell r="AL73" t="str">
            <v>1</v>
          </cell>
          <cell r="AM73" t="str">
            <v>F</v>
          </cell>
          <cell r="AN73" t="str">
            <v>M0</v>
          </cell>
          <cell r="AO73" t="str">
            <v>Active(Model)</v>
          </cell>
          <cell r="AP73" t="str">
            <v/>
          </cell>
          <cell r="AQ73" t="str">
            <v/>
          </cell>
          <cell r="AR73" t="str">
            <v>Y</v>
          </cell>
          <cell r="AS73" t="str">
            <v/>
          </cell>
          <cell r="AT73" t="str">
            <v>IN</v>
          </cell>
          <cell r="AU73" t="str">
            <v>Infotainment</v>
          </cell>
          <cell r="AV73" t="str">
            <v>INDI</v>
          </cell>
          <cell r="AW73" t="str">
            <v>Vehicle Display</v>
          </cell>
          <cell r="AX73" t="str">
            <v>INDICI</v>
          </cell>
          <cell r="AY73" t="str">
            <v>CID</v>
          </cell>
          <cell r="AZ73" t="str">
            <v>INDICILC</v>
          </cell>
          <cell r="BA73" t="str">
            <v>LCD CID</v>
          </cell>
        </row>
        <row r="74">
          <cell r="E74" t="str">
            <v>CID12AT-PEP.BEUE3E2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3</v>
          </cell>
          <cell r="O74">
            <v>0</v>
          </cell>
          <cell r="P74">
            <v>3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 t="str">
            <v/>
          </cell>
          <cell r="AH74" t="str">
            <v/>
          </cell>
          <cell r="AI74" t="str">
            <v>KR19P09912960</v>
          </cell>
          <cell r="AJ74" t="str">
            <v>DLVO12AP0B0.ARFQ</v>
          </cell>
          <cell r="AK74" t="str">
            <v>0.009216</v>
          </cell>
          <cell r="AL74" t="str">
            <v>1</v>
          </cell>
          <cell r="AM74" t="str">
            <v>F</v>
          </cell>
          <cell r="AN74" t="str">
            <v>M0</v>
          </cell>
          <cell r="AO74" t="str">
            <v>Active(Model)</v>
          </cell>
          <cell r="AP74" t="str">
            <v/>
          </cell>
          <cell r="AQ74" t="str">
            <v/>
          </cell>
          <cell r="AR74" t="str">
            <v>Y</v>
          </cell>
          <cell r="AS74" t="str">
            <v/>
          </cell>
          <cell r="AT74" t="str">
            <v>IN</v>
          </cell>
          <cell r="AU74" t="str">
            <v>Infotainment</v>
          </cell>
          <cell r="AV74" t="str">
            <v>INDI</v>
          </cell>
          <cell r="AW74" t="str">
            <v>Vehicle Display</v>
          </cell>
          <cell r="AX74" t="str">
            <v>INDICI</v>
          </cell>
          <cell r="AY74" t="str">
            <v>CID</v>
          </cell>
          <cell r="AZ74" t="str">
            <v>INDICILC</v>
          </cell>
          <cell r="BA74" t="str">
            <v>LCD CID</v>
          </cell>
        </row>
        <row r="75">
          <cell r="E75" t="str">
            <v>CID12AT-PEP.BEUE3F</v>
          </cell>
          <cell r="F75">
            <v>1376</v>
          </cell>
          <cell r="G75">
            <v>0</v>
          </cell>
          <cell r="H75">
            <v>0</v>
          </cell>
          <cell r="I75">
            <v>1376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120</v>
          </cell>
          <cell r="O75">
            <v>1120</v>
          </cell>
          <cell r="P75">
            <v>120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 t="str">
            <v/>
          </cell>
          <cell r="AH75" t="str">
            <v/>
          </cell>
          <cell r="AI75" t="str">
            <v>KR19P09912960</v>
          </cell>
          <cell r="AJ75" t="str">
            <v>DLVO12AP0B0.ARFQ</v>
          </cell>
          <cell r="AK75" t="str">
            <v>0.009216</v>
          </cell>
          <cell r="AL75" t="str">
            <v>1</v>
          </cell>
          <cell r="AM75" t="str">
            <v>F</v>
          </cell>
          <cell r="AN75" t="str">
            <v>M0</v>
          </cell>
          <cell r="AO75" t="str">
            <v>Active(Model)</v>
          </cell>
          <cell r="AP75" t="str">
            <v/>
          </cell>
          <cell r="AQ75" t="str">
            <v/>
          </cell>
          <cell r="AR75" t="str">
            <v>Y</v>
          </cell>
          <cell r="AS75" t="str">
            <v/>
          </cell>
          <cell r="AT75" t="str">
            <v>IN</v>
          </cell>
          <cell r="AU75" t="str">
            <v>Infotainment</v>
          </cell>
          <cell r="AV75" t="str">
            <v>INDI</v>
          </cell>
          <cell r="AW75" t="str">
            <v>Vehicle Display</v>
          </cell>
          <cell r="AX75" t="str">
            <v>INDICI</v>
          </cell>
          <cell r="AY75" t="str">
            <v>CID</v>
          </cell>
          <cell r="AZ75" t="str">
            <v>INDICILC</v>
          </cell>
          <cell r="BA75" t="str">
            <v>LCD CID</v>
          </cell>
        </row>
        <row r="76">
          <cell r="E76" t="str">
            <v>CID12AT-PG3.BEUG3F</v>
          </cell>
          <cell r="F76">
            <v>150</v>
          </cell>
          <cell r="G76">
            <v>0</v>
          </cell>
          <cell r="H76">
            <v>0</v>
          </cell>
          <cell r="I76">
            <v>150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335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 t="str">
            <v/>
          </cell>
          <cell r="AH76" t="str">
            <v/>
          </cell>
          <cell r="AI76" t="str">
            <v>KR19P09912960</v>
          </cell>
          <cell r="AJ76" t="str">
            <v>DLVO12AP0B1.ARFQ</v>
          </cell>
          <cell r="AK76" t="str">
            <v>0.009216</v>
          </cell>
          <cell r="AL76" t="str">
            <v>1</v>
          </cell>
          <cell r="AM76" t="str">
            <v>F</v>
          </cell>
          <cell r="AN76" t="str">
            <v>M0</v>
          </cell>
          <cell r="AO76" t="str">
            <v>Active(Model)</v>
          </cell>
          <cell r="AP76" t="str">
            <v/>
          </cell>
          <cell r="AQ76" t="str">
            <v/>
          </cell>
          <cell r="AR76" t="str">
            <v>Y</v>
          </cell>
          <cell r="AS76" t="str">
            <v/>
          </cell>
          <cell r="AT76" t="str">
            <v>IN</v>
          </cell>
          <cell r="AU76" t="str">
            <v>Infotainment</v>
          </cell>
          <cell r="AV76" t="str">
            <v>INDI</v>
          </cell>
          <cell r="AW76" t="str">
            <v>Vehicle Display</v>
          </cell>
          <cell r="AX76" t="str">
            <v>INDICI</v>
          </cell>
          <cell r="AY76" t="str">
            <v>CID</v>
          </cell>
          <cell r="AZ76" t="str">
            <v>INDICILC</v>
          </cell>
          <cell r="BA76" t="str">
            <v>LCD CID</v>
          </cell>
        </row>
        <row r="77">
          <cell r="E77" t="str">
            <v>CID12LT-DP3.BEUDB12</v>
          </cell>
          <cell r="F77">
            <v>0</v>
          </cell>
          <cell r="G77">
            <v>0</v>
          </cell>
          <cell r="H77">
            <v>0</v>
          </cell>
          <cell r="I77">
            <v>208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 t="str">
            <v/>
          </cell>
          <cell r="AH77" t="str">
            <v/>
          </cell>
          <cell r="AI77" t="str">
            <v>KR16P11585760</v>
          </cell>
          <cell r="AJ77" t="str">
            <v>DODM12AT100.ARFQ</v>
          </cell>
          <cell r="AK77" t="str">
            <v>0.007200</v>
          </cell>
          <cell r="AL77" t="str">
            <v>1</v>
          </cell>
          <cell r="AM77" t="str">
            <v>F</v>
          </cell>
          <cell r="AN77" t="str">
            <v>M0</v>
          </cell>
          <cell r="AO77" t="str">
            <v>Active(Model)</v>
          </cell>
          <cell r="AP77" t="str">
            <v/>
          </cell>
          <cell r="AQ77" t="str">
            <v/>
          </cell>
          <cell r="AR77" t="str">
            <v>Y</v>
          </cell>
          <cell r="AS77" t="str">
            <v/>
          </cell>
          <cell r="AT77" t="str">
            <v>IN</v>
          </cell>
          <cell r="AU77" t="str">
            <v>Infotainment</v>
          </cell>
          <cell r="AV77" t="str">
            <v>INDI</v>
          </cell>
          <cell r="AW77" t="str">
            <v>Vehicle Display</v>
          </cell>
          <cell r="AX77" t="str">
            <v>INDICI</v>
          </cell>
          <cell r="AY77" t="str">
            <v>CID</v>
          </cell>
          <cell r="AZ77" t="str">
            <v>INDICIPO</v>
          </cell>
          <cell r="BA77" t="str">
            <v>POLED CID</v>
          </cell>
        </row>
        <row r="78">
          <cell r="E78" t="str">
            <v>CID14LS-PEI.BEU1PP2</v>
          </cell>
          <cell r="F78">
            <v>182</v>
          </cell>
          <cell r="G78">
            <v>0</v>
          </cell>
          <cell r="H78">
            <v>0</v>
          </cell>
          <cell r="I78">
            <v>182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464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 t="str">
            <v/>
          </cell>
          <cell r="AH78" t="str">
            <v/>
          </cell>
          <cell r="AI78" t="str">
            <v>KR21P03865180</v>
          </cell>
          <cell r="AJ78" t="str">
            <v>DLVO01LC0D1.ARFQ</v>
          </cell>
          <cell r="AK78" t="str">
            <v>0.050274</v>
          </cell>
          <cell r="AL78" t="str">
            <v>1</v>
          </cell>
          <cell r="AM78" t="str">
            <v>F</v>
          </cell>
          <cell r="AN78" t="str">
            <v>M0</v>
          </cell>
          <cell r="AO78" t="str">
            <v>Active(Model)</v>
          </cell>
          <cell r="AP78" t="str">
            <v/>
          </cell>
          <cell r="AQ78" t="str">
            <v/>
          </cell>
          <cell r="AR78" t="str">
            <v>Y</v>
          </cell>
          <cell r="AS78" t="str">
            <v/>
          </cell>
          <cell r="AT78" t="str">
            <v>IN</v>
          </cell>
          <cell r="AU78" t="str">
            <v>Infotainment</v>
          </cell>
          <cell r="AV78" t="str">
            <v>INDI</v>
          </cell>
          <cell r="AW78" t="str">
            <v>Vehicle Display</v>
          </cell>
          <cell r="AX78" t="str">
            <v>INDICI</v>
          </cell>
          <cell r="AY78" t="str">
            <v>CID</v>
          </cell>
          <cell r="AZ78" t="str">
            <v>INDICIPO</v>
          </cell>
          <cell r="BA78" t="str">
            <v>POLED CID</v>
          </cell>
        </row>
        <row r="79">
          <cell r="E79" t="str">
            <v>CID14RS-PEI.BEU1PQ2</v>
          </cell>
          <cell r="F79">
            <v>1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80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 t="str">
            <v/>
          </cell>
          <cell r="AH79" t="str">
            <v/>
          </cell>
          <cell r="AI79" t="str">
            <v>KR21P03865180</v>
          </cell>
          <cell r="AJ79" t="str">
            <v>DLVO01RC0D1.ARFQ</v>
          </cell>
          <cell r="AK79" t="str">
            <v>0.050274</v>
          </cell>
          <cell r="AL79" t="str">
            <v>1</v>
          </cell>
          <cell r="AM79" t="str">
            <v>F</v>
          </cell>
          <cell r="AN79" t="str">
            <v>M0</v>
          </cell>
          <cell r="AO79" t="str">
            <v>Active(Model)</v>
          </cell>
          <cell r="AP79" t="str">
            <v/>
          </cell>
          <cell r="AQ79" t="str">
            <v/>
          </cell>
          <cell r="AR79" t="str">
            <v>Y</v>
          </cell>
          <cell r="AS79" t="str">
            <v/>
          </cell>
          <cell r="AT79" t="str">
            <v>IN</v>
          </cell>
          <cell r="AU79" t="str">
            <v>Infotainment</v>
          </cell>
          <cell r="AV79" t="str">
            <v>INDI</v>
          </cell>
          <cell r="AW79" t="str">
            <v>Vehicle Display</v>
          </cell>
          <cell r="AX79" t="str">
            <v>INDICI</v>
          </cell>
          <cell r="AY79" t="str">
            <v>CID</v>
          </cell>
          <cell r="AZ79" t="str">
            <v>INDICIPO</v>
          </cell>
          <cell r="BA79" t="str">
            <v>POLED CID</v>
          </cell>
        </row>
        <row r="80">
          <cell r="E80" t="str">
            <v>CLHK09FG1F0.BKOCNN1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2986</v>
          </cell>
          <cell r="O80">
            <v>0</v>
          </cell>
          <cell r="P80">
            <v>2986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str">
            <v/>
          </cell>
          <cell r="AH80" t="str">
            <v/>
          </cell>
          <cell r="AI80" t="str">
            <v>KR23P00023210</v>
          </cell>
          <cell r="AJ80" t="str">
            <v>CLHK09FG1F0.ARFQ</v>
          </cell>
          <cell r="AK80" t="str">
            <v>0.003584</v>
          </cell>
          <cell r="AL80" t="str">
            <v>1</v>
          </cell>
          <cell r="AM80" t="str">
            <v>F</v>
          </cell>
          <cell r="AN80" t="str">
            <v>M0</v>
          </cell>
          <cell r="AO80" t="str">
            <v>Active(Model)</v>
          </cell>
          <cell r="AP80" t="str">
            <v/>
          </cell>
          <cell r="AQ80" t="str">
            <v/>
          </cell>
          <cell r="AR80" t="str">
            <v>Y</v>
          </cell>
          <cell r="AS80" t="str">
            <v/>
          </cell>
          <cell r="AT80" t="str">
            <v>IN</v>
          </cell>
          <cell r="AU80" t="str">
            <v>Infotainment</v>
          </cell>
          <cell r="AV80" t="str">
            <v>INDI</v>
          </cell>
          <cell r="AW80" t="str">
            <v>Vehicle Display</v>
          </cell>
          <cell r="AX80" t="str">
            <v>INDICL</v>
          </cell>
          <cell r="AY80" t="str">
            <v>Cluster</v>
          </cell>
          <cell r="AZ80" t="str">
            <v>INDICLLC</v>
          </cell>
          <cell r="BA80" t="str">
            <v>LCD Cluster</v>
          </cell>
        </row>
        <row r="81">
          <cell r="E81" t="str">
            <v>CLHK12FE2D1.BKOSVL3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715</v>
          </cell>
          <cell r="O81">
            <v>150</v>
          </cell>
          <cell r="P81">
            <v>715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 t="str">
            <v/>
          </cell>
          <cell r="AH81" t="str">
            <v/>
          </cell>
          <cell r="AI81" t="str">
            <v>KR21P00188700</v>
          </cell>
          <cell r="AJ81" t="str">
            <v>CLHK12FE2D1.ARFQ</v>
          </cell>
          <cell r="AK81" t="str">
            <v>0.018400</v>
          </cell>
          <cell r="AL81" t="str">
            <v>1</v>
          </cell>
          <cell r="AM81" t="str">
            <v>F</v>
          </cell>
          <cell r="AN81" t="str">
            <v>M0</v>
          </cell>
          <cell r="AO81" t="str">
            <v>Active(Model)</v>
          </cell>
          <cell r="AP81" t="str">
            <v/>
          </cell>
          <cell r="AQ81" t="str">
            <v/>
          </cell>
          <cell r="AR81" t="str">
            <v>Y</v>
          </cell>
          <cell r="AS81" t="str">
            <v/>
          </cell>
          <cell r="AT81" t="str">
            <v>IN</v>
          </cell>
          <cell r="AU81" t="str">
            <v>Infotainment</v>
          </cell>
          <cell r="AV81" t="str">
            <v>INDI</v>
          </cell>
          <cell r="AW81" t="str">
            <v>Vehicle Display</v>
          </cell>
          <cell r="AX81" t="str">
            <v>INDICL</v>
          </cell>
          <cell r="AY81" t="str">
            <v>Cluster</v>
          </cell>
          <cell r="AZ81" t="str">
            <v>INDICLLC</v>
          </cell>
          <cell r="BA81" t="str">
            <v>LCD Cluster</v>
          </cell>
        </row>
        <row r="82">
          <cell r="E82" t="str">
            <v>CLHK12FE2D1.BKOSVL4</v>
          </cell>
          <cell r="F82">
            <v>0</v>
          </cell>
          <cell r="G82">
            <v>0</v>
          </cell>
          <cell r="H82">
            <v>30</v>
          </cell>
          <cell r="I82">
            <v>30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514</v>
          </cell>
          <cell r="O82">
            <v>719</v>
          </cell>
          <cell r="P82">
            <v>514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 t="str">
            <v/>
          </cell>
          <cell r="AH82" t="str">
            <v/>
          </cell>
          <cell r="AI82" t="str">
            <v>KR21P00188700</v>
          </cell>
          <cell r="AJ82" t="str">
            <v>CLHK12FE2D1.ARFQ</v>
          </cell>
          <cell r="AK82" t="str">
            <v>0.018400</v>
          </cell>
          <cell r="AL82" t="str">
            <v>1</v>
          </cell>
          <cell r="AM82" t="str">
            <v>F</v>
          </cell>
          <cell r="AN82" t="str">
            <v>M0</v>
          </cell>
          <cell r="AO82" t="str">
            <v>Active(Model)</v>
          </cell>
          <cell r="AP82" t="str">
            <v/>
          </cell>
          <cell r="AQ82" t="str">
            <v/>
          </cell>
          <cell r="AR82" t="str">
            <v>Y</v>
          </cell>
          <cell r="AS82" t="str">
            <v/>
          </cell>
          <cell r="AT82" t="str">
            <v>IN</v>
          </cell>
          <cell r="AU82" t="str">
            <v>Infotainment</v>
          </cell>
          <cell r="AV82" t="str">
            <v>INDI</v>
          </cell>
          <cell r="AW82" t="str">
            <v>Vehicle Display</v>
          </cell>
          <cell r="AX82" t="str">
            <v>INDICL</v>
          </cell>
          <cell r="AY82" t="str">
            <v>Cluster</v>
          </cell>
          <cell r="AZ82" t="str">
            <v>INDICLLC</v>
          </cell>
          <cell r="BA82" t="str">
            <v>LCD Cluster</v>
          </cell>
        </row>
        <row r="83">
          <cell r="E83" t="str">
            <v>CLHK12FE2D2.BKOSVL4</v>
          </cell>
          <cell r="F83">
            <v>653</v>
          </cell>
          <cell r="G83">
            <v>0</v>
          </cell>
          <cell r="H83">
            <v>0</v>
          </cell>
          <cell r="I83">
            <v>653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80</v>
          </cell>
          <cell r="O83">
            <v>0</v>
          </cell>
          <cell r="P83">
            <v>80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 t="str">
            <v/>
          </cell>
          <cell r="AH83" t="str">
            <v/>
          </cell>
          <cell r="AI83" t="str">
            <v>KR21P00188700</v>
          </cell>
          <cell r="AJ83" t="str">
            <v>CLHK12FE2D2.ARFQ</v>
          </cell>
          <cell r="AK83" t="str">
            <v>0.018400</v>
          </cell>
          <cell r="AL83" t="str">
            <v>1</v>
          </cell>
          <cell r="AM83" t="str">
            <v>F</v>
          </cell>
          <cell r="AN83" t="str">
            <v>M0</v>
          </cell>
          <cell r="AO83" t="str">
            <v>Active(Model)</v>
          </cell>
          <cell r="AP83" t="str">
            <v/>
          </cell>
          <cell r="AQ83" t="str">
            <v/>
          </cell>
          <cell r="AR83" t="str">
            <v>Y</v>
          </cell>
          <cell r="AS83" t="str">
            <v/>
          </cell>
          <cell r="AT83" t="str">
            <v>IN</v>
          </cell>
          <cell r="AU83" t="str">
            <v>Infotainment</v>
          </cell>
          <cell r="AV83" t="str">
            <v>INDI</v>
          </cell>
          <cell r="AW83" t="str">
            <v>Vehicle Display</v>
          </cell>
          <cell r="AX83" t="str">
            <v>INDICL</v>
          </cell>
          <cell r="AY83" t="str">
            <v>Cluster</v>
          </cell>
          <cell r="AZ83" t="str">
            <v>INDICLLC</v>
          </cell>
          <cell r="BA83" t="str">
            <v>LCD Cluster</v>
          </cell>
        </row>
        <row r="84">
          <cell r="E84" t="str">
            <v>CLHK12FE2D3.BKOSVR3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181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str">
            <v/>
          </cell>
          <cell r="AH84" t="str">
            <v/>
          </cell>
          <cell r="AI84" t="str">
            <v>KR21P00188700</v>
          </cell>
          <cell r="AJ84" t="str">
            <v>CLHK12FE2D3.ARFQ</v>
          </cell>
          <cell r="AK84" t="str">
            <v>0.018400</v>
          </cell>
          <cell r="AL84" t="str">
            <v>1</v>
          </cell>
          <cell r="AM84" t="str">
            <v>F</v>
          </cell>
          <cell r="AN84" t="str">
            <v>M0</v>
          </cell>
          <cell r="AO84" t="str">
            <v>Active(Model)</v>
          </cell>
          <cell r="AP84" t="str">
            <v/>
          </cell>
          <cell r="AQ84" t="str">
            <v/>
          </cell>
          <cell r="AR84" t="str">
            <v>Y</v>
          </cell>
          <cell r="AS84" t="str">
            <v/>
          </cell>
          <cell r="AT84" t="str">
            <v>IN</v>
          </cell>
          <cell r="AU84" t="str">
            <v>Infotainment</v>
          </cell>
          <cell r="AV84" t="str">
            <v>INDI</v>
          </cell>
          <cell r="AW84" t="str">
            <v>Vehicle Display</v>
          </cell>
          <cell r="AX84" t="str">
            <v>INDICL</v>
          </cell>
          <cell r="AY84" t="str">
            <v>Cluster</v>
          </cell>
          <cell r="AZ84" t="str">
            <v>INDICLLC</v>
          </cell>
          <cell r="BA84" t="str">
            <v>LCD Cluster</v>
          </cell>
        </row>
        <row r="85">
          <cell r="E85" t="str">
            <v>CLHK12FE2D3.BKOSVR4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1111</v>
          </cell>
          <cell r="O85">
            <v>148</v>
          </cell>
          <cell r="P85">
            <v>1111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 t="str">
            <v/>
          </cell>
          <cell r="AH85" t="str">
            <v/>
          </cell>
          <cell r="AI85" t="str">
            <v>KR21P00188700</v>
          </cell>
          <cell r="AJ85" t="str">
            <v>CLHK12FE2D3.ARFQ</v>
          </cell>
          <cell r="AK85" t="str">
            <v>0.018400</v>
          </cell>
          <cell r="AL85" t="str">
            <v>1</v>
          </cell>
          <cell r="AM85" t="str">
            <v>F</v>
          </cell>
          <cell r="AN85" t="str">
            <v>M0</v>
          </cell>
          <cell r="AO85" t="str">
            <v>Active(Model)</v>
          </cell>
          <cell r="AP85" t="str">
            <v/>
          </cell>
          <cell r="AQ85" t="str">
            <v/>
          </cell>
          <cell r="AR85" t="str">
            <v>Y</v>
          </cell>
          <cell r="AS85" t="str">
            <v/>
          </cell>
          <cell r="AT85" t="str">
            <v>IN</v>
          </cell>
          <cell r="AU85" t="str">
            <v>Infotainment</v>
          </cell>
          <cell r="AV85" t="str">
            <v>INDI</v>
          </cell>
          <cell r="AW85" t="str">
            <v>Vehicle Display</v>
          </cell>
          <cell r="AX85" t="str">
            <v>INDICL</v>
          </cell>
          <cell r="AY85" t="str">
            <v>Cluster</v>
          </cell>
          <cell r="AZ85" t="str">
            <v>INDICLLC</v>
          </cell>
          <cell r="BA85" t="str">
            <v>LCD Cluster</v>
          </cell>
        </row>
        <row r="86">
          <cell r="E86" t="str">
            <v>CLHK12FE2D4.BKOSVR3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14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 t="str">
            <v/>
          </cell>
          <cell r="AH86" t="str">
            <v/>
          </cell>
          <cell r="AI86" t="str">
            <v>KR21P00188700</v>
          </cell>
          <cell r="AJ86" t="str">
            <v>CLHK12FE2D4.ARFQ</v>
          </cell>
          <cell r="AK86" t="str">
            <v>0.018400</v>
          </cell>
          <cell r="AL86" t="str">
            <v>1</v>
          </cell>
          <cell r="AM86" t="str">
            <v>F</v>
          </cell>
          <cell r="AN86" t="str">
            <v>M0</v>
          </cell>
          <cell r="AO86" t="str">
            <v>Active(Model)</v>
          </cell>
          <cell r="AP86" t="str">
            <v/>
          </cell>
          <cell r="AQ86" t="str">
            <v/>
          </cell>
          <cell r="AR86" t="str">
            <v>Y</v>
          </cell>
          <cell r="AS86" t="str">
            <v/>
          </cell>
          <cell r="AT86" t="str">
            <v>IN</v>
          </cell>
          <cell r="AU86" t="str">
            <v>Infotainment</v>
          </cell>
          <cell r="AV86" t="str">
            <v>INDI</v>
          </cell>
          <cell r="AW86" t="str">
            <v>Vehicle Display</v>
          </cell>
          <cell r="AX86" t="str">
            <v>INDICL</v>
          </cell>
          <cell r="AY86" t="str">
            <v>Cluster</v>
          </cell>
          <cell r="AZ86" t="str">
            <v>INDICLLC</v>
          </cell>
          <cell r="BA86" t="str">
            <v>LCD Cluster</v>
          </cell>
        </row>
        <row r="87">
          <cell r="E87" t="str">
            <v>CLHK12FE2D4.BKOSVR4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65</v>
          </cell>
          <cell r="O87">
            <v>0</v>
          </cell>
          <cell r="P87">
            <v>65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 t="str">
            <v/>
          </cell>
          <cell r="AH87" t="str">
            <v/>
          </cell>
          <cell r="AI87" t="str">
            <v>KR21P00188700</v>
          </cell>
          <cell r="AJ87" t="str">
            <v>CLHK12FE2D4.ARFQ</v>
          </cell>
          <cell r="AK87" t="str">
            <v>0.018400</v>
          </cell>
          <cell r="AL87" t="str">
            <v>1</v>
          </cell>
          <cell r="AM87" t="str">
            <v>F</v>
          </cell>
          <cell r="AN87" t="str">
            <v>M0</v>
          </cell>
          <cell r="AO87" t="str">
            <v>Active(Model)</v>
          </cell>
          <cell r="AP87" t="str">
            <v/>
          </cell>
          <cell r="AQ87" t="str">
            <v/>
          </cell>
          <cell r="AR87" t="str">
            <v>Y</v>
          </cell>
          <cell r="AS87" t="str">
            <v/>
          </cell>
          <cell r="AT87" t="str">
            <v>IN</v>
          </cell>
          <cell r="AU87" t="str">
            <v>Infotainment</v>
          </cell>
          <cell r="AV87" t="str">
            <v>INDI</v>
          </cell>
          <cell r="AW87" t="str">
            <v>Vehicle Display</v>
          </cell>
          <cell r="AX87" t="str">
            <v>INDICL</v>
          </cell>
          <cell r="AY87" t="str">
            <v>Cluster</v>
          </cell>
          <cell r="AZ87" t="str">
            <v>INDICLLC</v>
          </cell>
          <cell r="BA87" t="str">
            <v>LCD Cluster</v>
          </cell>
        </row>
        <row r="88">
          <cell r="E88" t="str">
            <v>CLHK12FE2D5.BKOCTL3</v>
          </cell>
          <cell r="F88">
            <v>488</v>
          </cell>
          <cell r="G88">
            <v>0</v>
          </cell>
          <cell r="H88">
            <v>0</v>
          </cell>
          <cell r="I88">
            <v>488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 t="str">
            <v/>
          </cell>
          <cell r="AH88" t="str">
            <v/>
          </cell>
          <cell r="AI88" t="str">
            <v>KR21P00188700</v>
          </cell>
          <cell r="AJ88" t="str">
            <v>CLHK12FE2D5.ARFQ</v>
          </cell>
          <cell r="AK88" t="str">
            <v>0.023496</v>
          </cell>
          <cell r="AL88" t="str">
            <v>1</v>
          </cell>
          <cell r="AM88" t="str">
            <v>F</v>
          </cell>
          <cell r="AN88" t="str">
            <v>M0</v>
          </cell>
          <cell r="AO88" t="str">
            <v>Active(Model)</v>
          </cell>
          <cell r="AP88" t="str">
            <v/>
          </cell>
          <cell r="AQ88" t="str">
            <v/>
          </cell>
          <cell r="AR88" t="str">
            <v>Y</v>
          </cell>
          <cell r="AS88" t="str">
            <v/>
          </cell>
          <cell r="AT88" t="str">
            <v>IN</v>
          </cell>
          <cell r="AU88" t="str">
            <v>Infotainment</v>
          </cell>
          <cell r="AV88" t="str">
            <v>INDI</v>
          </cell>
          <cell r="AW88" t="str">
            <v>Vehicle Display</v>
          </cell>
          <cell r="AX88" t="str">
            <v>INDICL</v>
          </cell>
          <cell r="AY88" t="str">
            <v>Cluster</v>
          </cell>
          <cell r="AZ88" t="str">
            <v>INDICLLC</v>
          </cell>
          <cell r="BA88" t="str">
            <v>LCD Cluster</v>
          </cell>
        </row>
        <row r="89">
          <cell r="E89" t="str">
            <v>CLHK12FE2E1.BSKQVL1</v>
          </cell>
          <cell r="F89">
            <v>353</v>
          </cell>
          <cell r="G89">
            <v>0</v>
          </cell>
          <cell r="H89">
            <v>0</v>
          </cell>
          <cell r="I89">
            <v>353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908</v>
          </cell>
          <cell r="O89">
            <v>25</v>
          </cell>
          <cell r="P89">
            <v>908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 t="str">
            <v/>
          </cell>
          <cell r="AH89" t="str">
            <v/>
          </cell>
          <cell r="AI89" t="str">
            <v>KR21P00188700</v>
          </cell>
          <cell r="AJ89" t="str">
            <v>CLHK12FE2E1.ARFQ</v>
          </cell>
          <cell r="AK89" t="str">
            <v>0.018400</v>
          </cell>
          <cell r="AL89" t="str">
            <v>1</v>
          </cell>
          <cell r="AM89" t="str">
            <v>F</v>
          </cell>
          <cell r="AN89" t="str">
            <v>M0</v>
          </cell>
          <cell r="AO89" t="str">
            <v>Active(Model)</v>
          </cell>
          <cell r="AP89" t="str">
            <v/>
          </cell>
          <cell r="AQ89" t="str">
            <v/>
          </cell>
          <cell r="AR89" t="str">
            <v>Y</v>
          </cell>
          <cell r="AS89" t="str">
            <v/>
          </cell>
          <cell r="AT89" t="str">
            <v>IN</v>
          </cell>
          <cell r="AU89" t="str">
            <v>Infotainment</v>
          </cell>
          <cell r="AV89" t="str">
            <v>INDI</v>
          </cell>
          <cell r="AW89" t="str">
            <v>Vehicle Display</v>
          </cell>
          <cell r="AX89" t="str">
            <v>INDICL</v>
          </cell>
          <cell r="AY89" t="str">
            <v>Cluster</v>
          </cell>
          <cell r="AZ89" t="str">
            <v>INDICLLC</v>
          </cell>
          <cell r="BA89" t="str">
            <v>LCD Cluster</v>
          </cell>
        </row>
        <row r="90">
          <cell r="E90" t="str">
            <v>CLHK12FE2E1.BSKQVL2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1056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 t="str">
            <v/>
          </cell>
          <cell r="AH90" t="str">
            <v/>
          </cell>
          <cell r="AI90" t="str">
            <v>KR21P00188700</v>
          </cell>
          <cell r="AJ90" t="str">
            <v>CLHK12FE2E1.ARFQ</v>
          </cell>
          <cell r="AK90" t="str">
            <v>0.018400</v>
          </cell>
          <cell r="AL90" t="str">
            <v>1</v>
          </cell>
          <cell r="AM90" t="str">
            <v>F</v>
          </cell>
          <cell r="AN90" t="str">
            <v>M0</v>
          </cell>
          <cell r="AO90" t="str">
            <v>Active(Model)</v>
          </cell>
          <cell r="AP90" t="str">
            <v/>
          </cell>
          <cell r="AQ90" t="str">
            <v/>
          </cell>
          <cell r="AR90" t="str">
            <v>Y</v>
          </cell>
          <cell r="AS90" t="str">
            <v/>
          </cell>
          <cell r="AT90" t="str">
            <v>IN</v>
          </cell>
          <cell r="AU90" t="str">
            <v>Infotainment</v>
          </cell>
          <cell r="AV90" t="str">
            <v>INDI</v>
          </cell>
          <cell r="AW90" t="str">
            <v>Vehicle Display</v>
          </cell>
          <cell r="AX90" t="str">
            <v>INDICL</v>
          </cell>
          <cell r="AY90" t="str">
            <v>Cluster</v>
          </cell>
          <cell r="AZ90" t="str">
            <v>INDICLLC</v>
          </cell>
          <cell r="BA90" t="str">
            <v>LCD Cluster</v>
          </cell>
        </row>
        <row r="91">
          <cell r="E91" t="str">
            <v>CLHK12FE2E1.BSKQVR1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13</v>
          </cell>
          <cell r="O91">
            <v>780</v>
          </cell>
          <cell r="P91">
            <v>13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 t="str">
            <v/>
          </cell>
          <cell r="AH91" t="str">
            <v/>
          </cell>
          <cell r="AI91" t="str">
            <v>KR21P00188700</v>
          </cell>
          <cell r="AJ91" t="str">
            <v>CLHK12FE2E1.ARFQ</v>
          </cell>
          <cell r="AK91" t="str">
            <v>0.018400</v>
          </cell>
          <cell r="AL91" t="str">
            <v>1</v>
          </cell>
          <cell r="AM91" t="str">
            <v>F</v>
          </cell>
          <cell r="AN91" t="str">
            <v>M0</v>
          </cell>
          <cell r="AO91" t="str">
            <v>Active(Model)</v>
          </cell>
          <cell r="AP91" t="str">
            <v/>
          </cell>
          <cell r="AQ91" t="str">
            <v/>
          </cell>
          <cell r="AR91" t="str">
            <v>Y</v>
          </cell>
          <cell r="AS91" t="str">
            <v/>
          </cell>
          <cell r="AT91" t="str">
            <v>IN</v>
          </cell>
          <cell r="AU91" t="str">
            <v>Infotainment</v>
          </cell>
          <cell r="AV91" t="str">
            <v>INDI</v>
          </cell>
          <cell r="AW91" t="str">
            <v>Vehicle Display</v>
          </cell>
          <cell r="AX91" t="str">
            <v>INDICL</v>
          </cell>
          <cell r="AY91" t="str">
            <v>Cluster</v>
          </cell>
          <cell r="AZ91" t="str">
            <v>INDICLLC</v>
          </cell>
          <cell r="BA91" t="str">
            <v>LCD Cluster</v>
          </cell>
        </row>
        <row r="92">
          <cell r="E92" t="str">
            <v>CLHK12FE2E2.BKOOVL3</v>
          </cell>
          <cell r="F92">
            <v>368</v>
          </cell>
          <cell r="G92">
            <v>0</v>
          </cell>
          <cell r="H92">
            <v>0</v>
          </cell>
          <cell r="I92">
            <v>368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214</v>
          </cell>
          <cell r="O92">
            <v>777</v>
          </cell>
          <cell r="P92">
            <v>214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str">
            <v/>
          </cell>
          <cell r="AH92" t="str">
            <v/>
          </cell>
          <cell r="AI92" t="str">
            <v>KR21P00188700</v>
          </cell>
          <cell r="AJ92" t="str">
            <v>CLHK12FE2E2.ARFQ</v>
          </cell>
          <cell r="AK92" t="str">
            <v>0.017600</v>
          </cell>
          <cell r="AL92" t="str">
            <v>1</v>
          </cell>
          <cell r="AM92" t="str">
            <v>F</v>
          </cell>
          <cell r="AN92" t="str">
            <v>M0</v>
          </cell>
          <cell r="AO92" t="str">
            <v>Active(Model)</v>
          </cell>
          <cell r="AP92" t="str">
            <v/>
          </cell>
          <cell r="AQ92" t="str">
            <v/>
          </cell>
          <cell r="AR92" t="str">
            <v>Y</v>
          </cell>
          <cell r="AS92" t="str">
            <v/>
          </cell>
          <cell r="AT92" t="str">
            <v>IN</v>
          </cell>
          <cell r="AU92" t="str">
            <v>Infotainment</v>
          </cell>
          <cell r="AV92" t="str">
            <v>INDI</v>
          </cell>
          <cell r="AW92" t="str">
            <v>Vehicle Display</v>
          </cell>
          <cell r="AX92" t="str">
            <v>INDICL</v>
          </cell>
          <cell r="AY92" t="str">
            <v>Cluster</v>
          </cell>
          <cell r="AZ92" t="str">
            <v>INDICLLC</v>
          </cell>
          <cell r="BA92" t="str">
            <v>LCD Cluster</v>
          </cell>
        </row>
        <row r="93">
          <cell r="E93" t="str">
            <v>CLHK12FE2E2.BKOOVL4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96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 t="str">
            <v/>
          </cell>
          <cell r="AH93" t="str">
            <v/>
          </cell>
          <cell r="AI93" t="str">
            <v>KR21P00188700</v>
          </cell>
          <cell r="AJ93" t="str">
            <v>CLHK12FE2E2.ARFQ</v>
          </cell>
          <cell r="AK93" t="str">
            <v>0.017600</v>
          </cell>
          <cell r="AL93" t="str">
            <v>1</v>
          </cell>
          <cell r="AM93" t="str">
            <v>F</v>
          </cell>
          <cell r="AN93" t="str">
            <v>M0</v>
          </cell>
          <cell r="AO93" t="str">
            <v>Active(Model)</v>
          </cell>
          <cell r="AP93" t="str">
            <v/>
          </cell>
          <cell r="AQ93" t="str">
            <v/>
          </cell>
          <cell r="AR93" t="str">
            <v>Y</v>
          </cell>
          <cell r="AS93" t="str">
            <v/>
          </cell>
          <cell r="AT93" t="str">
            <v>IN</v>
          </cell>
          <cell r="AU93" t="str">
            <v>Infotainment</v>
          </cell>
          <cell r="AV93" t="str">
            <v>INDI</v>
          </cell>
          <cell r="AW93" t="str">
            <v>Vehicle Display</v>
          </cell>
          <cell r="AX93" t="str">
            <v>INDICL</v>
          </cell>
          <cell r="AY93" t="str">
            <v>Cluster</v>
          </cell>
          <cell r="AZ93" t="str">
            <v>INDICLLC</v>
          </cell>
          <cell r="BA93" t="str">
            <v>LCD Cluster</v>
          </cell>
        </row>
        <row r="94">
          <cell r="E94" t="str">
            <v>CLHK12FE2E3.BINAYR2</v>
          </cell>
          <cell r="F94">
            <v>558</v>
          </cell>
          <cell r="G94">
            <v>0</v>
          </cell>
          <cell r="H94">
            <v>0</v>
          </cell>
          <cell r="I94">
            <v>558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368</v>
          </cell>
          <cell r="O94">
            <v>150</v>
          </cell>
          <cell r="P94">
            <v>368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 t="str">
            <v/>
          </cell>
          <cell r="AH94" t="str">
            <v/>
          </cell>
          <cell r="AI94" t="str">
            <v>KR21P00188700</v>
          </cell>
          <cell r="AJ94" t="str">
            <v>CLHK12FE2E3.ARFQ</v>
          </cell>
          <cell r="AK94" t="str">
            <v>0.005760</v>
          </cell>
          <cell r="AL94" t="str">
            <v>1</v>
          </cell>
          <cell r="AM94" t="str">
            <v>F</v>
          </cell>
          <cell r="AN94" t="str">
            <v>M0</v>
          </cell>
          <cell r="AO94" t="str">
            <v>Active(Model)</v>
          </cell>
          <cell r="AP94" t="str">
            <v/>
          </cell>
          <cell r="AQ94" t="str">
            <v/>
          </cell>
          <cell r="AR94" t="str">
            <v>Y</v>
          </cell>
          <cell r="AS94" t="str">
            <v/>
          </cell>
          <cell r="AT94" t="str">
            <v>IN</v>
          </cell>
          <cell r="AU94" t="str">
            <v>Infotainment</v>
          </cell>
          <cell r="AV94" t="str">
            <v>INDI</v>
          </cell>
          <cell r="AW94" t="str">
            <v>Vehicle Display</v>
          </cell>
          <cell r="AX94" t="str">
            <v>INDICL</v>
          </cell>
          <cell r="AY94" t="str">
            <v>Cluster</v>
          </cell>
          <cell r="AZ94" t="str">
            <v>INDICLLC</v>
          </cell>
          <cell r="BA94" t="str">
            <v>LCD Cluster</v>
          </cell>
        </row>
        <row r="95">
          <cell r="E95" t="str">
            <v>CLHK12FG1C5.BKOLH4N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192</v>
          </cell>
          <cell r="O95">
            <v>0</v>
          </cell>
          <cell r="P95">
            <v>192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 t="str">
            <v/>
          </cell>
          <cell r="AH95" t="str">
            <v/>
          </cell>
          <cell r="AI95" t="str">
            <v>KR21P00188700</v>
          </cell>
          <cell r="AJ95" t="str">
            <v>CLHK12FG1C5.ARFQ</v>
          </cell>
          <cell r="AK95" t="str">
            <v>0.018400</v>
          </cell>
          <cell r="AL95" t="str">
            <v>1</v>
          </cell>
          <cell r="AM95" t="str">
            <v>F</v>
          </cell>
          <cell r="AN95" t="str">
            <v>M0</v>
          </cell>
          <cell r="AO95" t="str">
            <v>Active(Model)</v>
          </cell>
          <cell r="AP95" t="str">
            <v/>
          </cell>
          <cell r="AQ95" t="str">
            <v/>
          </cell>
          <cell r="AR95" t="str">
            <v>Y</v>
          </cell>
          <cell r="AS95" t="str">
            <v/>
          </cell>
          <cell r="AT95" t="str">
            <v>IN</v>
          </cell>
          <cell r="AU95" t="str">
            <v>Infotainment</v>
          </cell>
          <cell r="AV95" t="str">
            <v>INDI</v>
          </cell>
          <cell r="AW95" t="str">
            <v>Vehicle Display</v>
          </cell>
          <cell r="AX95" t="str">
            <v>INDICL</v>
          </cell>
          <cell r="AY95" t="str">
            <v>Cluster</v>
          </cell>
          <cell r="AZ95" t="str">
            <v>INDICLLC</v>
          </cell>
          <cell r="BA95" t="str">
            <v>LCD Cluster</v>
          </cell>
        </row>
        <row r="96">
          <cell r="E96" t="str">
            <v>CLHK12FG1C5.BKOLH5N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120</v>
          </cell>
          <cell r="O96">
            <v>0</v>
          </cell>
          <cell r="P96">
            <v>120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str">
            <v/>
          </cell>
          <cell r="AH96" t="str">
            <v/>
          </cell>
          <cell r="AI96" t="str">
            <v>KR21P00188700</v>
          </cell>
          <cell r="AJ96" t="str">
            <v>CLHK12FG1C5.ARFQ</v>
          </cell>
          <cell r="AK96" t="str">
            <v>0.018400</v>
          </cell>
          <cell r="AL96" t="str">
            <v>1</v>
          </cell>
          <cell r="AM96" t="str">
            <v>F</v>
          </cell>
          <cell r="AN96" t="str">
            <v>M0</v>
          </cell>
          <cell r="AO96" t="str">
            <v>Active(Model)</v>
          </cell>
          <cell r="AP96" t="str">
            <v/>
          </cell>
          <cell r="AQ96" t="str">
            <v/>
          </cell>
          <cell r="AR96" t="str">
            <v>Y</v>
          </cell>
          <cell r="AS96" t="str">
            <v/>
          </cell>
          <cell r="AT96" t="str">
            <v>IN</v>
          </cell>
          <cell r="AU96" t="str">
            <v>Infotainment</v>
          </cell>
          <cell r="AV96" t="str">
            <v>INDI</v>
          </cell>
          <cell r="AW96" t="str">
            <v>Vehicle Display</v>
          </cell>
          <cell r="AX96" t="str">
            <v>INDICL</v>
          </cell>
          <cell r="AY96" t="str">
            <v>Cluster</v>
          </cell>
          <cell r="AZ96" t="str">
            <v>INDICLLC</v>
          </cell>
          <cell r="BA96" t="str">
            <v>LCD Cluster</v>
          </cell>
        </row>
        <row r="97">
          <cell r="E97" t="str">
            <v>CLHK12FG1C5.BKOLH6N</v>
          </cell>
          <cell r="F97">
            <v>1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629</v>
          </cell>
          <cell r="O97">
            <v>0</v>
          </cell>
          <cell r="P97">
            <v>629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 t="str">
            <v/>
          </cell>
          <cell r="AH97" t="str">
            <v/>
          </cell>
          <cell r="AI97" t="str">
            <v>KR21P00188700</v>
          </cell>
          <cell r="AJ97" t="str">
            <v>CLHK12FG1C5.ARFQ</v>
          </cell>
          <cell r="AK97" t="str">
            <v>0.018400</v>
          </cell>
          <cell r="AL97" t="str">
            <v>1</v>
          </cell>
          <cell r="AM97" t="str">
            <v>F</v>
          </cell>
          <cell r="AN97" t="str">
            <v>M0</v>
          </cell>
          <cell r="AO97" t="str">
            <v>Active(Model)</v>
          </cell>
          <cell r="AP97" t="str">
            <v/>
          </cell>
          <cell r="AQ97" t="str">
            <v/>
          </cell>
          <cell r="AR97" t="str">
            <v>Y</v>
          </cell>
          <cell r="AS97" t="str">
            <v/>
          </cell>
          <cell r="AT97" t="str">
            <v>IN</v>
          </cell>
          <cell r="AU97" t="str">
            <v>Infotainment</v>
          </cell>
          <cell r="AV97" t="str">
            <v>INDI</v>
          </cell>
          <cell r="AW97" t="str">
            <v>Vehicle Display</v>
          </cell>
          <cell r="AX97" t="str">
            <v>INDICL</v>
          </cell>
          <cell r="AY97" t="str">
            <v>Cluster</v>
          </cell>
          <cell r="AZ97" t="str">
            <v>INDICLLC</v>
          </cell>
          <cell r="BA97" t="str">
            <v>LCD Cluster</v>
          </cell>
        </row>
        <row r="98">
          <cell r="E98" t="str">
            <v>CLHK12FG1D5.BMXCLL6</v>
          </cell>
          <cell r="F98">
            <v>1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98</v>
          </cell>
          <cell r="O98">
            <v>0</v>
          </cell>
          <cell r="P98">
            <v>98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 t="str">
            <v/>
          </cell>
          <cell r="AH98" t="str">
            <v/>
          </cell>
          <cell r="AI98" t="str">
            <v>KR21P00188700</v>
          </cell>
          <cell r="AJ98" t="str">
            <v>CLHK12FG1D5.ARFQ</v>
          </cell>
          <cell r="AK98" t="str">
            <v>0.018400</v>
          </cell>
          <cell r="AL98" t="str">
            <v>1</v>
          </cell>
          <cell r="AM98" t="str">
            <v>F</v>
          </cell>
          <cell r="AN98" t="str">
            <v>M0</v>
          </cell>
          <cell r="AO98" t="str">
            <v>Active(Model)</v>
          </cell>
          <cell r="AP98" t="str">
            <v/>
          </cell>
          <cell r="AQ98" t="str">
            <v/>
          </cell>
          <cell r="AR98" t="str">
            <v>Y</v>
          </cell>
          <cell r="AS98" t="str">
            <v/>
          </cell>
          <cell r="AT98" t="str">
            <v>IN</v>
          </cell>
          <cell r="AU98" t="str">
            <v>Infotainment</v>
          </cell>
          <cell r="AV98" t="str">
            <v>INDI</v>
          </cell>
          <cell r="AW98" t="str">
            <v>Vehicle Display</v>
          </cell>
          <cell r="AX98" t="str">
            <v>INDICL</v>
          </cell>
          <cell r="AY98" t="str">
            <v>Cluster</v>
          </cell>
          <cell r="AZ98" t="str">
            <v>INDICLLC</v>
          </cell>
          <cell r="BA98" t="str">
            <v>LCD Cluster</v>
          </cell>
        </row>
        <row r="99">
          <cell r="E99" t="str">
            <v>CLHK12FG1D5.BMXCLL7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702</v>
          </cell>
          <cell r="O99">
            <v>0</v>
          </cell>
          <cell r="P99">
            <v>702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str">
            <v/>
          </cell>
          <cell r="AH99" t="str">
            <v/>
          </cell>
          <cell r="AI99" t="str">
            <v>KR21P00188700</v>
          </cell>
          <cell r="AJ99" t="str">
            <v>CLHK12FG1D5.ARFQ</v>
          </cell>
          <cell r="AK99" t="str">
            <v>0.018400</v>
          </cell>
          <cell r="AL99" t="str">
            <v>1</v>
          </cell>
          <cell r="AM99" t="str">
            <v>F</v>
          </cell>
          <cell r="AN99" t="str">
            <v>M0</v>
          </cell>
          <cell r="AO99" t="str">
            <v>Active(Model)</v>
          </cell>
          <cell r="AP99" t="str">
            <v/>
          </cell>
          <cell r="AQ99" t="str">
            <v/>
          </cell>
          <cell r="AR99" t="str">
            <v>Y</v>
          </cell>
          <cell r="AS99" t="str">
            <v/>
          </cell>
          <cell r="AT99" t="str">
            <v>IN</v>
          </cell>
          <cell r="AU99" t="str">
            <v>Infotainment</v>
          </cell>
          <cell r="AV99" t="str">
            <v>INDI</v>
          </cell>
          <cell r="AW99" t="str">
            <v>Vehicle Display</v>
          </cell>
          <cell r="AX99" t="str">
            <v>INDICL</v>
          </cell>
          <cell r="AY99" t="str">
            <v>Cluster</v>
          </cell>
          <cell r="AZ99" t="str">
            <v>INDICLLC</v>
          </cell>
          <cell r="BA99" t="str">
            <v>LCD Cluster</v>
          </cell>
        </row>
        <row r="100">
          <cell r="E100" t="str">
            <v>CLHK12FG2E1.BINSPL1</v>
          </cell>
          <cell r="F100">
            <v>100</v>
          </cell>
          <cell r="G100">
            <v>0</v>
          </cell>
          <cell r="H100">
            <v>0</v>
          </cell>
          <cell r="I100">
            <v>100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 t="str">
            <v/>
          </cell>
          <cell r="AH100" t="str">
            <v/>
          </cell>
          <cell r="AI100" t="str">
            <v>KR21P00188700</v>
          </cell>
          <cell r="AJ100" t="str">
            <v>CLHK12FG2E1.ARFQ</v>
          </cell>
          <cell r="AK100" t="str">
            <v>0.045600</v>
          </cell>
          <cell r="AL100" t="str">
            <v>1</v>
          </cell>
          <cell r="AM100" t="str">
            <v>F</v>
          </cell>
          <cell r="AN100" t="str">
            <v>M0</v>
          </cell>
          <cell r="AO100" t="str">
            <v>Active(Model)</v>
          </cell>
          <cell r="AP100" t="str">
            <v/>
          </cell>
          <cell r="AQ100" t="str">
            <v/>
          </cell>
          <cell r="AR100" t="str">
            <v>Y</v>
          </cell>
          <cell r="AS100" t="str">
            <v/>
          </cell>
          <cell r="AT100" t="str">
            <v>IN</v>
          </cell>
          <cell r="AU100" t="str">
            <v>Infotainment</v>
          </cell>
          <cell r="AV100" t="str">
            <v>INDI</v>
          </cell>
          <cell r="AW100" t="str">
            <v>Vehicle Display</v>
          </cell>
          <cell r="AX100" t="str">
            <v>INDICL</v>
          </cell>
          <cell r="AY100" t="str">
            <v>Cluster</v>
          </cell>
          <cell r="AZ100" t="str">
            <v>INDICLLC</v>
          </cell>
          <cell r="BA100" t="str">
            <v>LCD Cluster</v>
          </cell>
        </row>
        <row r="101">
          <cell r="E101" t="str">
            <v>CLHK12FG2E1.BINSPL2</v>
          </cell>
          <cell r="F101">
            <v>100</v>
          </cell>
          <cell r="G101">
            <v>0</v>
          </cell>
          <cell r="H101">
            <v>0</v>
          </cell>
          <cell r="I101">
            <v>100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str">
            <v/>
          </cell>
          <cell r="AH101" t="str">
            <v/>
          </cell>
          <cell r="AI101" t="str">
            <v>KR21P00188700</v>
          </cell>
          <cell r="AJ101" t="str">
            <v>CLHK12FG2E1.ARFQ</v>
          </cell>
          <cell r="AK101" t="str">
            <v>0.017600</v>
          </cell>
          <cell r="AL101" t="str">
            <v>1</v>
          </cell>
          <cell r="AM101" t="str">
            <v>F</v>
          </cell>
          <cell r="AN101" t="str">
            <v>M0</v>
          </cell>
          <cell r="AO101" t="str">
            <v>Active(Model)</v>
          </cell>
          <cell r="AP101" t="str">
            <v/>
          </cell>
          <cell r="AQ101" t="str">
            <v/>
          </cell>
          <cell r="AR101" t="str">
            <v>Y</v>
          </cell>
          <cell r="AS101" t="str">
            <v/>
          </cell>
          <cell r="AT101" t="str">
            <v>IN</v>
          </cell>
          <cell r="AU101" t="str">
            <v>Infotainment</v>
          </cell>
          <cell r="AV101" t="str">
            <v>INDI</v>
          </cell>
          <cell r="AW101" t="str">
            <v>Vehicle Display</v>
          </cell>
          <cell r="AX101" t="str">
            <v>INDICL</v>
          </cell>
          <cell r="AY101" t="str">
            <v>Cluster</v>
          </cell>
          <cell r="AZ101" t="str">
            <v>INDICLLC</v>
          </cell>
          <cell r="BA101" t="str">
            <v>LCD Cluster</v>
          </cell>
        </row>
        <row r="102">
          <cell r="E102" t="str">
            <v>CLHK12FG2E1.BKOSPL1</v>
          </cell>
          <cell r="F102">
            <v>0</v>
          </cell>
          <cell r="G102">
            <v>0</v>
          </cell>
          <cell r="H102">
            <v>50</v>
          </cell>
          <cell r="I102">
            <v>50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1258</v>
          </cell>
          <cell r="O102">
            <v>0</v>
          </cell>
          <cell r="P102">
            <v>1258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str">
            <v/>
          </cell>
          <cell r="AH102" t="str">
            <v/>
          </cell>
          <cell r="AI102" t="str">
            <v>KR21P00188700</v>
          </cell>
          <cell r="AJ102" t="str">
            <v>CLHK12FG2E1.ARFQ</v>
          </cell>
          <cell r="AK102" t="str">
            <v>0.017600</v>
          </cell>
          <cell r="AL102" t="str">
            <v>1</v>
          </cell>
          <cell r="AM102" t="str">
            <v>F</v>
          </cell>
          <cell r="AN102" t="str">
            <v>M0</v>
          </cell>
          <cell r="AO102" t="str">
            <v>Active(Model)</v>
          </cell>
          <cell r="AP102" t="str">
            <v/>
          </cell>
          <cell r="AQ102" t="str">
            <v/>
          </cell>
          <cell r="AR102" t="str">
            <v>Y</v>
          </cell>
          <cell r="AS102" t="str">
            <v/>
          </cell>
          <cell r="AT102" t="str">
            <v>IN</v>
          </cell>
          <cell r="AU102" t="str">
            <v>Infotainment</v>
          </cell>
          <cell r="AV102" t="str">
            <v>INDI</v>
          </cell>
          <cell r="AW102" t="str">
            <v>Vehicle Display</v>
          </cell>
          <cell r="AX102" t="str">
            <v>INDICL</v>
          </cell>
          <cell r="AY102" t="str">
            <v>Cluster</v>
          </cell>
          <cell r="AZ102" t="str">
            <v>INDICLLC</v>
          </cell>
          <cell r="BA102" t="str">
            <v>LCD Cluster</v>
          </cell>
        </row>
        <row r="103">
          <cell r="E103" t="str">
            <v>CLHK12FG2E1.BKOSPL2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120</v>
          </cell>
          <cell r="O103">
            <v>0</v>
          </cell>
          <cell r="P103">
            <v>120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 t="str">
            <v/>
          </cell>
          <cell r="AH103" t="str">
            <v/>
          </cell>
          <cell r="AI103" t="str">
            <v>KR21P00188700</v>
          </cell>
          <cell r="AJ103" t="str">
            <v>CLHK12FG2E1.ARFQ</v>
          </cell>
          <cell r="AK103" t="str">
            <v>0.017600</v>
          </cell>
          <cell r="AL103" t="str">
            <v>1</v>
          </cell>
          <cell r="AM103" t="str">
            <v>F</v>
          </cell>
          <cell r="AN103" t="str">
            <v>M0</v>
          </cell>
          <cell r="AO103" t="str">
            <v>Active(Model)</v>
          </cell>
          <cell r="AP103" t="str">
            <v/>
          </cell>
          <cell r="AQ103" t="str">
            <v/>
          </cell>
          <cell r="AR103" t="str">
            <v>Y</v>
          </cell>
          <cell r="AS103" t="str">
            <v/>
          </cell>
          <cell r="AT103" t="str">
            <v>IN</v>
          </cell>
          <cell r="AU103" t="str">
            <v>Infotainment</v>
          </cell>
          <cell r="AV103" t="str">
            <v>INDI</v>
          </cell>
          <cell r="AW103" t="str">
            <v>Vehicle Display</v>
          </cell>
          <cell r="AX103" t="str">
            <v>INDICL</v>
          </cell>
          <cell r="AY103" t="str">
            <v>Cluster</v>
          </cell>
          <cell r="AZ103" t="str">
            <v>INDICLLC</v>
          </cell>
          <cell r="BA103" t="str">
            <v>LCD Cluster</v>
          </cell>
        </row>
        <row r="104">
          <cell r="E104" t="str">
            <v>CLHK12FG2E1.BKOSPL3</v>
          </cell>
          <cell r="F104">
            <v>259</v>
          </cell>
          <cell r="G104">
            <v>0</v>
          </cell>
          <cell r="H104">
            <v>0</v>
          </cell>
          <cell r="I104">
            <v>259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994</v>
          </cell>
          <cell r="O104">
            <v>0</v>
          </cell>
          <cell r="P104">
            <v>994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 t="str">
            <v/>
          </cell>
          <cell r="AH104" t="str">
            <v/>
          </cell>
          <cell r="AI104" t="str">
            <v>KR21P00188700</v>
          </cell>
          <cell r="AJ104" t="str">
            <v>CLHK12FG2E1.ARFQ</v>
          </cell>
          <cell r="AK104" t="str">
            <v>0.017600</v>
          </cell>
          <cell r="AL104" t="str">
            <v>1</v>
          </cell>
          <cell r="AM104" t="str">
            <v>F</v>
          </cell>
          <cell r="AN104" t="str">
            <v>M0</v>
          </cell>
          <cell r="AO104" t="str">
            <v>Active(Model)</v>
          </cell>
          <cell r="AP104" t="str">
            <v/>
          </cell>
          <cell r="AQ104" t="str">
            <v/>
          </cell>
          <cell r="AR104" t="str">
            <v>Y</v>
          </cell>
          <cell r="AS104" t="str">
            <v/>
          </cell>
          <cell r="AT104" t="str">
            <v>IN</v>
          </cell>
          <cell r="AU104" t="str">
            <v>Infotainment</v>
          </cell>
          <cell r="AV104" t="str">
            <v>INDI</v>
          </cell>
          <cell r="AW104" t="str">
            <v>Vehicle Display</v>
          </cell>
          <cell r="AX104" t="str">
            <v>INDICL</v>
          </cell>
          <cell r="AY104" t="str">
            <v>Cluster</v>
          </cell>
          <cell r="AZ104" t="str">
            <v>INDICLLC</v>
          </cell>
          <cell r="BA104" t="str">
            <v>LCD Cluster</v>
          </cell>
        </row>
        <row r="105">
          <cell r="E105" t="str">
            <v>CLHK12FG2E1.BKOSPL4</v>
          </cell>
          <cell r="F105">
            <v>180</v>
          </cell>
          <cell r="G105">
            <v>0</v>
          </cell>
          <cell r="H105">
            <v>0</v>
          </cell>
          <cell r="I105">
            <v>180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390</v>
          </cell>
          <cell r="O105">
            <v>0</v>
          </cell>
          <cell r="P105">
            <v>390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str">
            <v/>
          </cell>
          <cell r="AH105" t="str">
            <v/>
          </cell>
          <cell r="AI105" t="str">
            <v>KR21P00188700</v>
          </cell>
          <cell r="AJ105" t="str">
            <v>CLHK12FG2E1.ARFQ</v>
          </cell>
          <cell r="AK105" t="str">
            <v>0.017600</v>
          </cell>
          <cell r="AL105" t="str">
            <v>1</v>
          </cell>
          <cell r="AM105" t="str">
            <v>F</v>
          </cell>
          <cell r="AN105" t="str">
            <v>M0</v>
          </cell>
          <cell r="AO105" t="str">
            <v>Active(Model)</v>
          </cell>
          <cell r="AP105" t="str">
            <v/>
          </cell>
          <cell r="AQ105" t="str">
            <v/>
          </cell>
          <cell r="AR105" t="str">
            <v>Y</v>
          </cell>
          <cell r="AS105" t="str">
            <v/>
          </cell>
          <cell r="AT105" t="str">
            <v>IN</v>
          </cell>
          <cell r="AU105" t="str">
            <v>Infotainment</v>
          </cell>
          <cell r="AV105" t="str">
            <v>INDI</v>
          </cell>
          <cell r="AW105" t="str">
            <v>Vehicle Display</v>
          </cell>
          <cell r="AX105" t="str">
            <v>INDICL</v>
          </cell>
          <cell r="AY105" t="str">
            <v>Cluster</v>
          </cell>
          <cell r="AZ105" t="str">
            <v>INDICLLC</v>
          </cell>
          <cell r="BA105" t="str">
            <v>LCD Cluster</v>
          </cell>
        </row>
        <row r="106">
          <cell r="E106" t="str">
            <v>CLHK12FG2E1.BKOSPR3</v>
          </cell>
          <cell r="F106">
            <v>115</v>
          </cell>
          <cell r="G106">
            <v>0</v>
          </cell>
          <cell r="H106">
            <v>0</v>
          </cell>
          <cell r="I106">
            <v>115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660</v>
          </cell>
          <cell r="O106">
            <v>0</v>
          </cell>
          <cell r="P106">
            <v>660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 t="str">
            <v/>
          </cell>
          <cell r="AH106" t="str">
            <v/>
          </cell>
          <cell r="AI106" t="str">
            <v>KR21P00188700</v>
          </cell>
          <cell r="AJ106" t="str">
            <v>CLHK12FG2E1.ARFQ</v>
          </cell>
          <cell r="AK106" t="str">
            <v>0.017600</v>
          </cell>
          <cell r="AL106" t="str">
            <v>1</v>
          </cell>
          <cell r="AM106" t="str">
            <v>F</v>
          </cell>
          <cell r="AN106" t="str">
            <v>M0</v>
          </cell>
          <cell r="AO106" t="str">
            <v>Active(Model)</v>
          </cell>
          <cell r="AP106" t="str">
            <v/>
          </cell>
          <cell r="AQ106" t="str">
            <v/>
          </cell>
          <cell r="AR106" t="str">
            <v>Y</v>
          </cell>
          <cell r="AS106" t="str">
            <v/>
          </cell>
          <cell r="AT106" t="str">
            <v>IN</v>
          </cell>
          <cell r="AU106" t="str">
            <v>Infotainment</v>
          </cell>
          <cell r="AV106" t="str">
            <v>INDI</v>
          </cell>
          <cell r="AW106" t="str">
            <v>Vehicle Display</v>
          </cell>
          <cell r="AX106" t="str">
            <v>INDICL</v>
          </cell>
          <cell r="AY106" t="str">
            <v>Cluster</v>
          </cell>
          <cell r="AZ106" t="str">
            <v>INDICLLC</v>
          </cell>
          <cell r="BA106" t="str">
            <v>LCD Cluster</v>
          </cell>
        </row>
        <row r="107">
          <cell r="E107" t="str">
            <v>CLHK12FG2E1.BKOSPR4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116</v>
          </cell>
          <cell r="O107">
            <v>0</v>
          </cell>
          <cell r="P107">
            <v>116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 t="str">
            <v/>
          </cell>
          <cell r="AH107" t="str">
            <v/>
          </cell>
          <cell r="AI107" t="str">
            <v>KR21P00188700</v>
          </cell>
          <cell r="AJ107" t="str">
            <v>CLHK12FG2E1.ARFQ</v>
          </cell>
          <cell r="AK107" t="str">
            <v>0.017600</v>
          </cell>
          <cell r="AL107" t="str">
            <v>1</v>
          </cell>
          <cell r="AM107" t="str">
            <v>F</v>
          </cell>
          <cell r="AN107" t="str">
            <v>M0</v>
          </cell>
          <cell r="AO107" t="str">
            <v>Active(Model)</v>
          </cell>
          <cell r="AP107" t="str">
            <v/>
          </cell>
          <cell r="AQ107" t="str">
            <v/>
          </cell>
          <cell r="AR107" t="str">
            <v>Y</v>
          </cell>
          <cell r="AS107" t="str">
            <v/>
          </cell>
          <cell r="AT107" t="str">
            <v>IN</v>
          </cell>
          <cell r="AU107" t="str">
            <v>Infotainment</v>
          </cell>
          <cell r="AV107" t="str">
            <v>INDI</v>
          </cell>
          <cell r="AW107" t="str">
            <v>Vehicle Display</v>
          </cell>
          <cell r="AX107" t="str">
            <v>INDICL</v>
          </cell>
          <cell r="AY107" t="str">
            <v>Cluster</v>
          </cell>
          <cell r="AZ107" t="str">
            <v>INDICLLC</v>
          </cell>
          <cell r="BA107" t="str">
            <v>LCD Cluster</v>
          </cell>
        </row>
        <row r="108">
          <cell r="E108" t="str">
            <v>CLHK12FG2E2.BUSLQL1</v>
          </cell>
          <cell r="F108">
            <v>178</v>
          </cell>
          <cell r="G108">
            <v>0</v>
          </cell>
          <cell r="H108">
            <v>0</v>
          </cell>
          <cell r="I108">
            <v>178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3125</v>
          </cell>
          <cell r="O108">
            <v>120</v>
          </cell>
          <cell r="P108">
            <v>3125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str">
            <v/>
          </cell>
          <cell r="AH108" t="str">
            <v/>
          </cell>
          <cell r="AI108" t="str">
            <v>KR21P00188700</v>
          </cell>
          <cell r="AJ108" t="str">
            <v>CLHK12FG2E2.ARFQ</v>
          </cell>
          <cell r="AK108" t="str">
            <v>0.017600</v>
          </cell>
          <cell r="AL108" t="str">
            <v>0</v>
          </cell>
          <cell r="AM108" t="str">
            <v>F</v>
          </cell>
          <cell r="AN108" t="str">
            <v>M0</v>
          </cell>
          <cell r="AO108" t="str">
            <v>Active(Model)</v>
          </cell>
          <cell r="AP108" t="str">
            <v/>
          </cell>
          <cell r="AQ108" t="str">
            <v/>
          </cell>
          <cell r="AR108" t="str">
            <v>Y</v>
          </cell>
          <cell r="AS108" t="str">
            <v/>
          </cell>
          <cell r="AT108" t="str">
            <v>IN</v>
          </cell>
          <cell r="AU108" t="str">
            <v>Infotainment</v>
          </cell>
          <cell r="AV108" t="str">
            <v>INDI</v>
          </cell>
          <cell r="AW108" t="str">
            <v>Vehicle Display</v>
          </cell>
          <cell r="AX108" t="str">
            <v>INDICL</v>
          </cell>
          <cell r="AY108" t="str">
            <v>Cluster</v>
          </cell>
          <cell r="AZ108" t="str">
            <v>INDICLLC</v>
          </cell>
          <cell r="BA108" t="str">
            <v>LCD Cluster</v>
          </cell>
        </row>
        <row r="109">
          <cell r="E109" t="str">
            <v>CLHK12FG2E3.BINAYR2</v>
          </cell>
          <cell r="F109">
            <v>43</v>
          </cell>
          <cell r="G109">
            <v>0</v>
          </cell>
          <cell r="H109">
            <v>0</v>
          </cell>
          <cell r="I109">
            <v>43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 t="str">
            <v/>
          </cell>
          <cell r="AH109" t="str">
            <v/>
          </cell>
          <cell r="AI109" t="str">
            <v>KR21P00188700</v>
          </cell>
          <cell r="AJ109" t="str">
            <v>CLHK12FG2E3.ARFQ</v>
          </cell>
          <cell r="AK109" t="str">
            <v>0.015360</v>
          </cell>
          <cell r="AL109" t="str">
            <v>1</v>
          </cell>
          <cell r="AM109" t="str">
            <v>F</v>
          </cell>
          <cell r="AN109" t="str">
            <v>M0</v>
          </cell>
          <cell r="AO109" t="str">
            <v>Active(Model)</v>
          </cell>
          <cell r="AP109" t="str">
            <v/>
          </cell>
          <cell r="AQ109" t="str">
            <v/>
          </cell>
          <cell r="AR109" t="str">
            <v>Y</v>
          </cell>
          <cell r="AS109" t="str">
            <v/>
          </cell>
          <cell r="AT109" t="str">
            <v>IN</v>
          </cell>
          <cell r="AU109" t="str">
            <v>Infotainment</v>
          </cell>
          <cell r="AV109" t="str">
            <v>INDI</v>
          </cell>
          <cell r="AW109" t="str">
            <v>Vehicle Display</v>
          </cell>
          <cell r="AX109" t="str">
            <v>INDICL</v>
          </cell>
          <cell r="AY109" t="str">
            <v>Cluster</v>
          </cell>
          <cell r="AZ109" t="str">
            <v>INDICLLC</v>
          </cell>
          <cell r="BA109" t="str">
            <v>LCD Cluster</v>
          </cell>
        </row>
        <row r="110">
          <cell r="E110" t="str">
            <v>CLVK10HG2D0.BCUQS2N</v>
          </cell>
          <cell r="F110">
            <v>199</v>
          </cell>
          <cell r="G110">
            <v>0</v>
          </cell>
          <cell r="H110">
            <v>0</v>
          </cell>
          <cell r="I110">
            <v>199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4400</v>
          </cell>
          <cell r="O110">
            <v>3000</v>
          </cell>
          <cell r="P110">
            <v>4400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 t="str">
            <v/>
          </cell>
          <cell r="AH110" t="str">
            <v/>
          </cell>
          <cell r="AI110" t="str">
            <v>KR20P13205930</v>
          </cell>
          <cell r="AJ110" t="str">
            <v>CLVK10HG2D0.ARFQ</v>
          </cell>
          <cell r="AK110" t="str">
            <v>0.005927</v>
          </cell>
          <cell r="AL110" t="str">
            <v>1</v>
          </cell>
          <cell r="AM110" t="str">
            <v>F</v>
          </cell>
          <cell r="AN110" t="str">
            <v>M0</v>
          </cell>
          <cell r="AO110" t="str">
            <v>Active(Model)</v>
          </cell>
          <cell r="AP110" t="str">
            <v/>
          </cell>
          <cell r="AQ110" t="str">
            <v/>
          </cell>
          <cell r="AR110" t="str">
            <v>Y</v>
          </cell>
          <cell r="AS110" t="str">
            <v/>
          </cell>
          <cell r="AT110" t="str">
            <v>IN</v>
          </cell>
          <cell r="AU110" t="str">
            <v>Infotainment</v>
          </cell>
          <cell r="AV110" t="str">
            <v>INDI</v>
          </cell>
          <cell r="AW110" t="str">
            <v>Vehicle Display</v>
          </cell>
          <cell r="AX110" t="str">
            <v>INDICL</v>
          </cell>
          <cell r="AY110" t="str">
            <v>Cluster</v>
          </cell>
          <cell r="AZ110" t="str">
            <v>INDICLLC</v>
          </cell>
          <cell r="BA110" t="str">
            <v>LCD Cluster</v>
          </cell>
        </row>
        <row r="111">
          <cell r="E111" t="str">
            <v>CLVW10HG2D0.BDE7W2N</v>
          </cell>
          <cell r="F111">
            <v>1011</v>
          </cell>
          <cell r="G111">
            <v>0</v>
          </cell>
          <cell r="H111">
            <v>0</v>
          </cell>
          <cell r="I111">
            <v>1011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4600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str">
            <v/>
          </cell>
          <cell r="AH111" t="str">
            <v/>
          </cell>
          <cell r="AI111" t="str">
            <v>KR20P13205930</v>
          </cell>
          <cell r="AJ111" t="str">
            <v>CLVW10HG2D0.ARFQ</v>
          </cell>
          <cell r="AK111" t="str">
            <v>0.005927</v>
          </cell>
          <cell r="AL111" t="str">
            <v>1</v>
          </cell>
          <cell r="AM111" t="str">
            <v>F</v>
          </cell>
          <cell r="AN111" t="str">
            <v>M0</v>
          </cell>
          <cell r="AO111" t="str">
            <v>Active(Model)</v>
          </cell>
          <cell r="AP111" t="str">
            <v/>
          </cell>
          <cell r="AQ111" t="str">
            <v/>
          </cell>
          <cell r="AR111" t="str">
            <v>Y</v>
          </cell>
          <cell r="AS111" t="str">
            <v/>
          </cell>
          <cell r="AT111" t="str">
            <v>IN</v>
          </cell>
          <cell r="AU111" t="str">
            <v>Infotainment</v>
          </cell>
          <cell r="AV111" t="str">
            <v>INDI</v>
          </cell>
          <cell r="AW111" t="str">
            <v>Vehicle Display</v>
          </cell>
          <cell r="AX111" t="str">
            <v>INDICL</v>
          </cell>
          <cell r="AY111" t="str">
            <v>Cluster</v>
          </cell>
          <cell r="AZ111" t="str">
            <v>INDICLLC</v>
          </cell>
          <cell r="BA111" t="str">
            <v>LCD Cluster</v>
          </cell>
        </row>
        <row r="112">
          <cell r="E112" t="str">
            <v>CLVW10HG2D0.BDE7W3N</v>
          </cell>
          <cell r="F112">
            <v>0</v>
          </cell>
          <cell r="G112">
            <v>0</v>
          </cell>
          <cell r="H112">
            <v>0</v>
          </cell>
          <cell r="I112">
            <v>25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 t="str">
            <v/>
          </cell>
          <cell r="AH112" t="str">
            <v/>
          </cell>
          <cell r="AI112" t="str">
            <v>KR20P13205930</v>
          </cell>
          <cell r="AJ112" t="str">
            <v>CLVW10HG2D0.ARFQ</v>
          </cell>
          <cell r="AK112" t="str">
            <v>0.005927</v>
          </cell>
          <cell r="AL112" t="str">
            <v>1</v>
          </cell>
          <cell r="AM112" t="str">
            <v>F</v>
          </cell>
          <cell r="AN112" t="str">
            <v>M0</v>
          </cell>
          <cell r="AO112" t="str">
            <v>Active(Model)</v>
          </cell>
          <cell r="AP112" t="str">
            <v/>
          </cell>
          <cell r="AQ112" t="str">
            <v/>
          </cell>
          <cell r="AR112" t="str">
            <v>Y</v>
          </cell>
          <cell r="AS112" t="str">
            <v/>
          </cell>
          <cell r="AT112" t="str">
            <v>IN</v>
          </cell>
          <cell r="AU112" t="str">
            <v>Infotainment</v>
          </cell>
          <cell r="AV112" t="str">
            <v>INDI</v>
          </cell>
          <cell r="AW112" t="str">
            <v>Vehicle Display</v>
          </cell>
          <cell r="AX112" t="str">
            <v>INDICL</v>
          </cell>
          <cell r="AY112" t="str">
            <v>Cluster</v>
          </cell>
          <cell r="AZ112" t="str">
            <v>INDICLLC</v>
          </cell>
          <cell r="BA112" t="str">
            <v>LCD Cluster</v>
          </cell>
        </row>
        <row r="113">
          <cell r="E113" t="str">
            <v>CLVW10HG2D0.BMX7W2N</v>
          </cell>
          <cell r="F113">
            <v>40</v>
          </cell>
          <cell r="G113">
            <v>0</v>
          </cell>
          <cell r="H113">
            <v>0</v>
          </cell>
          <cell r="I113">
            <v>40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3000</v>
          </cell>
          <cell r="O113">
            <v>2400</v>
          </cell>
          <cell r="P113">
            <v>3000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 t="str">
            <v/>
          </cell>
          <cell r="AH113" t="str">
            <v/>
          </cell>
          <cell r="AI113" t="str">
            <v>KR20P13205930</v>
          </cell>
          <cell r="AJ113" t="str">
            <v>CLVW10HG2D0.ARFQ</v>
          </cell>
          <cell r="AK113" t="str">
            <v>0.005927</v>
          </cell>
          <cell r="AL113" t="str">
            <v>1</v>
          </cell>
          <cell r="AM113" t="str">
            <v>F</v>
          </cell>
          <cell r="AN113" t="str">
            <v>M0</v>
          </cell>
          <cell r="AO113" t="str">
            <v>Active(Model)</v>
          </cell>
          <cell r="AP113" t="str">
            <v/>
          </cell>
          <cell r="AQ113" t="str">
            <v/>
          </cell>
          <cell r="AR113" t="str">
            <v>Y</v>
          </cell>
          <cell r="AS113" t="str">
            <v/>
          </cell>
          <cell r="AT113" t="str">
            <v>IN</v>
          </cell>
          <cell r="AU113" t="str">
            <v>Infotainment</v>
          </cell>
          <cell r="AV113" t="str">
            <v>INDI</v>
          </cell>
          <cell r="AW113" t="str">
            <v>Vehicle Display</v>
          </cell>
          <cell r="AX113" t="str">
            <v>INDICL</v>
          </cell>
          <cell r="AY113" t="str">
            <v>Cluster</v>
          </cell>
          <cell r="AZ113" t="str">
            <v>INDICLLC</v>
          </cell>
          <cell r="BA113" t="str">
            <v>LCD Cluster</v>
          </cell>
        </row>
        <row r="114">
          <cell r="E114" t="str">
            <v>CLVW10HG2D0.BPT7W2N</v>
          </cell>
          <cell r="F114">
            <v>2326</v>
          </cell>
          <cell r="G114">
            <v>0</v>
          </cell>
          <cell r="H114">
            <v>0</v>
          </cell>
          <cell r="I114">
            <v>2326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6400</v>
          </cell>
          <cell r="O114">
            <v>0</v>
          </cell>
          <cell r="P114">
            <v>6400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 t="str">
            <v/>
          </cell>
          <cell r="AH114" t="str">
            <v/>
          </cell>
          <cell r="AI114" t="str">
            <v>KR20P13205930</v>
          </cell>
          <cell r="AJ114" t="str">
            <v>CLVW10HG2D0.ARFQ</v>
          </cell>
          <cell r="AK114" t="str">
            <v>0.005927</v>
          </cell>
          <cell r="AL114" t="str">
            <v>1</v>
          </cell>
          <cell r="AM114" t="str">
            <v>F</v>
          </cell>
          <cell r="AN114" t="str">
            <v>M0</v>
          </cell>
          <cell r="AO114" t="str">
            <v>Active(Model)</v>
          </cell>
          <cell r="AP114" t="str">
            <v/>
          </cell>
          <cell r="AQ114" t="str">
            <v/>
          </cell>
          <cell r="AR114" t="str">
            <v>Y</v>
          </cell>
          <cell r="AS114" t="str">
            <v/>
          </cell>
          <cell r="AT114" t="str">
            <v>IN</v>
          </cell>
          <cell r="AU114" t="str">
            <v>Infotainment</v>
          </cell>
          <cell r="AV114" t="str">
            <v>INDI</v>
          </cell>
          <cell r="AW114" t="str">
            <v>Vehicle Display</v>
          </cell>
          <cell r="AX114" t="str">
            <v>INDICL</v>
          </cell>
          <cell r="AY114" t="str">
            <v>Cluster</v>
          </cell>
          <cell r="AZ114" t="str">
            <v>INDICLLC</v>
          </cell>
          <cell r="BA114" t="str">
            <v>LCD Cluster</v>
          </cell>
        </row>
        <row r="115">
          <cell r="E115" t="str">
            <v>CLVW10HG2D0.BUS7W2N</v>
          </cell>
          <cell r="F115">
            <v>73</v>
          </cell>
          <cell r="G115">
            <v>0</v>
          </cell>
          <cell r="H115">
            <v>0</v>
          </cell>
          <cell r="I115">
            <v>73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4080</v>
          </cell>
          <cell r="O115">
            <v>4000</v>
          </cell>
          <cell r="P115">
            <v>4080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 t="str">
            <v/>
          </cell>
          <cell r="AH115" t="str">
            <v/>
          </cell>
          <cell r="AI115" t="str">
            <v>KR20P13205930</v>
          </cell>
          <cell r="AJ115" t="str">
            <v>CLVW10HG2D0.ARFQ</v>
          </cell>
          <cell r="AK115" t="str">
            <v>0.005927</v>
          </cell>
          <cell r="AL115" t="str">
            <v>1</v>
          </cell>
          <cell r="AM115" t="str">
            <v>F</v>
          </cell>
          <cell r="AN115" t="str">
            <v>M0</v>
          </cell>
          <cell r="AO115" t="str">
            <v>Active(Model)</v>
          </cell>
          <cell r="AP115" t="str">
            <v/>
          </cell>
          <cell r="AQ115" t="str">
            <v/>
          </cell>
          <cell r="AR115" t="str">
            <v>Y</v>
          </cell>
          <cell r="AS115" t="str">
            <v/>
          </cell>
          <cell r="AT115" t="str">
            <v>IN</v>
          </cell>
          <cell r="AU115" t="str">
            <v>Infotainment</v>
          </cell>
          <cell r="AV115" t="str">
            <v>INDI</v>
          </cell>
          <cell r="AW115" t="str">
            <v>Vehicle Display</v>
          </cell>
          <cell r="AX115" t="str">
            <v>INDICL</v>
          </cell>
          <cell r="AY115" t="str">
            <v>Cluster</v>
          </cell>
          <cell r="AZ115" t="str">
            <v>INDICLLC</v>
          </cell>
          <cell r="BA115" t="str">
            <v>LCD Cluster</v>
          </cell>
        </row>
        <row r="116">
          <cell r="E116" t="str">
            <v>CM02XN-VWE.BB51H00</v>
          </cell>
          <cell r="F116">
            <v>5550</v>
          </cell>
          <cell r="G116">
            <v>0</v>
          </cell>
          <cell r="H116">
            <v>0</v>
          </cell>
          <cell r="I116">
            <v>5550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 t="str">
            <v/>
          </cell>
          <cell r="AH116" t="str">
            <v/>
          </cell>
          <cell r="AI116" t="str">
            <v>KR22P03732670</v>
          </cell>
          <cell r="AJ116" t="str">
            <v>TVVWFNNG2C1.ARFQ</v>
          </cell>
          <cell r="AK116" t="str">
            <v>0.000018</v>
          </cell>
          <cell r="AL116" t="str">
            <v>1</v>
          </cell>
          <cell r="AM116" t="str">
            <v>F</v>
          </cell>
          <cell r="AN116" t="str">
            <v>M0</v>
          </cell>
          <cell r="AO116" t="str">
            <v>Active(Model)</v>
          </cell>
          <cell r="AP116" t="str">
            <v/>
          </cell>
          <cell r="AQ116" t="str">
            <v/>
          </cell>
          <cell r="AR116" t="str">
            <v>Y</v>
          </cell>
          <cell r="AS116" t="str">
            <v/>
          </cell>
          <cell r="AT116" t="str">
            <v>IN</v>
          </cell>
          <cell r="AU116" t="str">
            <v>Infotainment</v>
          </cell>
          <cell r="AV116" t="str">
            <v>INCO</v>
          </cell>
          <cell r="AW116" t="str">
            <v>Connectivity</v>
          </cell>
          <cell r="AX116" t="str">
            <v>INCOTE</v>
          </cell>
          <cell r="AY116" t="str">
            <v>Telematics</v>
          </cell>
          <cell r="AZ116" t="str">
            <v>INCOTEVX</v>
          </cell>
          <cell r="BA116" t="str">
            <v>Telematics V2X</v>
          </cell>
        </row>
        <row r="117">
          <cell r="E117" t="str">
            <v>CM02XN-VWE.BC61H00</v>
          </cell>
          <cell r="F117">
            <v>12773</v>
          </cell>
          <cell r="G117">
            <v>0</v>
          </cell>
          <cell r="H117">
            <v>0</v>
          </cell>
          <cell r="I117">
            <v>12773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 t="str">
            <v/>
          </cell>
          <cell r="AH117" t="str">
            <v/>
          </cell>
          <cell r="AI117" t="str">
            <v>KR22P03732670</v>
          </cell>
          <cell r="AJ117" t="str">
            <v>TVVWFNNG2C1.ARFQ</v>
          </cell>
          <cell r="AK117" t="str">
            <v>0.000018</v>
          </cell>
          <cell r="AL117" t="str">
            <v>1</v>
          </cell>
          <cell r="AM117" t="str">
            <v>F</v>
          </cell>
          <cell r="AN117" t="str">
            <v>M0</v>
          </cell>
          <cell r="AO117" t="str">
            <v>Active(Model)</v>
          </cell>
          <cell r="AP117" t="str">
            <v/>
          </cell>
          <cell r="AQ117" t="str">
            <v/>
          </cell>
          <cell r="AR117" t="str">
            <v>Y</v>
          </cell>
          <cell r="AS117" t="str">
            <v/>
          </cell>
          <cell r="AT117" t="str">
            <v>IN</v>
          </cell>
          <cell r="AU117" t="str">
            <v>Infotainment</v>
          </cell>
          <cell r="AV117" t="str">
            <v>INCO</v>
          </cell>
          <cell r="AW117" t="str">
            <v>Connectivity</v>
          </cell>
          <cell r="AX117" t="str">
            <v>INCOTE</v>
          </cell>
          <cell r="AY117" t="str">
            <v>Telematics</v>
          </cell>
          <cell r="AZ117" t="str">
            <v>INCOTEVX</v>
          </cell>
          <cell r="BA117" t="str">
            <v>Telematics V2X</v>
          </cell>
        </row>
        <row r="118">
          <cell r="E118" t="str">
            <v>COJL12FE0E0.BGBLAP1</v>
          </cell>
          <cell r="F118">
            <v>17</v>
          </cell>
          <cell r="G118">
            <v>0</v>
          </cell>
          <cell r="H118">
            <v>0</v>
          </cell>
          <cell r="I118">
            <v>17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 t="str">
            <v/>
          </cell>
          <cell r="AH118" t="str">
            <v/>
          </cell>
          <cell r="AI118" t="str">
            <v>KR21P10267770</v>
          </cell>
          <cell r="AJ118" t="str">
            <v>COJL12FE0E0.ARFQ</v>
          </cell>
          <cell r="AK118" t="str">
            <v>0.005485</v>
          </cell>
          <cell r="AL118" t="str">
            <v>1</v>
          </cell>
          <cell r="AM118" t="str">
            <v>F</v>
          </cell>
          <cell r="AN118" t="str">
            <v>M0</v>
          </cell>
          <cell r="AO118" t="str">
            <v>Active(Model)</v>
          </cell>
          <cell r="AP118" t="str">
            <v/>
          </cell>
          <cell r="AQ118" t="str">
            <v/>
          </cell>
          <cell r="AR118" t="str">
            <v>Y</v>
          </cell>
          <cell r="AS118" t="str">
            <v/>
          </cell>
          <cell r="AT118" t="str">
            <v>IN</v>
          </cell>
          <cell r="AU118" t="str">
            <v>Infotainment</v>
          </cell>
          <cell r="AV118" t="str">
            <v>INDI</v>
          </cell>
          <cell r="AW118" t="str">
            <v>Vehicle Display</v>
          </cell>
          <cell r="AX118" t="str">
            <v>INDICL</v>
          </cell>
          <cell r="AY118" t="str">
            <v>Cluster</v>
          </cell>
          <cell r="AZ118" t="str">
            <v>INDICLPO</v>
          </cell>
          <cell r="BA118" t="str">
            <v>POLED Cluster</v>
          </cell>
        </row>
        <row r="119">
          <cell r="E119" t="str">
            <v>DC12ASG-DPS.BEUDB03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1210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 t="str">
            <v/>
          </cell>
          <cell r="AH119" t="str">
            <v/>
          </cell>
          <cell r="AI119" t="str">
            <v>KR16P01188330</v>
          </cell>
          <cell r="AJ119" t="str">
            <v>DLDM12AN0E3.ARFQ</v>
          </cell>
          <cell r="AK119" t="str">
            <v>0.008059</v>
          </cell>
          <cell r="AL119" t="str">
            <v>1</v>
          </cell>
          <cell r="AM119" t="str">
            <v>F</v>
          </cell>
          <cell r="AN119" t="str">
            <v>M0</v>
          </cell>
          <cell r="AO119" t="str">
            <v>Active(Model)</v>
          </cell>
          <cell r="AP119" t="str">
            <v/>
          </cell>
          <cell r="AQ119" t="str">
            <v/>
          </cell>
          <cell r="AR119" t="str">
            <v>Y</v>
          </cell>
          <cell r="AS119" t="str">
            <v/>
          </cell>
          <cell r="AT119" t="str">
            <v>IN</v>
          </cell>
          <cell r="AU119" t="str">
            <v>Infotainment</v>
          </cell>
          <cell r="AV119" t="str">
            <v>INDI</v>
          </cell>
          <cell r="AW119" t="str">
            <v>Vehicle Display</v>
          </cell>
          <cell r="AX119" t="str">
            <v>INDICI</v>
          </cell>
          <cell r="AY119" t="str">
            <v>CID</v>
          </cell>
          <cell r="AZ119" t="str">
            <v>INDICILC</v>
          </cell>
          <cell r="BA119" t="str">
            <v>LCD CID</v>
          </cell>
        </row>
        <row r="120">
          <cell r="E120" t="str">
            <v>DC17LTT-DEH.BEUGH3S</v>
          </cell>
          <cell r="F120">
            <v>0</v>
          </cell>
          <cell r="G120">
            <v>0</v>
          </cell>
          <cell r="H120">
            <v>0</v>
          </cell>
          <cell r="I120">
            <v>82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 t="str">
            <v/>
          </cell>
          <cell r="AH120" t="str">
            <v/>
          </cell>
          <cell r="AI120" t="str">
            <v>KR17P00843810</v>
          </cell>
          <cell r="AJ120" t="str">
            <v>DODM17LT1A1.ARFQ</v>
          </cell>
          <cell r="AK120" t="str">
            <v>0.227708</v>
          </cell>
          <cell r="AL120" t="str">
            <v>1</v>
          </cell>
          <cell r="AM120" t="str">
            <v>F</v>
          </cell>
          <cell r="AN120" t="str">
            <v>M0</v>
          </cell>
          <cell r="AO120" t="str">
            <v>Active(Model)</v>
          </cell>
          <cell r="AP120" t="str">
            <v/>
          </cell>
          <cell r="AQ120" t="str">
            <v/>
          </cell>
          <cell r="AR120" t="str">
            <v>Y</v>
          </cell>
          <cell r="AS120" t="str">
            <v/>
          </cell>
          <cell r="AT120" t="str">
            <v>IN</v>
          </cell>
          <cell r="AU120" t="str">
            <v>Infotainment</v>
          </cell>
          <cell r="AV120" t="str">
            <v>INDI</v>
          </cell>
          <cell r="AW120" t="str">
            <v>Vehicle Display</v>
          </cell>
          <cell r="AX120" t="str">
            <v>INDICI</v>
          </cell>
          <cell r="AY120" t="str">
            <v>CID</v>
          </cell>
          <cell r="AZ120" t="str">
            <v>INDICIPO</v>
          </cell>
          <cell r="BA120" t="str">
            <v>POLED CID</v>
          </cell>
        </row>
        <row r="121">
          <cell r="E121" t="str">
            <v>DC17LTT-DEH.BEUMH03</v>
          </cell>
          <cell r="F121">
            <v>3</v>
          </cell>
          <cell r="G121">
            <v>0</v>
          </cell>
          <cell r="H121">
            <v>0</v>
          </cell>
          <cell r="I121">
            <v>3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56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 t="str">
            <v/>
          </cell>
          <cell r="AH121" t="str">
            <v/>
          </cell>
          <cell r="AI121" t="str">
            <v>KR17P00843810</v>
          </cell>
          <cell r="AJ121" t="str">
            <v>DODM17LT1A1.ARFQ</v>
          </cell>
          <cell r="AK121" t="str">
            <v>0.227708</v>
          </cell>
          <cell r="AL121" t="str">
            <v>1</v>
          </cell>
          <cell r="AM121" t="str">
            <v>F</v>
          </cell>
          <cell r="AN121" t="str">
            <v>M0</v>
          </cell>
          <cell r="AO121" t="str">
            <v>Active(Model)</v>
          </cell>
          <cell r="AP121" t="str">
            <v/>
          </cell>
          <cell r="AQ121" t="str">
            <v/>
          </cell>
          <cell r="AR121" t="str">
            <v>Y</v>
          </cell>
          <cell r="AS121" t="str">
            <v/>
          </cell>
          <cell r="AT121" t="str">
            <v>IN</v>
          </cell>
          <cell r="AU121" t="str">
            <v>Infotainment</v>
          </cell>
          <cell r="AV121" t="str">
            <v>INDI</v>
          </cell>
          <cell r="AW121" t="str">
            <v>Vehicle Display</v>
          </cell>
          <cell r="AX121" t="str">
            <v>INDICI</v>
          </cell>
          <cell r="AY121" t="str">
            <v>CID</v>
          </cell>
          <cell r="AZ121" t="str">
            <v>INDICIPO</v>
          </cell>
          <cell r="BA121" t="str">
            <v>POLED CID</v>
          </cell>
        </row>
        <row r="122">
          <cell r="E122" t="str">
            <v>DC17LTT-DEH.BUSGH03</v>
          </cell>
          <cell r="F122">
            <v>3</v>
          </cell>
          <cell r="G122">
            <v>0</v>
          </cell>
          <cell r="H122">
            <v>0</v>
          </cell>
          <cell r="I122">
            <v>59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 t="str">
            <v/>
          </cell>
          <cell r="AH122" t="str">
            <v/>
          </cell>
          <cell r="AI122" t="str">
            <v>KR17P00843810</v>
          </cell>
          <cell r="AJ122" t="str">
            <v>DODM17LT1A1.ARFQ</v>
          </cell>
          <cell r="AK122" t="str">
            <v>0.227708</v>
          </cell>
          <cell r="AL122" t="str">
            <v>1</v>
          </cell>
          <cell r="AM122" t="str">
            <v>F</v>
          </cell>
          <cell r="AN122" t="str">
            <v>M0</v>
          </cell>
          <cell r="AO122" t="str">
            <v>Active(Model)</v>
          </cell>
          <cell r="AP122" t="str">
            <v/>
          </cell>
          <cell r="AQ122" t="str">
            <v/>
          </cell>
          <cell r="AR122" t="str">
            <v>Y</v>
          </cell>
          <cell r="AS122" t="str">
            <v/>
          </cell>
          <cell r="AT122" t="str">
            <v>IN</v>
          </cell>
          <cell r="AU122" t="str">
            <v>Infotainment</v>
          </cell>
          <cell r="AV122" t="str">
            <v>INDI</v>
          </cell>
          <cell r="AW122" t="str">
            <v>Vehicle Display</v>
          </cell>
          <cell r="AX122" t="str">
            <v>INDICI</v>
          </cell>
          <cell r="AY122" t="str">
            <v>CID</v>
          </cell>
          <cell r="AZ122" t="str">
            <v>INDICIPO</v>
          </cell>
          <cell r="BA122" t="str">
            <v>POLED CID</v>
          </cell>
        </row>
        <row r="123">
          <cell r="E123" t="str">
            <v>DC17RTT-DEH.BUSGH03</v>
          </cell>
          <cell r="F123">
            <v>7</v>
          </cell>
          <cell r="G123">
            <v>0</v>
          </cell>
          <cell r="H123">
            <v>0</v>
          </cell>
          <cell r="I123">
            <v>7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 t="str">
            <v/>
          </cell>
          <cell r="AH123" t="str">
            <v/>
          </cell>
          <cell r="AI123" t="str">
            <v>KR17P00843810</v>
          </cell>
          <cell r="AJ123" t="str">
            <v>DODM17RT1A1.ARFQ</v>
          </cell>
          <cell r="AK123" t="str">
            <v>0.227708</v>
          </cell>
          <cell r="AL123" t="str">
            <v>1</v>
          </cell>
          <cell r="AM123" t="str">
            <v>F</v>
          </cell>
          <cell r="AN123" t="str">
            <v>M0</v>
          </cell>
          <cell r="AO123" t="str">
            <v>Active(Model)</v>
          </cell>
          <cell r="AP123" t="str">
            <v/>
          </cell>
          <cell r="AQ123" t="str">
            <v/>
          </cell>
          <cell r="AR123" t="str">
            <v>Y</v>
          </cell>
          <cell r="AS123" t="str">
            <v/>
          </cell>
          <cell r="AT123" t="str">
            <v>IN</v>
          </cell>
          <cell r="AU123" t="str">
            <v>Infotainment</v>
          </cell>
          <cell r="AV123" t="str">
            <v>INDI</v>
          </cell>
          <cell r="AW123" t="str">
            <v>Vehicle Display</v>
          </cell>
          <cell r="AX123" t="str">
            <v>INDICI</v>
          </cell>
          <cell r="AY123" t="str">
            <v>CID</v>
          </cell>
          <cell r="AZ123" t="str">
            <v>INDICIPO</v>
          </cell>
          <cell r="BA123" t="str">
            <v>POLED CID</v>
          </cell>
        </row>
        <row r="124">
          <cell r="E124" t="str">
            <v>DLBM10LT1A2.BBML131</v>
          </cell>
          <cell r="F124">
            <v>2266</v>
          </cell>
          <cell r="G124">
            <v>0</v>
          </cell>
          <cell r="H124">
            <v>10</v>
          </cell>
          <cell r="I124">
            <v>2276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5334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 t="str">
            <v/>
          </cell>
          <cell r="AH124" t="str">
            <v/>
          </cell>
          <cell r="AI124" t="str">
            <v>KR18P13289240</v>
          </cell>
          <cell r="AJ124" t="str">
            <v>DLBM10LT1A2.ARFQ</v>
          </cell>
          <cell r="AK124" t="str">
            <v>0.018329</v>
          </cell>
          <cell r="AL124" t="str">
            <v>1</v>
          </cell>
          <cell r="AM124" t="str">
            <v>F</v>
          </cell>
          <cell r="AN124" t="str">
            <v>M0</v>
          </cell>
          <cell r="AO124" t="str">
            <v>Active(Model)</v>
          </cell>
          <cell r="AP124" t="str">
            <v/>
          </cell>
          <cell r="AQ124" t="str">
            <v/>
          </cell>
          <cell r="AR124" t="str">
            <v>Y</v>
          </cell>
          <cell r="AS124" t="str">
            <v/>
          </cell>
          <cell r="AT124" t="str">
            <v>IN</v>
          </cell>
          <cell r="AU124" t="str">
            <v>Infotainment</v>
          </cell>
          <cell r="AV124" t="str">
            <v>INDI</v>
          </cell>
          <cell r="AW124" t="str">
            <v>Vehicle Display</v>
          </cell>
          <cell r="AX124" t="str">
            <v>INDICI</v>
          </cell>
          <cell r="AY124" t="str">
            <v>CID</v>
          </cell>
          <cell r="AZ124" t="str">
            <v>INDICILC</v>
          </cell>
          <cell r="BA124" t="str">
            <v>LCD CID</v>
          </cell>
        </row>
        <row r="125">
          <cell r="E125" t="str">
            <v>DLBM10LT1A3.BBML061</v>
          </cell>
          <cell r="F125">
            <v>1574</v>
          </cell>
          <cell r="G125">
            <v>0</v>
          </cell>
          <cell r="H125">
            <v>0</v>
          </cell>
          <cell r="I125">
            <v>1574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1290</v>
          </cell>
          <cell r="O125">
            <v>3420</v>
          </cell>
          <cell r="P125">
            <v>1290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str">
            <v/>
          </cell>
          <cell r="AH125" t="str">
            <v/>
          </cell>
          <cell r="AI125" t="str">
            <v>KR18P13289240</v>
          </cell>
          <cell r="AJ125" t="str">
            <v>DLBM10LT1A3.ARFQ</v>
          </cell>
          <cell r="AK125" t="str">
            <v>0.018329</v>
          </cell>
          <cell r="AL125" t="str">
            <v>1</v>
          </cell>
          <cell r="AM125" t="str">
            <v>F</v>
          </cell>
          <cell r="AN125" t="str">
            <v>M0</v>
          </cell>
          <cell r="AO125" t="str">
            <v>Active(Model)</v>
          </cell>
          <cell r="AP125" t="str">
            <v/>
          </cell>
          <cell r="AQ125" t="str">
            <v/>
          </cell>
          <cell r="AR125" t="str">
            <v>Y</v>
          </cell>
          <cell r="AS125" t="str">
            <v/>
          </cell>
          <cell r="AT125" t="str">
            <v>IN</v>
          </cell>
          <cell r="AU125" t="str">
            <v>Infotainment</v>
          </cell>
          <cell r="AV125" t="str">
            <v>INDI</v>
          </cell>
          <cell r="AW125" t="str">
            <v>Vehicle Display</v>
          </cell>
          <cell r="AX125" t="str">
            <v>INDICI</v>
          </cell>
          <cell r="AY125" t="str">
            <v>CID</v>
          </cell>
          <cell r="AZ125" t="str">
            <v>INDICILC</v>
          </cell>
          <cell r="BA125" t="str">
            <v>LCD CID</v>
          </cell>
        </row>
        <row r="126">
          <cell r="E126" t="str">
            <v>DLBM10RT1A2.BBMR131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1479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 t="str">
            <v/>
          </cell>
          <cell r="AH126" t="str">
            <v/>
          </cell>
          <cell r="AI126" t="str">
            <v>KR18P13289240</v>
          </cell>
          <cell r="AJ126" t="str">
            <v>DLBM10RT1A2.ARFQ</v>
          </cell>
          <cell r="AK126" t="str">
            <v>0.018329</v>
          </cell>
          <cell r="AL126" t="str">
            <v>1</v>
          </cell>
          <cell r="AM126" t="str">
            <v>F</v>
          </cell>
          <cell r="AN126" t="str">
            <v>M0</v>
          </cell>
          <cell r="AO126" t="str">
            <v>Active(Model)</v>
          </cell>
          <cell r="AP126" t="str">
            <v/>
          </cell>
          <cell r="AQ126" t="str">
            <v/>
          </cell>
          <cell r="AR126" t="str">
            <v>Y</v>
          </cell>
          <cell r="AS126" t="str">
            <v/>
          </cell>
          <cell r="AT126" t="str">
            <v>IN</v>
          </cell>
          <cell r="AU126" t="str">
            <v>Infotainment</v>
          </cell>
          <cell r="AV126" t="str">
            <v>INDI</v>
          </cell>
          <cell r="AW126" t="str">
            <v>Vehicle Display</v>
          </cell>
          <cell r="AX126" t="str">
            <v>INDICI</v>
          </cell>
          <cell r="AY126" t="str">
            <v>CID</v>
          </cell>
          <cell r="AZ126" t="str">
            <v>INDICILC</v>
          </cell>
          <cell r="BA126" t="str">
            <v>LCD CID</v>
          </cell>
        </row>
        <row r="127">
          <cell r="E127" t="str">
            <v>DLBM10RT1A3.BBMR061</v>
          </cell>
          <cell r="F127">
            <v>786</v>
          </cell>
          <cell r="G127">
            <v>0</v>
          </cell>
          <cell r="H127">
            <v>0</v>
          </cell>
          <cell r="I127">
            <v>786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360</v>
          </cell>
          <cell r="O127">
            <v>1530</v>
          </cell>
          <cell r="P127">
            <v>360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 t="str">
            <v/>
          </cell>
          <cell r="AH127" t="str">
            <v/>
          </cell>
          <cell r="AI127" t="str">
            <v>KR18P13289240</v>
          </cell>
          <cell r="AJ127" t="str">
            <v>DLBM10RT1A3.ARFQ</v>
          </cell>
          <cell r="AK127" t="str">
            <v>0.018329</v>
          </cell>
          <cell r="AL127" t="str">
            <v>1</v>
          </cell>
          <cell r="AM127" t="str">
            <v>F</v>
          </cell>
          <cell r="AN127" t="str">
            <v>M0</v>
          </cell>
          <cell r="AO127" t="str">
            <v>Active(Model)</v>
          </cell>
          <cell r="AP127" t="str">
            <v/>
          </cell>
          <cell r="AQ127" t="str">
            <v/>
          </cell>
          <cell r="AR127" t="str">
            <v>Y</v>
          </cell>
          <cell r="AS127" t="str">
            <v/>
          </cell>
          <cell r="AT127" t="str">
            <v>IN</v>
          </cell>
          <cell r="AU127" t="str">
            <v>Infotainment</v>
          </cell>
          <cell r="AV127" t="str">
            <v>INDI</v>
          </cell>
          <cell r="AW127" t="str">
            <v>Vehicle Display</v>
          </cell>
          <cell r="AX127" t="str">
            <v>INDICI</v>
          </cell>
          <cell r="AY127" t="str">
            <v>CID</v>
          </cell>
          <cell r="AZ127" t="str">
            <v>INDICILC</v>
          </cell>
          <cell r="BA127" t="str">
            <v>LCD CID</v>
          </cell>
        </row>
        <row r="128">
          <cell r="E128" t="str">
            <v>DLDM12AE0B2.BEUDB11</v>
          </cell>
          <cell r="F128">
            <v>23</v>
          </cell>
          <cell r="G128">
            <v>0</v>
          </cell>
          <cell r="H128">
            <v>0</v>
          </cell>
          <cell r="I128">
            <v>23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1811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 t="str">
            <v/>
          </cell>
          <cell r="AH128" t="str">
            <v/>
          </cell>
          <cell r="AI128" t="str">
            <v>KR19P08216420</v>
          </cell>
          <cell r="AJ128" t="str">
            <v>DLDM12AE0B2.ARFQ</v>
          </cell>
          <cell r="AK128" t="str">
            <v>0.008059</v>
          </cell>
          <cell r="AL128" t="str">
            <v>1</v>
          </cell>
          <cell r="AM128" t="str">
            <v>F</v>
          </cell>
          <cell r="AN128" t="str">
            <v>M0</v>
          </cell>
          <cell r="AO128" t="str">
            <v>Active(Model)</v>
          </cell>
          <cell r="AP128" t="str">
            <v/>
          </cell>
          <cell r="AQ128" t="str">
            <v/>
          </cell>
          <cell r="AR128" t="str">
            <v>Y</v>
          </cell>
          <cell r="AS128" t="str">
            <v/>
          </cell>
          <cell r="AT128" t="str">
            <v>IN</v>
          </cell>
          <cell r="AU128" t="str">
            <v>Infotainment</v>
          </cell>
          <cell r="AV128" t="str">
            <v>INDI</v>
          </cell>
          <cell r="AW128" t="str">
            <v>Vehicle Display</v>
          </cell>
          <cell r="AX128" t="str">
            <v>INDICI</v>
          </cell>
          <cell r="AY128" t="str">
            <v>CID</v>
          </cell>
          <cell r="AZ128" t="str">
            <v>INDICILC</v>
          </cell>
          <cell r="BA128" t="str">
            <v>LCD CID</v>
          </cell>
        </row>
        <row r="129">
          <cell r="E129" t="str">
            <v>DLDM12AE0E2.BEUBSP3</v>
          </cell>
          <cell r="F129">
            <v>0</v>
          </cell>
          <cell r="G129">
            <v>0</v>
          </cell>
          <cell r="H129">
            <v>0</v>
          </cell>
          <cell r="I129">
            <v>2677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5880</v>
          </cell>
          <cell r="O129">
            <v>3417</v>
          </cell>
          <cell r="P129">
            <v>5880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 t="str">
            <v/>
          </cell>
          <cell r="AH129" t="str">
            <v/>
          </cell>
          <cell r="AI129" t="str">
            <v>KR21P08578310</v>
          </cell>
          <cell r="AJ129" t="str">
            <v>DLDM12AE0E2.ARFQ</v>
          </cell>
          <cell r="AK129" t="str">
            <v>0.011722</v>
          </cell>
          <cell r="AL129" t="str">
            <v>1</v>
          </cell>
          <cell r="AM129" t="str">
            <v>F</v>
          </cell>
          <cell r="AN129" t="str">
            <v>M0</v>
          </cell>
          <cell r="AO129" t="str">
            <v>Active(Model)</v>
          </cell>
          <cell r="AP129" t="str">
            <v/>
          </cell>
          <cell r="AQ129" t="str">
            <v/>
          </cell>
          <cell r="AR129" t="str">
            <v>Y</v>
          </cell>
          <cell r="AS129" t="str">
            <v/>
          </cell>
          <cell r="AT129" t="str">
            <v>IN</v>
          </cell>
          <cell r="AU129" t="str">
            <v>Infotainment</v>
          </cell>
          <cell r="AV129" t="str">
            <v>INDI</v>
          </cell>
          <cell r="AW129" t="str">
            <v>Vehicle Display</v>
          </cell>
          <cell r="AX129" t="str">
            <v>INDICI</v>
          </cell>
          <cell r="AY129" t="str">
            <v>CID</v>
          </cell>
          <cell r="AZ129" t="str">
            <v>INDICILC</v>
          </cell>
          <cell r="BA129" t="str">
            <v>LCD CID</v>
          </cell>
        </row>
        <row r="130">
          <cell r="E130" t="str">
            <v>DLDM12AE0E3.BEUBSP3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423</v>
          </cell>
          <cell r="O130">
            <v>0</v>
          </cell>
          <cell r="P130">
            <v>423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 t="str">
            <v/>
          </cell>
          <cell r="AH130" t="str">
            <v/>
          </cell>
          <cell r="AI130" t="str">
            <v>KR21P08578310</v>
          </cell>
          <cell r="AJ130" t="str">
            <v>DLDM12AE0E3.ARFQ</v>
          </cell>
          <cell r="AK130" t="str">
            <v>0.008425</v>
          </cell>
          <cell r="AL130" t="str">
            <v>1</v>
          </cell>
          <cell r="AM130" t="str">
            <v>F</v>
          </cell>
          <cell r="AN130" t="str">
            <v>M0</v>
          </cell>
          <cell r="AO130" t="str">
            <v>Active(Model)</v>
          </cell>
          <cell r="AP130" t="str">
            <v/>
          </cell>
          <cell r="AQ130" t="str">
            <v/>
          </cell>
          <cell r="AR130" t="str">
            <v>Y</v>
          </cell>
          <cell r="AS130" t="str">
            <v/>
          </cell>
          <cell r="AT130" t="str">
            <v>IN</v>
          </cell>
          <cell r="AU130" t="str">
            <v>Infotainment</v>
          </cell>
          <cell r="AV130" t="str">
            <v>INDI</v>
          </cell>
          <cell r="AW130" t="str">
            <v>Vehicle Display</v>
          </cell>
          <cell r="AX130" t="str">
            <v>INDICI</v>
          </cell>
          <cell r="AY130" t="str">
            <v>CID</v>
          </cell>
          <cell r="AZ130" t="str">
            <v>INDICILC</v>
          </cell>
          <cell r="BA130" t="str">
            <v>LCD CID</v>
          </cell>
        </row>
        <row r="131">
          <cell r="E131" t="str">
            <v>DLDM12AE2E1.BEUDB02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596</v>
          </cell>
          <cell r="O131">
            <v>0</v>
          </cell>
          <cell r="P131">
            <v>596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str">
            <v/>
          </cell>
          <cell r="AH131" t="str">
            <v/>
          </cell>
          <cell r="AI131" t="str">
            <v>KR22P07930720</v>
          </cell>
          <cell r="AJ131" t="str">
            <v>DLDM12AE2E1.ARFQ</v>
          </cell>
          <cell r="AK131" t="str">
            <v>0.008059</v>
          </cell>
          <cell r="AL131" t="str">
            <v>1</v>
          </cell>
          <cell r="AM131" t="str">
            <v>F</v>
          </cell>
          <cell r="AN131" t="str">
            <v>M0</v>
          </cell>
          <cell r="AO131" t="str">
            <v>Active(Model)</v>
          </cell>
          <cell r="AP131" t="str">
            <v/>
          </cell>
          <cell r="AQ131" t="str">
            <v/>
          </cell>
          <cell r="AR131" t="str">
            <v>Y</v>
          </cell>
          <cell r="AS131" t="str">
            <v/>
          </cell>
          <cell r="AT131" t="str">
            <v>IN</v>
          </cell>
          <cell r="AU131" t="str">
            <v>Infotainment</v>
          </cell>
          <cell r="AV131" t="str">
            <v>INDI</v>
          </cell>
          <cell r="AW131" t="str">
            <v>Vehicle Display</v>
          </cell>
          <cell r="AX131" t="str">
            <v>INDICI</v>
          </cell>
          <cell r="AY131" t="str">
            <v>CID</v>
          </cell>
          <cell r="AZ131" t="str">
            <v>INDICILC</v>
          </cell>
          <cell r="BA131" t="str">
            <v>LCD CID</v>
          </cell>
        </row>
        <row r="132">
          <cell r="E132" t="str">
            <v>DLDM12LT2F8.BWWBRD5</v>
          </cell>
          <cell r="F132">
            <v>0</v>
          </cell>
          <cell r="G132">
            <v>0</v>
          </cell>
          <cell r="H132">
            <v>79</v>
          </cell>
          <cell r="I132">
            <v>79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 t="str">
            <v/>
          </cell>
          <cell r="AH132" t="str">
            <v/>
          </cell>
          <cell r="AI132" t="str">
            <v>KR21P19262180</v>
          </cell>
          <cell r="AJ132" t="str">
            <v>DLDM12LT2F8.ARFQ</v>
          </cell>
          <cell r="AK132" t="str">
            <v>0.008425</v>
          </cell>
          <cell r="AL132" t="str">
            <v>1</v>
          </cell>
          <cell r="AM132" t="str">
            <v>F</v>
          </cell>
          <cell r="AN132" t="str">
            <v>M0</v>
          </cell>
          <cell r="AO132" t="str">
            <v>Active(Model)</v>
          </cell>
          <cell r="AP132" t="str">
            <v/>
          </cell>
          <cell r="AQ132" t="str">
            <v/>
          </cell>
          <cell r="AR132" t="str">
            <v>Y</v>
          </cell>
          <cell r="AS132" t="str">
            <v/>
          </cell>
          <cell r="AT132" t="str">
            <v>IN</v>
          </cell>
          <cell r="AU132" t="str">
            <v>Infotainment</v>
          </cell>
          <cell r="AV132" t="str">
            <v>INDI</v>
          </cell>
          <cell r="AW132" t="str">
            <v>Vehicle Display</v>
          </cell>
          <cell r="AX132" t="str">
            <v>INDICI</v>
          </cell>
          <cell r="AY132" t="str">
            <v>CID</v>
          </cell>
          <cell r="AZ132" t="str">
            <v>INDICILC</v>
          </cell>
          <cell r="BA132" t="str">
            <v>LCD CID</v>
          </cell>
        </row>
        <row r="133">
          <cell r="E133" t="str">
            <v>DLDM12LT2F8.BWWBRP3</v>
          </cell>
          <cell r="F133">
            <v>809</v>
          </cell>
          <cell r="G133">
            <v>0</v>
          </cell>
          <cell r="H133">
            <v>0</v>
          </cell>
          <cell r="I133">
            <v>809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 t="str">
            <v/>
          </cell>
          <cell r="AH133" t="str">
            <v/>
          </cell>
          <cell r="AI133" t="str">
            <v>KR21P19262180</v>
          </cell>
          <cell r="AJ133" t="str">
            <v>DLDM12LT2F8.ARFQ</v>
          </cell>
          <cell r="AK133" t="str">
            <v>0.008059</v>
          </cell>
          <cell r="AL133" t="str">
            <v>1</v>
          </cell>
          <cell r="AM133" t="str">
            <v>F</v>
          </cell>
          <cell r="AN133" t="str">
            <v>M0</v>
          </cell>
          <cell r="AO133" t="str">
            <v>Active(Model)</v>
          </cell>
          <cell r="AP133" t="str">
            <v/>
          </cell>
          <cell r="AQ133" t="str">
            <v/>
          </cell>
          <cell r="AR133" t="str">
            <v>Y</v>
          </cell>
          <cell r="AS133" t="str">
            <v/>
          </cell>
          <cell r="AT133" t="str">
            <v>IN</v>
          </cell>
          <cell r="AU133" t="str">
            <v>Infotainment</v>
          </cell>
          <cell r="AV133" t="str">
            <v>INDI</v>
          </cell>
          <cell r="AW133" t="str">
            <v>Vehicle Display</v>
          </cell>
          <cell r="AX133" t="str">
            <v>INDICI</v>
          </cell>
          <cell r="AY133" t="str">
            <v>CID</v>
          </cell>
          <cell r="AZ133" t="str">
            <v>INDICILC</v>
          </cell>
          <cell r="BA133" t="str">
            <v>LCD CID</v>
          </cell>
        </row>
        <row r="134">
          <cell r="E134" t="str">
            <v>DLDM12LT2FA.BCHBRP1</v>
          </cell>
          <cell r="F134">
            <v>60</v>
          </cell>
          <cell r="G134">
            <v>0</v>
          </cell>
          <cell r="H134">
            <v>59</v>
          </cell>
          <cell r="I134">
            <v>119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2752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 t="str">
            <v/>
          </cell>
          <cell r="AH134" t="str">
            <v/>
          </cell>
          <cell r="AI134" t="str">
            <v>KR21P19262180</v>
          </cell>
          <cell r="AJ134" t="str">
            <v>DLDM12LT2FA.ARFQ</v>
          </cell>
          <cell r="AK134" t="str">
            <v>0.008059</v>
          </cell>
          <cell r="AL134" t="str">
            <v>1</v>
          </cell>
          <cell r="AM134" t="str">
            <v>F</v>
          </cell>
          <cell r="AN134" t="str">
            <v>M0</v>
          </cell>
          <cell r="AO134" t="str">
            <v>Active(Model)</v>
          </cell>
          <cell r="AP134" t="str">
            <v/>
          </cell>
          <cell r="AQ134" t="str">
            <v/>
          </cell>
          <cell r="AR134" t="str">
            <v>Y</v>
          </cell>
          <cell r="AS134" t="str">
            <v/>
          </cell>
          <cell r="AT134" t="str">
            <v>IN</v>
          </cell>
          <cell r="AU134" t="str">
            <v>Infotainment</v>
          </cell>
          <cell r="AV134" t="str">
            <v>INDI</v>
          </cell>
          <cell r="AW134" t="str">
            <v>Vehicle Display</v>
          </cell>
          <cell r="AX134" t="str">
            <v>INDICI</v>
          </cell>
          <cell r="AY134" t="str">
            <v>CID</v>
          </cell>
          <cell r="AZ134" t="str">
            <v>INDICILC</v>
          </cell>
          <cell r="BA134" t="str">
            <v>LCD CID</v>
          </cell>
        </row>
        <row r="135">
          <cell r="E135" t="str">
            <v>DLDM12LT2FA.BWWBRD5</v>
          </cell>
          <cell r="F135">
            <v>0</v>
          </cell>
          <cell r="G135">
            <v>0</v>
          </cell>
          <cell r="H135">
            <v>61</v>
          </cell>
          <cell r="I135">
            <v>61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 t="str">
            <v/>
          </cell>
          <cell r="AH135" t="str">
            <v/>
          </cell>
          <cell r="AI135" t="str">
            <v>KR21P19262180</v>
          </cell>
          <cell r="AJ135" t="str">
            <v>DLDM12LT2FA.ARFQ</v>
          </cell>
          <cell r="AK135" t="str">
            <v>0.008425</v>
          </cell>
          <cell r="AL135" t="str">
            <v>1</v>
          </cell>
          <cell r="AM135" t="str">
            <v>F</v>
          </cell>
          <cell r="AN135" t="str">
            <v>M0</v>
          </cell>
          <cell r="AO135" t="str">
            <v>Active(Model)</v>
          </cell>
          <cell r="AP135" t="str">
            <v/>
          </cell>
          <cell r="AQ135" t="str">
            <v/>
          </cell>
          <cell r="AR135" t="str">
            <v>Y</v>
          </cell>
          <cell r="AS135" t="str">
            <v/>
          </cell>
          <cell r="AT135" t="str">
            <v>IN</v>
          </cell>
          <cell r="AU135" t="str">
            <v>Infotainment</v>
          </cell>
          <cell r="AV135" t="str">
            <v>INDI</v>
          </cell>
          <cell r="AW135" t="str">
            <v>Vehicle Display</v>
          </cell>
          <cell r="AX135" t="str">
            <v>INDICI</v>
          </cell>
          <cell r="AY135" t="str">
            <v>CID</v>
          </cell>
          <cell r="AZ135" t="str">
            <v>INDICILC</v>
          </cell>
          <cell r="BA135" t="str">
            <v>LCD CID</v>
          </cell>
        </row>
        <row r="136">
          <cell r="E136" t="str">
            <v>DLDM12LT2FA.BWWBRP1</v>
          </cell>
          <cell r="F136">
            <v>2869</v>
          </cell>
          <cell r="G136">
            <v>0</v>
          </cell>
          <cell r="H136">
            <v>0</v>
          </cell>
          <cell r="I136">
            <v>2933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5440</v>
          </cell>
          <cell r="O136">
            <v>1920</v>
          </cell>
          <cell r="P136">
            <v>5440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 t="str">
            <v/>
          </cell>
          <cell r="AH136" t="str">
            <v/>
          </cell>
          <cell r="AI136" t="str">
            <v>KR21P19262180</v>
          </cell>
          <cell r="AJ136" t="str">
            <v>DLDM12LT2FA.ARFQ</v>
          </cell>
          <cell r="AK136" t="str">
            <v>0.008425</v>
          </cell>
          <cell r="AL136" t="str">
            <v>1</v>
          </cell>
          <cell r="AM136" t="str">
            <v>F</v>
          </cell>
          <cell r="AN136" t="str">
            <v>M0</v>
          </cell>
          <cell r="AO136" t="str">
            <v>Active(Model)</v>
          </cell>
          <cell r="AP136" t="str">
            <v/>
          </cell>
          <cell r="AQ136" t="str">
            <v/>
          </cell>
          <cell r="AR136" t="str">
            <v>Y</v>
          </cell>
          <cell r="AS136" t="str">
            <v/>
          </cell>
          <cell r="AT136" t="str">
            <v>IN</v>
          </cell>
          <cell r="AU136" t="str">
            <v>Infotainment</v>
          </cell>
          <cell r="AV136" t="str">
            <v>INDI</v>
          </cell>
          <cell r="AW136" t="str">
            <v>Vehicle Display</v>
          </cell>
          <cell r="AX136" t="str">
            <v>INDICI</v>
          </cell>
          <cell r="AY136" t="str">
            <v>CID</v>
          </cell>
          <cell r="AZ136" t="str">
            <v>INDICILC</v>
          </cell>
          <cell r="BA136" t="str">
            <v>LCD CID</v>
          </cell>
        </row>
        <row r="137">
          <cell r="E137" t="str">
            <v>DLDM12LT2FA.BWWBRP4</v>
          </cell>
          <cell r="F137">
            <v>5</v>
          </cell>
          <cell r="G137">
            <v>0</v>
          </cell>
          <cell r="H137">
            <v>0</v>
          </cell>
          <cell r="I137">
            <v>5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30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str">
            <v/>
          </cell>
          <cell r="AH137" t="str">
            <v/>
          </cell>
          <cell r="AI137" t="str">
            <v>KR21P19262180</v>
          </cell>
          <cell r="AJ137" t="str">
            <v>DLDM12LT2FA.ARFQ</v>
          </cell>
          <cell r="AK137" t="str">
            <v>0.008425</v>
          </cell>
          <cell r="AL137" t="str">
            <v>1</v>
          </cell>
          <cell r="AM137" t="str">
            <v>F</v>
          </cell>
          <cell r="AN137" t="str">
            <v>M0</v>
          </cell>
          <cell r="AO137" t="str">
            <v>Active(Model)</v>
          </cell>
          <cell r="AP137" t="str">
            <v/>
          </cell>
          <cell r="AQ137" t="str">
            <v/>
          </cell>
          <cell r="AR137" t="str">
            <v>Y</v>
          </cell>
          <cell r="AS137" t="str">
            <v/>
          </cell>
          <cell r="AT137" t="str">
            <v>IN</v>
          </cell>
          <cell r="AU137" t="str">
            <v>Infotainment</v>
          </cell>
          <cell r="AV137" t="str">
            <v>INDI</v>
          </cell>
          <cell r="AW137" t="str">
            <v>Vehicle Display</v>
          </cell>
          <cell r="AX137" t="str">
            <v>INDICI</v>
          </cell>
          <cell r="AY137" t="str">
            <v>CID</v>
          </cell>
          <cell r="AZ137" t="str">
            <v>INDICILC</v>
          </cell>
          <cell r="BA137" t="str">
            <v>LCD CID</v>
          </cell>
        </row>
        <row r="138">
          <cell r="E138" t="str">
            <v>DLDM12RT2F8.BWWBRD5</v>
          </cell>
          <cell r="F138">
            <v>0</v>
          </cell>
          <cell r="G138">
            <v>0</v>
          </cell>
          <cell r="H138">
            <v>5</v>
          </cell>
          <cell r="I138">
            <v>5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 t="str">
            <v/>
          </cell>
          <cell r="AH138" t="str">
            <v/>
          </cell>
          <cell r="AI138" t="str">
            <v>KR21P19262180</v>
          </cell>
          <cell r="AJ138" t="str">
            <v>DLDM12RT2F8.ARFQ</v>
          </cell>
          <cell r="AK138" t="str">
            <v>0.008425</v>
          </cell>
          <cell r="AL138" t="str">
            <v>1</v>
          </cell>
          <cell r="AM138" t="str">
            <v>F</v>
          </cell>
          <cell r="AN138" t="str">
            <v>M0</v>
          </cell>
          <cell r="AO138" t="str">
            <v>Active(Model)</v>
          </cell>
          <cell r="AP138" t="str">
            <v/>
          </cell>
          <cell r="AQ138" t="str">
            <v/>
          </cell>
          <cell r="AR138" t="str">
            <v>Y</v>
          </cell>
          <cell r="AS138" t="str">
            <v/>
          </cell>
          <cell r="AT138" t="str">
            <v>IN</v>
          </cell>
          <cell r="AU138" t="str">
            <v>Infotainment</v>
          </cell>
          <cell r="AV138" t="str">
            <v>INDI</v>
          </cell>
          <cell r="AW138" t="str">
            <v>Vehicle Display</v>
          </cell>
          <cell r="AX138" t="str">
            <v>INDICI</v>
          </cell>
          <cell r="AY138" t="str">
            <v>CID</v>
          </cell>
          <cell r="AZ138" t="str">
            <v>INDICILC</v>
          </cell>
          <cell r="BA138" t="str">
            <v>LCD CID</v>
          </cell>
        </row>
        <row r="139">
          <cell r="E139" t="str">
            <v>DLDM12RT2F8.BWWBRP3</v>
          </cell>
          <cell r="F139">
            <v>1</v>
          </cell>
          <cell r="G139">
            <v>0</v>
          </cell>
          <cell r="H139">
            <v>0</v>
          </cell>
          <cell r="I139">
            <v>1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 t="str">
            <v/>
          </cell>
          <cell r="AH139" t="str">
            <v/>
          </cell>
          <cell r="AI139" t="str">
            <v>KR21P19262180</v>
          </cell>
          <cell r="AJ139" t="str">
            <v>DLDM12RT2F8.ARFQ</v>
          </cell>
          <cell r="AK139" t="str">
            <v>0.008059</v>
          </cell>
          <cell r="AL139" t="str">
            <v>1</v>
          </cell>
          <cell r="AM139" t="str">
            <v>F</v>
          </cell>
          <cell r="AN139" t="str">
            <v>M0</v>
          </cell>
          <cell r="AO139" t="str">
            <v>Active(Model)</v>
          </cell>
          <cell r="AP139" t="str">
            <v/>
          </cell>
          <cell r="AQ139" t="str">
            <v/>
          </cell>
          <cell r="AR139" t="str">
            <v>Y</v>
          </cell>
          <cell r="AS139" t="str">
            <v/>
          </cell>
          <cell r="AT139" t="str">
            <v>IN</v>
          </cell>
          <cell r="AU139" t="str">
            <v>Infotainment</v>
          </cell>
          <cell r="AV139" t="str">
            <v>INDI</v>
          </cell>
          <cell r="AW139" t="str">
            <v>Vehicle Display</v>
          </cell>
          <cell r="AX139" t="str">
            <v>INDICI</v>
          </cell>
          <cell r="AY139" t="str">
            <v>CID</v>
          </cell>
          <cell r="AZ139" t="str">
            <v>INDICILC</v>
          </cell>
          <cell r="BA139" t="str">
            <v>LCD CID</v>
          </cell>
        </row>
        <row r="140">
          <cell r="E140" t="str">
            <v>DLDM12RT2FA.BWWBRD5</v>
          </cell>
          <cell r="F140">
            <v>0</v>
          </cell>
          <cell r="G140">
            <v>0</v>
          </cell>
          <cell r="H140">
            <v>8</v>
          </cell>
          <cell r="I140">
            <v>8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 t="str">
            <v/>
          </cell>
          <cell r="AH140" t="str">
            <v/>
          </cell>
          <cell r="AI140" t="str">
            <v>KR21P19262180</v>
          </cell>
          <cell r="AJ140" t="str">
            <v>DLDM12RT2FA.ARFQ</v>
          </cell>
          <cell r="AK140" t="str">
            <v>0.008425</v>
          </cell>
          <cell r="AL140" t="str">
            <v>1</v>
          </cell>
          <cell r="AM140" t="str">
            <v>F</v>
          </cell>
          <cell r="AN140" t="str">
            <v>M0</v>
          </cell>
          <cell r="AO140" t="str">
            <v>Active(Model)</v>
          </cell>
          <cell r="AP140" t="str">
            <v/>
          </cell>
          <cell r="AQ140" t="str">
            <v/>
          </cell>
          <cell r="AR140" t="str">
            <v>Y</v>
          </cell>
          <cell r="AS140" t="str">
            <v/>
          </cell>
          <cell r="AT140" t="str">
            <v>IN</v>
          </cell>
          <cell r="AU140" t="str">
            <v>Infotainment</v>
          </cell>
          <cell r="AV140" t="str">
            <v>INDI</v>
          </cell>
          <cell r="AW140" t="str">
            <v>Vehicle Display</v>
          </cell>
          <cell r="AX140" t="str">
            <v>INDICI</v>
          </cell>
          <cell r="AY140" t="str">
            <v>CID</v>
          </cell>
          <cell r="AZ140" t="str">
            <v>INDICILC</v>
          </cell>
          <cell r="BA140" t="str">
            <v>LCD CID</v>
          </cell>
        </row>
        <row r="141">
          <cell r="E141" t="str">
            <v>DLDM12RT2FA.BWWBRP1</v>
          </cell>
          <cell r="F141">
            <v>5</v>
          </cell>
          <cell r="G141">
            <v>0</v>
          </cell>
          <cell r="H141">
            <v>0</v>
          </cell>
          <cell r="I141">
            <v>5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896</v>
          </cell>
          <cell r="O141">
            <v>0</v>
          </cell>
          <cell r="P141">
            <v>896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 t="str">
            <v/>
          </cell>
          <cell r="AH141" t="str">
            <v/>
          </cell>
          <cell r="AI141" t="str">
            <v>KR21P19262180</v>
          </cell>
          <cell r="AJ141" t="str">
            <v>DLDM12RT2FA.ARFQ</v>
          </cell>
          <cell r="AK141" t="str">
            <v>0.008059</v>
          </cell>
          <cell r="AL141" t="str">
            <v>1</v>
          </cell>
          <cell r="AM141" t="str">
            <v>F</v>
          </cell>
          <cell r="AN141" t="str">
            <v>M0</v>
          </cell>
          <cell r="AO141" t="str">
            <v>Active(Model)</v>
          </cell>
          <cell r="AP141" t="str">
            <v/>
          </cell>
          <cell r="AQ141" t="str">
            <v/>
          </cell>
          <cell r="AR141" t="str">
            <v>Y</v>
          </cell>
          <cell r="AS141" t="str">
            <v/>
          </cell>
          <cell r="AT141" t="str">
            <v>IN</v>
          </cell>
          <cell r="AU141" t="str">
            <v>Infotainment</v>
          </cell>
          <cell r="AV141" t="str">
            <v>INDI</v>
          </cell>
          <cell r="AW141" t="str">
            <v>Vehicle Display</v>
          </cell>
          <cell r="AX141" t="str">
            <v>INDICI</v>
          </cell>
          <cell r="AY141" t="str">
            <v>CID</v>
          </cell>
          <cell r="AZ141" t="str">
            <v>INDICILC</v>
          </cell>
          <cell r="BA141" t="str">
            <v>LCD CID</v>
          </cell>
        </row>
        <row r="142">
          <cell r="E142" t="str">
            <v>DLRN00AN1D1.BWWCM2N</v>
          </cell>
          <cell r="F142">
            <v>1402</v>
          </cell>
          <cell r="G142">
            <v>0</v>
          </cell>
          <cell r="H142">
            <v>0</v>
          </cell>
          <cell r="I142">
            <v>1402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2400</v>
          </cell>
          <cell r="O142">
            <v>1120</v>
          </cell>
          <cell r="P142">
            <v>2400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 t="str">
            <v/>
          </cell>
          <cell r="AH142" t="str">
            <v/>
          </cell>
          <cell r="AI142" t="str">
            <v>KR20P04146470</v>
          </cell>
          <cell r="AJ142" t="str">
            <v>DLRN00AN1D1.ARFQ</v>
          </cell>
          <cell r="AK142" t="str">
            <v>0.007200</v>
          </cell>
          <cell r="AL142" t="str">
            <v>1</v>
          </cell>
          <cell r="AM142" t="str">
            <v>F</v>
          </cell>
          <cell r="AN142" t="str">
            <v>M0</v>
          </cell>
          <cell r="AO142" t="str">
            <v>Active(Model)</v>
          </cell>
          <cell r="AP142" t="str">
            <v/>
          </cell>
          <cell r="AQ142" t="str">
            <v/>
          </cell>
          <cell r="AR142" t="str">
            <v>Y</v>
          </cell>
          <cell r="AS142" t="str">
            <v/>
          </cell>
          <cell r="AT142" t="str">
            <v>IN</v>
          </cell>
          <cell r="AU142" t="str">
            <v>Infotainment</v>
          </cell>
          <cell r="AV142" t="str">
            <v>INDI</v>
          </cell>
          <cell r="AW142" t="str">
            <v>Vehicle Display</v>
          </cell>
          <cell r="AX142" t="str">
            <v>INDICI</v>
          </cell>
          <cell r="AY142" t="str">
            <v>CID</v>
          </cell>
          <cell r="AZ142" t="str">
            <v>INDICILC</v>
          </cell>
          <cell r="BA142" t="str">
            <v>LCD CID</v>
          </cell>
        </row>
        <row r="143">
          <cell r="E143" t="str">
            <v>DOJL07AT0E0.BGBLAP1</v>
          </cell>
          <cell r="F143">
            <v>164</v>
          </cell>
          <cell r="G143">
            <v>0</v>
          </cell>
          <cell r="H143">
            <v>0</v>
          </cell>
          <cell r="I143">
            <v>164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 t="str">
            <v/>
          </cell>
          <cell r="AH143" t="str">
            <v/>
          </cell>
          <cell r="AI143" t="str">
            <v>KR21P10267770</v>
          </cell>
          <cell r="AJ143" t="str">
            <v>DOJL07AT0E0.ARFQ</v>
          </cell>
          <cell r="AK143" t="str">
            <v>0.002063</v>
          </cell>
          <cell r="AL143" t="str">
            <v>1</v>
          </cell>
          <cell r="AM143" t="str">
            <v>F</v>
          </cell>
          <cell r="AN143" t="str">
            <v>M0</v>
          </cell>
          <cell r="AO143" t="str">
            <v>Active(Model)</v>
          </cell>
          <cell r="AP143" t="str">
            <v/>
          </cell>
          <cell r="AQ143" t="str">
            <v/>
          </cell>
          <cell r="AR143" t="str">
            <v>Y</v>
          </cell>
          <cell r="AS143" t="str">
            <v/>
          </cell>
          <cell r="AT143" t="str">
            <v>IN</v>
          </cell>
          <cell r="AU143" t="str">
            <v>Infotainment</v>
          </cell>
          <cell r="AV143" t="str">
            <v>INDI</v>
          </cell>
          <cell r="AW143" t="str">
            <v>Vehicle Display</v>
          </cell>
          <cell r="AX143" t="str">
            <v>INDICI</v>
          </cell>
          <cell r="AY143" t="str">
            <v>CID</v>
          </cell>
          <cell r="AZ143" t="str">
            <v>INDICIPO</v>
          </cell>
          <cell r="BA143" t="str">
            <v>POLED CID</v>
          </cell>
        </row>
        <row r="144">
          <cell r="E144" t="str">
            <v>DOJL07AT0E2.BGBXAP1</v>
          </cell>
          <cell r="F144">
            <v>0</v>
          </cell>
          <cell r="G144">
            <v>0</v>
          </cell>
          <cell r="H144">
            <v>95</v>
          </cell>
          <cell r="I144">
            <v>95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str">
            <v/>
          </cell>
          <cell r="AH144" t="str">
            <v/>
          </cell>
          <cell r="AI144" t="str">
            <v>KR21P10267770</v>
          </cell>
          <cell r="AJ144" t="str">
            <v>DOJL07AT0E2.ARFQ</v>
          </cell>
          <cell r="AK144" t="str">
            <v>0.002063</v>
          </cell>
          <cell r="AL144" t="str">
            <v>1</v>
          </cell>
          <cell r="AM144" t="str">
            <v>F</v>
          </cell>
          <cell r="AN144" t="str">
            <v>M0</v>
          </cell>
          <cell r="AO144" t="str">
            <v>Active(Model)</v>
          </cell>
          <cell r="AP144" t="str">
            <v/>
          </cell>
          <cell r="AQ144" t="str">
            <v/>
          </cell>
          <cell r="AR144" t="str">
            <v>Y</v>
          </cell>
          <cell r="AS144" t="str">
            <v/>
          </cell>
          <cell r="AT144" t="str">
            <v>IN</v>
          </cell>
          <cell r="AU144" t="str">
            <v>Infotainment</v>
          </cell>
          <cell r="AV144" t="str">
            <v>INDI</v>
          </cell>
          <cell r="AW144" t="str">
            <v>Vehicle Display</v>
          </cell>
          <cell r="AX144" t="str">
            <v>INDICI</v>
          </cell>
          <cell r="AY144" t="str">
            <v>CID</v>
          </cell>
          <cell r="AZ144" t="str">
            <v>INDICIPO</v>
          </cell>
          <cell r="BA144" t="str">
            <v>POLED CID</v>
          </cell>
        </row>
        <row r="145">
          <cell r="E145" t="str">
            <v>DOJL13AT0E0.BGBLAP1</v>
          </cell>
          <cell r="F145">
            <v>1</v>
          </cell>
          <cell r="G145">
            <v>0</v>
          </cell>
          <cell r="H145">
            <v>0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 t="str">
            <v/>
          </cell>
          <cell r="AH145" t="str">
            <v/>
          </cell>
          <cell r="AI145" t="str">
            <v>KR21P10267770</v>
          </cell>
          <cell r="AJ145" t="str">
            <v>DOJL13AT0E0.ARFQ</v>
          </cell>
          <cell r="AK145" t="str">
            <v>0.013500</v>
          </cell>
          <cell r="AL145" t="str">
            <v>1</v>
          </cell>
          <cell r="AM145" t="str">
            <v>F</v>
          </cell>
          <cell r="AN145" t="str">
            <v>M0</v>
          </cell>
          <cell r="AO145" t="str">
            <v>Active(Model)</v>
          </cell>
          <cell r="AP145" t="str">
            <v/>
          </cell>
          <cell r="AQ145" t="str">
            <v/>
          </cell>
          <cell r="AR145" t="str">
            <v>Y</v>
          </cell>
          <cell r="AS145" t="str">
            <v/>
          </cell>
          <cell r="AT145" t="str">
            <v>IN</v>
          </cell>
          <cell r="AU145" t="str">
            <v>Infotainment</v>
          </cell>
          <cell r="AV145" t="str">
            <v>INDI</v>
          </cell>
          <cell r="AW145" t="str">
            <v>Vehicle Display</v>
          </cell>
          <cell r="AX145" t="str">
            <v>INDICI</v>
          </cell>
          <cell r="AY145" t="str">
            <v>CID</v>
          </cell>
          <cell r="AZ145" t="str">
            <v>INDICIPO</v>
          </cell>
          <cell r="BA145" t="str">
            <v>POLED CID</v>
          </cell>
        </row>
        <row r="146">
          <cell r="E146" t="str">
            <v>DOJL15AT1G1.BGBLAP1</v>
          </cell>
          <cell r="F146">
            <v>75</v>
          </cell>
          <cell r="G146">
            <v>0</v>
          </cell>
          <cell r="H146">
            <v>0</v>
          </cell>
          <cell r="I146">
            <v>75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str">
            <v/>
          </cell>
          <cell r="AH146" t="str">
            <v/>
          </cell>
          <cell r="AI146" t="str">
            <v>KR23P00014620</v>
          </cell>
          <cell r="AJ146" t="str">
            <v>DOJL15AT1G1.ARFQ</v>
          </cell>
          <cell r="AK146" t="str">
            <v>0.013500</v>
          </cell>
          <cell r="AL146" t="str">
            <v>1</v>
          </cell>
          <cell r="AM146" t="str">
            <v>F</v>
          </cell>
          <cell r="AN146" t="str">
            <v>M0</v>
          </cell>
          <cell r="AO146" t="str">
            <v>Active(Model)</v>
          </cell>
          <cell r="AP146" t="str">
            <v/>
          </cell>
          <cell r="AQ146" t="str">
            <v/>
          </cell>
          <cell r="AR146" t="str">
            <v>Y</v>
          </cell>
          <cell r="AS146" t="str">
            <v/>
          </cell>
          <cell r="AT146" t="str">
            <v>IN</v>
          </cell>
          <cell r="AU146" t="str">
            <v>Infotainment</v>
          </cell>
          <cell r="AV146" t="str">
            <v>INDI</v>
          </cell>
          <cell r="AW146" t="str">
            <v>Vehicle Display</v>
          </cell>
          <cell r="AX146" t="str">
            <v>INDICI</v>
          </cell>
          <cell r="AY146" t="str">
            <v>CID</v>
          </cell>
          <cell r="AZ146" t="str">
            <v>INDICIPO</v>
          </cell>
          <cell r="BA146" t="str">
            <v>POLED CID</v>
          </cell>
        </row>
        <row r="147">
          <cell r="E147" t="str">
            <v>DOJL26AT0F0.BGBXAP1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58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 t="str">
            <v/>
          </cell>
          <cell r="AH147" t="str">
            <v/>
          </cell>
          <cell r="AI147" t="str">
            <v>KR24P00001860</v>
          </cell>
          <cell r="AJ147" t="str">
            <v>DOJL26AT0F0.ARFQ</v>
          </cell>
          <cell r="AK147" t="str">
            <v>0.024534</v>
          </cell>
          <cell r="AL147" t="str">
            <v>1</v>
          </cell>
          <cell r="AM147" t="str">
            <v>F</v>
          </cell>
          <cell r="AN147" t="str">
            <v>M0</v>
          </cell>
          <cell r="AO147" t="str">
            <v>Active(Model)</v>
          </cell>
          <cell r="AP147" t="str">
            <v/>
          </cell>
          <cell r="AQ147" t="str">
            <v/>
          </cell>
          <cell r="AR147" t="str">
            <v>Y</v>
          </cell>
          <cell r="AS147" t="str">
            <v/>
          </cell>
          <cell r="AT147" t="str">
            <v>IN</v>
          </cell>
          <cell r="AU147" t="str">
            <v>Infotainment</v>
          </cell>
          <cell r="AV147" t="str">
            <v>INDI</v>
          </cell>
          <cell r="AW147" t="str">
            <v>Vehicle Display</v>
          </cell>
          <cell r="AX147" t="str">
            <v>INDICI</v>
          </cell>
          <cell r="AY147" t="str">
            <v>CID</v>
          </cell>
          <cell r="AZ147" t="str">
            <v>INDICIPO</v>
          </cell>
          <cell r="BA147" t="str">
            <v>POLED CID</v>
          </cell>
        </row>
        <row r="148">
          <cell r="E148" t="str">
            <v>DSDMANNN0F0.BCHBRP1</v>
          </cell>
          <cell r="F148">
            <v>960</v>
          </cell>
          <cell r="G148">
            <v>0</v>
          </cell>
          <cell r="H148">
            <v>0</v>
          </cell>
          <cell r="I148">
            <v>960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2880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 t="str">
            <v/>
          </cell>
          <cell r="AH148" t="str">
            <v/>
          </cell>
          <cell r="AI148" t="str">
            <v>KR21P19262180</v>
          </cell>
          <cell r="AJ148" t="str">
            <v>DSDMANNN0F0.ARFQ</v>
          </cell>
          <cell r="AK148" t="str">
            <v>0.001411</v>
          </cell>
          <cell r="AL148" t="str">
            <v>1</v>
          </cell>
          <cell r="AM148" t="str">
            <v>F</v>
          </cell>
          <cell r="AN148" t="str">
            <v>M0</v>
          </cell>
          <cell r="AO148" t="str">
            <v>Active(Model)</v>
          </cell>
          <cell r="AP148" t="str">
            <v/>
          </cell>
          <cell r="AQ148" t="str">
            <v/>
          </cell>
          <cell r="AR148" t="str">
            <v>Y</v>
          </cell>
          <cell r="AS148" t="str">
            <v/>
          </cell>
          <cell r="AT148" t="str">
            <v>IN</v>
          </cell>
          <cell r="AU148" t="str">
            <v>Infotainment</v>
          </cell>
          <cell r="AV148" t="str">
            <v>INDI</v>
          </cell>
          <cell r="AW148" t="str">
            <v>Vehicle Display</v>
          </cell>
          <cell r="AX148" t="str">
            <v>INDICI</v>
          </cell>
          <cell r="AY148" t="str">
            <v>CID</v>
          </cell>
          <cell r="AZ148" t="str">
            <v>INDICIAC</v>
          </cell>
          <cell r="BA148" t="str">
            <v>CID Accessory</v>
          </cell>
        </row>
        <row r="149">
          <cell r="E149" t="str">
            <v>DSDMANNN0F0.BWWBRP1</v>
          </cell>
          <cell r="F149">
            <v>2088</v>
          </cell>
          <cell r="G149">
            <v>0</v>
          </cell>
          <cell r="H149">
            <v>0</v>
          </cell>
          <cell r="I149">
            <v>6888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960</v>
          </cell>
          <cell r="O149">
            <v>0</v>
          </cell>
          <cell r="P149">
            <v>960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 t="str">
            <v/>
          </cell>
          <cell r="AH149" t="str">
            <v/>
          </cell>
          <cell r="AI149" t="str">
            <v>KR21P19262180</v>
          </cell>
          <cell r="AJ149" t="str">
            <v>DSDMANNN0F0.ARFQ</v>
          </cell>
          <cell r="AK149" t="str">
            <v>0.001411</v>
          </cell>
          <cell r="AL149" t="str">
            <v>1</v>
          </cell>
          <cell r="AM149" t="str">
            <v>F</v>
          </cell>
          <cell r="AN149" t="str">
            <v>M0</v>
          </cell>
          <cell r="AO149" t="str">
            <v>Active(Model)</v>
          </cell>
          <cell r="AP149" t="str">
            <v/>
          </cell>
          <cell r="AQ149" t="str">
            <v/>
          </cell>
          <cell r="AR149" t="str">
            <v>Y</v>
          </cell>
          <cell r="AS149" t="str">
            <v/>
          </cell>
          <cell r="AT149" t="str">
            <v>IN</v>
          </cell>
          <cell r="AU149" t="str">
            <v>Infotainment</v>
          </cell>
          <cell r="AV149" t="str">
            <v>INDI</v>
          </cell>
          <cell r="AW149" t="str">
            <v>Vehicle Display</v>
          </cell>
          <cell r="AX149" t="str">
            <v>INDICI</v>
          </cell>
          <cell r="AY149" t="str">
            <v>CID</v>
          </cell>
          <cell r="AZ149" t="str">
            <v>INDICIAC</v>
          </cell>
          <cell r="BA149" t="str">
            <v>CID Accessory</v>
          </cell>
        </row>
        <row r="150">
          <cell r="E150" t="str">
            <v>F0P3020TSWC.ABWQVIS</v>
          </cell>
          <cell r="F150">
            <v>84</v>
          </cell>
          <cell r="G150">
            <v>0</v>
          </cell>
          <cell r="H150">
            <v>0</v>
          </cell>
          <cell r="I150">
            <v>84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84</v>
          </cell>
          <cell r="O150">
            <v>84</v>
          </cell>
          <cell r="P150">
            <v>84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str">
            <v/>
          </cell>
          <cell r="AH150" t="str">
            <v/>
          </cell>
          <cell r="AI150" t="str">
            <v/>
          </cell>
          <cell r="AJ150" t="str">
            <v/>
          </cell>
          <cell r="AK150" t="str">
            <v>0.704700</v>
          </cell>
          <cell r="AL150" t="str">
            <v>1</v>
          </cell>
          <cell r="AM150" t="str">
            <v>F</v>
          </cell>
          <cell r="AN150" t="str">
            <v>M0</v>
          </cell>
          <cell r="AO150" t="str">
            <v>Active(Model)</v>
          </cell>
          <cell r="AP150" t="str">
            <v/>
          </cell>
          <cell r="AQ150" t="str">
            <v/>
          </cell>
          <cell r="AR150" t="str">
            <v>Y</v>
          </cell>
          <cell r="AS150" t="str">
            <v/>
          </cell>
          <cell r="AT150" t="str">
            <v>WM</v>
          </cell>
          <cell r="AU150" t="str">
            <v>Washing Machine</v>
          </cell>
          <cell r="AV150" t="str">
            <v>WMWL</v>
          </cell>
          <cell r="AW150" t="str">
            <v>Clothes Washer</v>
          </cell>
          <cell r="AX150" t="str">
            <v>WMWLFL</v>
          </cell>
          <cell r="AY150" t="str">
            <v>Clothes Washer_Front Loader</v>
          </cell>
          <cell r="AZ150" t="str">
            <v>WMWLFLHS</v>
          </cell>
          <cell r="BA150" t="str">
            <v>Clothes Washer_Drum(DD)_Steam</v>
          </cell>
        </row>
        <row r="151">
          <cell r="E151" t="str">
            <v>F0P3CYV2E.ABLQVES</v>
          </cell>
          <cell r="F151">
            <v>17</v>
          </cell>
          <cell r="G151">
            <v>10</v>
          </cell>
          <cell r="H151">
            <v>0</v>
          </cell>
          <cell r="I151">
            <v>27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str">
            <v/>
          </cell>
          <cell r="AH151" t="str">
            <v/>
          </cell>
          <cell r="AI151" t="str">
            <v/>
          </cell>
          <cell r="AJ151" t="str">
            <v/>
          </cell>
          <cell r="AK151" t="str">
            <v>0.704700</v>
          </cell>
          <cell r="AL151" t="str">
            <v>0</v>
          </cell>
          <cell r="AM151" t="str">
            <v>F</v>
          </cell>
          <cell r="AN151" t="str">
            <v>M0</v>
          </cell>
          <cell r="AO151" t="str">
            <v>Active(Model)</v>
          </cell>
          <cell r="AP151" t="str">
            <v/>
          </cell>
          <cell r="AQ151" t="str">
            <v/>
          </cell>
          <cell r="AR151" t="str">
            <v>Y</v>
          </cell>
          <cell r="AS151" t="str">
            <v/>
          </cell>
          <cell r="AT151" t="str">
            <v>WM</v>
          </cell>
          <cell r="AU151" t="str">
            <v>Washing Machine</v>
          </cell>
          <cell r="AV151" t="str">
            <v>WMWL</v>
          </cell>
          <cell r="AW151" t="str">
            <v>Clothes Washer</v>
          </cell>
          <cell r="AX151" t="str">
            <v>WMWLFL</v>
          </cell>
          <cell r="AY151" t="str">
            <v>Clothes Washer_Front Loader</v>
          </cell>
          <cell r="AZ151" t="str">
            <v>WMWLFLHS</v>
          </cell>
          <cell r="BA151" t="str">
            <v>Clothes Washer_Drum(DD)_Steam</v>
          </cell>
        </row>
        <row r="152">
          <cell r="E152" t="str">
            <v>F0P3CYV2W.ABWQVES</v>
          </cell>
          <cell r="F152">
            <v>96</v>
          </cell>
          <cell r="G152">
            <v>0</v>
          </cell>
          <cell r="H152">
            <v>0</v>
          </cell>
          <cell r="I152">
            <v>96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str">
            <v/>
          </cell>
          <cell r="AH152" t="str">
            <v/>
          </cell>
          <cell r="AI152" t="str">
            <v/>
          </cell>
          <cell r="AJ152" t="str">
            <v/>
          </cell>
          <cell r="AK152" t="str">
            <v>0.704700</v>
          </cell>
          <cell r="AL152" t="str">
            <v>1</v>
          </cell>
          <cell r="AM152" t="str">
            <v>F</v>
          </cell>
          <cell r="AN152" t="str">
            <v>M0</v>
          </cell>
          <cell r="AO152" t="str">
            <v>Active(Model)</v>
          </cell>
          <cell r="AP152" t="str">
            <v/>
          </cell>
          <cell r="AQ152" t="str">
            <v/>
          </cell>
          <cell r="AR152" t="str">
            <v>Y</v>
          </cell>
          <cell r="AS152" t="str">
            <v/>
          </cell>
          <cell r="AT152" t="str">
            <v>WM</v>
          </cell>
          <cell r="AU152" t="str">
            <v>Washing Machine</v>
          </cell>
          <cell r="AV152" t="str">
            <v>WMWL</v>
          </cell>
          <cell r="AW152" t="str">
            <v>Clothes Washer</v>
          </cell>
          <cell r="AX152" t="str">
            <v>WMWLFL</v>
          </cell>
          <cell r="AY152" t="str">
            <v>Clothes Washer_Front Loader</v>
          </cell>
          <cell r="AZ152" t="str">
            <v>WMWLFLHS</v>
          </cell>
          <cell r="BA152" t="str">
            <v>Clothes Washer_Drum(DD)_Steam</v>
          </cell>
        </row>
        <row r="153">
          <cell r="E153" t="str">
            <v>F0P3CYV2W.ABWQVHS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84</v>
          </cell>
          <cell r="O153">
            <v>0</v>
          </cell>
          <cell r="P153">
            <v>84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 t="str">
            <v/>
          </cell>
          <cell r="AH153" t="str">
            <v/>
          </cell>
          <cell r="AI153" t="str">
            <v/>
          </cell>
          <cell r="AJ153" t="str">
            <v/>
          </cell>
          <cell r="AK153" t="str">
            <v>0.704700</v>
          </cell>
          <cell r="AL153" t="str">
            <v>1</v>
          </cell>
          <cell r="AM153" t="str">
            <v>F</v>
          </cell>
          <cell r="AN153" t="str">
            <v>M0</v>
          </cell>
          <cell r="AO153" t="str">
            <v>Active(Model)</v>
          </cell>
          <cell r="AP153" t="str">
            <v/>
          </cell>
          <cell r="AQ153" t="str">
            <v/>
          </cell>
          <cell r="AR153" t="str">
            <v>Y</v>
          </cell>
          <cell r="AS153" t="str">
            <v/>
          </cell>
          <cell r="AT153" t="str">
            <v>WM</v>
          </cell>
          <cell r="AU153" t="str">
            <v>Washing Machine</v>
          </cell>
          <cell r="AV153" t="str">
            <v>WMWL</v>
          </cell>
          <cell r="AW153" t="str">
            <v>Clothes Washer</v>
          </cell>
          <cell r="AX153" t="str">
            <v>WMWLFL</v>
          </cell>
          <cell r="AY153" t="str">
            <v>Clothes Washer_Front Loader</v>
          </cell>
          <cell r="AZ153" t="str">
            <v>WMWLFLHS</v>
          </cell>
          <cell r="BA153" t="str">
            <v>Clothes Washer_Drum(DD)_Steam</v>
          </cell>
        </row>
        <row r="154">
          <cell r="E154" t="str">
            <v>F0P3CYVDT.ASSPALY</v>
          </cell>
          <cell r="F154">
            <v>84</v>
          </cell>
          <cell r="G154">
            <v>0</v>
          </cell>
          <cell r="H154">
            <v>0</v>
          </cell>
          <cell r="I154">
            <v>84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 t="str">
            <v/>
          </cell>
          <cell r="AH154" t="str">
            <v/>
          </cell>
          <cell r="AI154" t="str">
            <v/>
          </cell>
          <cell r="AJ154" t="str">
            <v/>
          </cell>
          <cell r="AK154" t="str">
            <v>0.704700</v>
          </cell>
          <cell r="AL154" t="str">
            <v>1</v>
          </cell>
          <cell r="AM154" t="str">
            <v>F</v>
          </cell>
          <cell r="AN154" t="str">
            <v>M0</v>
          </cell>
          <cell r="AO154" t="str">
            <v>Active(Model)</v>
          </cell>
          <cell r="AP154" t="str">
            <v/>
          </cell>
          <cell r="AQ154" t="str">
            <v/>
          </cell>
          <cell r="AR154" t="str">
            <v>Y</v>
          </cell>
          <cell r="AS154" t="str">
            <v/>
          </cell>
          <cell r="AT154" t="str">
            <v>WM</v>
          </cell>
          <cell r="AU154" t="str">
            <v>Washing Machine</v>
          </cell>
          <cell r="AV154" t="str">
            <v>WMWL</v>
          </cell>
          <cell r="AW154" t="str">
            <v>Clothes Washer</v>
          </cell>
          <cell r="AX154" t="str">
            <v>WMWLFL</v>
          </cell>
          <cell r="AY154" t="str">
            <v>Clothes Washer_Front Loader</v>
          </cell>
          <cell r="AZ154" t="str">
            <v>WMWLFLHS</v>
          </cell>
          <cell r="BA154" t="str">
            <v>Clothes Washer_Drum(DD)_Steam</v>
          </cell>
        </row>
        <row r="155">
          <cell r="E155" t="str">
            <v>F0P3CYVDT.ASSRMEK</v>
          </cell>
          <cell r="F155">
            <v>1</v>
          </cell>
          <cell r="G155">
            <v>0</v>
          </cell>
          <cell r="H155">
            <v>0</v>
          </cell>
          <cell r="I155">
            <v>1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 t="str">
            <v/>
          </cell>
          <cell r="AH155" t="str">
            <v/>
          </cell>
          <cell r="AI155" t="str">
            <v/>
          </cell>
          <cell r="AJ155" t="str">
            <v/>
          </cell>
          <cell r="AK155" t="str">
            <v>0.704700</v>
          </cell>
          <cell r="AL155" t="str">
            <v>1</v>
          </cell>
          <cell r="AM155" t="str">
            <v>F</v>
          </cell>
          <cell r="AN155" t="str">
            <v>M0</v>
          </cell>
          <cell r="AO155" t="str">
            <v>Active(Model)</v>
          </cell>
          <cell r="AP155" t="str">
            <v/>
          </cell>
          <cell r="AQ155" t="str">
            <v/>
          </cell>
          <cell r="AR155" t="str">
            <v>Y</v>
          </cell>
          <cell r="AS155" t="str">
            <v/>
          </cell>
          <cell r="AT155" t="str">
            <v>WM</v>
          </cell>
          <cell r="AU155" t="str">
            <v>Washing Machine</v>
          </cell>
          <cell r="AV155" t="str">
            <v>WMWL</v>
          </cell>
          <cell r="AW155" t="str">
            <v>Clothes Washer</v>
          </cell>
          <cell r="AX155" t="str">
            <v>WMWLFL</v>
          </cell>
          <cell r="AY155" t="str">
            <v>Clothes Washer_Front Loader</v>
          </cell>
          <cell r="AZ155" t="str">
            <v>WMWLFLHS</v>
          </cell>
          <cell r="BA155" t="str">
            <v>Clothes Washer_Drum(DD)_Steam</v>
          </cell>
        </row>
        <row r="156">
          <cell r="E156" t="str">
            <v>F0WVT202.ABWQVDG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133</v>
          </cell>
          <cell r="O156">
            <v>0</v>
          </cell>
          <cell r="P156">
            <v>133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 t="str">
            <v/>
          </cell>
          <cell r="AH156" t="str">
            <v/>
          </cell>
          <cell r="AI156" t="str">
            <v/>
          </cell>
          <cell r="AJ156" t="str">
            <v/>
          </cell>
          <cell r="AK156" t="str">
            <v>0.704700</v>
          </cell>
          <cell r="AL156" t="str">
            <v>1</v>
          </cell>
          <cell r="AM156" t="str">
            <v>F</v>
          </cell>
          <cell r="AN156" t="str">
            <v>M0</v>
          </cell>
          <cell r="AO156" t="str">
            <v>Active(Model)</v>
          </cell>
          <cell r="AP156" t="str">
            <v/>
          </cell>
          <cell r="AQ156" t="str">
            <v/>
          </cell>
          <cell r="AR156" t="str">
            <v>Y</v>
          </cell>
          <cell r="AS156" t="str">
            <v/>
          </cell>
          <cell r="AT156" t="str">
            <v>WM</v>
          </cell>
          <cell r="AU156" t="str">
            <v>Washing Machine</v>
          </cell>
          <cell r="AV156" t="str">
            <v>WMWL</v>
          </cell>
          <cell r="AW156" t="str">
            <v>Clothes Washer</v>
          </cell>
          <cell r="AX156" t="str">
            <v>WMWLFL</v>
          </cell>
          <cell r="AY156" t="str">
            <v>Clothes Washer_Front Loader</v>
          </cell>
          <cell r="AZ156" t="str">
            <v>WMWLFLHS</v>
          </cell>
          <cell r="BA156" t="str">
            <v>Clothes Washer_Drum(DD)_Steam</v>
          </cell>
        </row>
        <row r="157">
          <cell r="E157" t="str">
            <v>F0WVT202B.ABLQVDG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125</v>
          </cell>
          <cell r="O157">
            <v>0</v>
          </cell>
          <cell r="P157">
            <v>125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 t="str">
            <v/>
          </cell>
          <cell r="AH157" t="str">
            <v/>
          </cell>
          <cell r="AI157" t="str">
            <v/>
          </cell>
          <cell r="AJ157" t="str">
            <v/>
          </cell>
          <cell r="AK157" t="str">
            <v>0.704700</v>
          </cell>
          <cell r="AL157" t="str">
            <v>1</v>
          </cell>
          <cell r="AM157" t="str">
            <v>F</v>
          </cell>
          <cell r="AN157" t="str">
            <v>M0</v>
          </cell>
          <cell r="AO157" t="str">
            <v>Active(Model)</v>
          </cell>
          <cell r="AP157" t="str">
            <v/>
          </cell>
          <cell r="AQ157" t="str">
            <v/>
          </cell>
          <cell r="AR157" t="str">
            <v>Y</v>
          </cell>
          <cell r="AS157" t="str">
            <v/>
          </cell>
          <cell r="AT157" t="str">
            <v>WM</v>
          </cell>
          <cell r="AU157" t="str">
            <v>Washing Machine</v>
          </cell>
          <cell r="AV157" t="str">
            <v>WMWL</v>
          </cell>
          <cell r="AW157" t="str">
            <v>Clothes Washer</v>
          </cell>
          <cell r="AX157" t="str">
            <v>WMWLFL</v>
          </cell>
          <cell r="AY157" t="str">
            <v>Clothes Washer_Front Loader</v>
          </cell>
          <cell r="AZ157" t="str">
            <v>WMWLFLHS</v>
          </cell>
          <cell r="BA157" t="str">
            <v>Clothes Washer_Drum(DD)_Steam</v>
          </cell>
        </row>
        <row r="158">
          <cell r="E158" t="str">
            <v>F11WM17TS2.ABWQVDG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14</v>
          </cell>
          <cell r="O158">
            <v>0</v>
          </cell>
          <cell r="P158">
            <v>14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 t="str">
            <v/>
          </cell>
          <cell r="AH158" t="str">
            <v/>
          </cell>
          <cell r="AI158" t="str">
            <v/>
          </cell>
          <cell r="AJ158" t="str">
            <v/>
          </cell>
          <cell r="AK158" t="str">
            <v>0.648000</v>
          </cell>
          <cell r="AL158" t="str">
            <v>1</v>
          </cell>
          <cell r="AM158" t="str">
            <v>F</v>
          </cell>
          <cell r="AN158" t="str">
            <v>M0</v>
          </cell>
          <cell r="AO158" t="str">
            <v>Active(Model)</v>
          </cell>
          <cell r="AP158" t="str">
            <v/>
          </cell>
          <cell r="AQ158" t="str">
            <v/>
          </cell>
          <cell r="AR158" t="str">
            <v>Y</v>
          </cell>
          <cell r="AS158" t="str">
            <v/>
          </cell>
          <cell r="AT158" t="str">
            <v>WM</v>
          </cell>
          <cell r="AU158" t="str">
            <v>Washing Machine</v>
          </cell>
          <cell r="AV158" t="str">
            <v>WMWL</v>
          </cell>
          <cell r="AW158" t="str">
            <v>Clothes Washer</v>
          </cell>
          <cell r="AX158" t="str">
            <v>WMWLFL</v>
          </cell>
          <cell r="AY158" t="str">
            <v>Clothes Washer_Front Loader</v>
          </cell>
          <cell r="AZ158" t="str">
            <v>WMWLFLHS</v>
          </cell>
          <cell r="BA158" t="str">
            <v>Clothes Washer_Drum(DD)_Steam</v>
          </cell>
        </row>
        <row r="159">
          <cell r="E159" t="str">
            <v>F11WM17TS2B.ABLQVDG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158</v>
          </cell>
          <cell r="O159">
            <v>0</v>
          </cell>
          <cell r="P159">
            <v>158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str">
            <v/>
          </cell>
          <cell r="AH159" t="str">
            <v/>
          </cell>
          <cell r="AI159" t="str">
            <v/>
          </cell>
          <cell r="AJ159" t="str">
            <v/>
          </cell>
          <cell r="AK159" t="str">
            <v>0.648000</v>
          </cell>
          <cell r="AL159" t="str">
            <v>1</v>
          </cell>
          <cell r="AM159" t="str">
            <v>F</v>
          </cell>
          <cell r="AN159" t="str">
            <v>M0</v>
          </cell>
          <cell r="AO159" t="str">
            <v>Active(Model)</v>
          </cell>
          <cell r="AP159" t="str">
            <v/>
          </cell>
          <cell r="AQ159" t="str">
            <v/>
          </cell>
          <cell r="AR159" t="str">
            <v>Y</v>
          </cell>
          <cell r="AS159" t="str">
            <v/>
          </cell>
          <cell r="AT159" t="str">
            <v>WM</v>
          </cell>
          <cell r="AU159" t="str">
            <v>Washing Machine</v>
          </cell>
          <cell r="AV159" t="str">
            <v>WMWL</v>
          </cell>
          <cell r="AW159" t="str">
            <v>Clothes Washer</v>
          </cell>
          <cell r="AX159" t="str">
            <v>WMWLFL</v>
          </cell>
          <cell r="AY159" t="str">
            <v>Clothes Washer_Front Loader</v>
          </cell>
          <cell r="AZ159" t="str">
            <v>WMWLFLHS</v>
          </cell>
          <cell r="BA159" t="str">
            <v>Clothes Washer_Drum(DD)_Steam</v>
          </cell>
        </row>
        <row r="160">
          <cell r="E160" t="str">
            <v>F19WDLPR.AKOR2</v>
          </cell>
          <cell r="F160">
            <v>270</v>
          </cell>
          <cell r="G160">
            <v>0</v>
          </cell>
          <cell r="H160">
            <v>0</v>
          </cell>
          <cell r="I160">
            <v>270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90</v>
          </cell>
          <cell r="O160">
            <v>180</v>
          </cell>
          <cell r="P160">
            <v>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 t="str">
            <v/>
          </cell>
          <cell r="AH160" t="str">
            <v/>
          </cell>
          <cell r="AI160" t="str">
            <v/>
          </cell>
          <cell r="AJ160" t="str">
            <v/>
          </cell>
          <cell r="AK160" t="str">
            <v>0.672375</v>
          </cell>
          <cell r="AL160" t="str">
            <v>1</v>
          </cell>
          <cell r="AM160" t="str">
            <v>F</v>
          </cell>
          <cell r="AN160" t="str">
            <v>M0</v>
          </cell>
          <cell r="AO160" t="str">
            <v>Active(Model)</v>
          </cell>
          <cell r="AP160" t="str">
            <v/>
          </cell>
          <cell r="AQ160" t="str">
            <v/>
          </cell>
          <cell r="AR160" t="str">
            <v>Y</v>
          </cell>
          <cell r="AS160" t="str">
            <v/>
          </cell>
          <cell r="AT160" t="str">
            <v>WM</v>
          </cell>
          <cell r="AU160" t="str">
            <v>Washing Machine</v>
          </cell>
          <cell r="AV160" t="str">
            <v>WMWL</v>
          </cell>
          <cell r="AW160" t="str">
            <v>Clothes Washer</v>
          </cell>
          <cell r="AX160" t="str">
            <v>WMWLFL</v>
          </cell>
          <cell r="AY160" t="str">
            <v>Clothes Washer_Front Loader</v>
          </cell>
          <cell r="AZ160" t="str">
            <v>WMWLFLHA</v>
          </cell>
          <cell r="BA160" t="str">
            <v>Clothes Washer_Drum(DD)</v>
          </cell>
        </row>
        <row r="161">
          <cell r="E161" t="str">
            <v>F19WDWPR.AKOR2</v>
          </cell>
          <cell r="F161">
            <v>270</v>
          </cell>
          <cell r="G161">
            <v>0</v>
          </cell>
          <cell r="H161">
            <v>0</v>
          </cell>
          <cell r="I161">
            <v>270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92</v>
          </cell>
          <cell r="O161">
            <v>90</v>
          </cell>
          <cell r="P161">
            <v>92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 t="str">
            <v/>
          </cell>
          <cell r="AH161" t="str">
            <v/>
          </cell>
          <cell r="AI161" t="str">
            <v/>
          </cell>
          <cell r="AJ161" t="str">
            <v/>
          </cell>
          <cell r="AK161" t="str">
            <v>0.672375</v>
          </cell>
          <cell r="AL161" t="str">
            <v>1</v>
          </cell>
          <cell r="AM161" t="str">
            <v>F</v>
          </cell>
          <cell r="AN161" t="str">
            <v>M0</v>
          </cell>
          <cell r="AO161" t="str">
            <v>Active(Model)</v>
          </cell>
          <cell r="AP161" t="str">
            <v/>
          </cell>
          <cell r="AQ161" t="str">
            <v/>
          </cell>
          <cell r="AR161" t="str">
            <v>Y</v>
          </cell>
          <cell r="AS161" t="str">
            <v/>
          </cell>
          <cell r="AT161" t="str">
            <v>WM</v>
          </cell>
          <cell r="AU161" t="str">
            <v>Washing Machine</v>
          </cell>
          <cell r="AV161" t="str">
            <v>WMWL</v>
          </cell>
          <cell r="AW161" t="str">
            <v>Clothes Washer</v>
          </cell>
          <cell r="AX161" t="str">
            <v>WMWLFL</v>
          </cell>
          <cell r="AY161" t="str">
            <v>Clothes Washer_Front Loader</v>
          </cell>
          <cell r="AZ161" t="str">
            <v>WMWLFLHA</v>
          </cell>
          <cell r="BA161" t="str">
            <v>Clothes Washer_Drum(DD)</v>
          </cell>
        </row>
        <row r="162">
          <cell r="E162" t="str">
            <v>F1P1CY2T.ASSQVES</v>
          </cell>
          <cell r="F162">
            <v>33</v>
          </cell>
          <cell r="G162">
            <v>0</v>
          </cell>
          <cell r="H162">
            <v>0</v>
          </cell>
          <cell r="I162">
            <v>33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 t="str">
            <v/>
          </cell>
          <cell r="AH162" t="str">
            <v/>
          </cell>
          <cell r="AI162" t="str">
            <v/>
          </cell>
          <cell r="AJ162" t="str">
            <v/>
          </cell>
          <cell r="AK162" t="str">
            <v>0.648000</v>
          </cell>
          <cell r="AL162" t="str">
            <v>1</v>
          </cell>
          <cell r="AM162" t="str">
            <v>F</v>
          </cell>
          <cell r="AN162" t="str">
            <v>M0</v>
          </cell>
          <cell r="AO162" t="str">
            <v>Active(Model)</v>
          </cell>
          <cell r="AP162" t="str">
            <v/>
          </cell>
          <cell r="AQ162" t="str">
            <v/>
          </cell>
          <cell r="AR162" t="str">
            <v>Y</v>
          </cell>
          <cell r="AS162" t="str">
            <v/>
          </cell>
          <cell r="AT162" t="str">
            <v>WM</v>
          </cell>
          <cell r="AU162" t="str">
            <v>Washing Machine</v>
          </cell>
          <cell r="AV162" t="str">
            <v>WMWL</v>
          </cell>
          <cell r="AW162" t="str">
            <v>Clothes Washer</v>
          </cell>
          <cell r="AX162" t="str">
            <v>WMWLFL</v>
          </cell>
          <cell r="AY162" t="str">
            <v>Clothes Washer_Front Loader</v>
          </cell>
          <cell r="AZ162" t="str">
            <v>WMWLFLHS</v>
          </cell>
          <cell r="BA162" t="str">
            <v>Clothes Washer_Drum(DD)_Steam</v>
          </cell>
        </row>
        <row r="163">
          <cell r="E163" t="str">
            <v>F1P1CY2W.ABWQVES</v>
          </cell>
          <cell r="F163">
            <v>13</v>
          </cell>
          <cell r="G163">
            <v>0</v>
          </cell>
          <cell r="H163">
            <v>0</v>
          </cell>
          <cell r="I163">
            <v>13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90</v>
          </cell>
          <cell r="O163">
            <v>0</v>
          </cell>
          <cell r="P163">
            <v>90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str">
            <v/>
          </cell>
          <cell r="AH163" t="str">
            <v/>
          </cell>
          <cell r="AI163" t="str">
            <v/>
          </cell>
          <cell r="AJ163" t="str">
            <v/>
          </cell>
          <cell r="AK163" t="str">
            <v>0.648000</v>
          </cell>
          <cell r="AL163" t="str">
            <v>1</v>
          </cell>
          <cell r="AM163" t="str">
            <v>F</v>
          </cell>
          <cell r="AN163" t="str">
            <v>M0</v>
          </cell>
          <cell r="AO163" t="str">
            <v>Active(Model)</v>
          </cell>
          <cell r="AP163" t="str">
            <v/>
          </cell>
          <cell r="AQ163" t="str">
            <v/>
          </cell>
          <cell r="AR163" t="str">
            <v>Y</v>
          </cell>
          <cell r="AS163" t="str">
            <v/>
          </cell>
          <cell r="AT163" t="str">
            <v>WM</v>
          </cell>
          <cell r="AU163" t="str">
            <v>Washing Machine</v>
          </cell>
          <cell r="AV163" t="str">
            <v>WMWL</v>
          </cell>
          <cell r="AW163" t="str">
            <v>Clothes Washer</v>
          </cell>
          <cell r="AX163" t="str">
            <v>WMWLFL</v>
          </cell>
          <cell r="AY163" t="str">
            <v>Clothes Washer_Front Loader</v>
          </cell>
          <cell r="AZ163" t="str">
            <v>WMWLFLHS</v>
          </cell>
          <cell r="BA163" t="str">
            <v>Clothes Washer_Drum(DD)_Steam</v>
          </cell>
        </row>
        <row r="164">
          <cell r="E164" t="str">
            <v>F20F12BST.AEBQVFS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168</v>
          </cell>
          <cell r="O164">
            <v>0</v>
          </cell>
          <cell r="P164">
            <v>168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 t="str">
            <v/>
          </cell>
          <cell r="AH164" t="str">
            <v/>
          </cell>
          <cell r="AI164" t="str">
            <v/>
          </cell>
          <cell r="AJ164" t="str">
            <v/>
          </cell>
          <cell r="AK164" t="str">
            <v>0.704700</v>
          </cell>
          <cell r="AL164" t="str">
            <v>1</v>
          </cell>
          <cell r="AM164" t="str">
            <v>F</v>
          </cell>
          <cell r="AN164" t="str">
            <v>M0</v>
          </cell>
          <cell r="AO164" t="str">
            <v>Active(Model)</v>
          </cell>
          <cell r="AP164" t="str">
            <v/>
          </cell>
          <cell r="AQ164" t="str">
            <v/>
          </cell>
          <cell r="AR164" t="str">
            <v>Y</v>
          </cell>
          <cell r="AS164" t="str">
            <v/>
          </cell>
          <cell r="AT164" t="str">
            <v>WM</v>
          </cell>
          <cell r="AU164" t="str">
            <v>Washing Machine</v>
          </cell>
          <cell r="AV164" t="str">
            <v>WMWL</v>
          </cell>
          <cell r="AW164" t="str">
            <v>Clothes Washer</v>
          </cell>
          <cell r="AX164" t="str">
            <v>WMWLFL</v>
          </cell>
          <cell r="AY164" t="str">
            <v>Clothes Washer_Front Loader</v>
          </cell>
          <cell r="AZ164" t="str">
            <v>WMWLFLHS</v>
          </cell>
          <cell r="BA164" t="str">
            <v>Clothes Washer_Drum(DD)_Steam</v>
          </cell>
        </row>
        <row r="165">
          <cell r="E165" t="str">
            <v>F20F12WST.AGWQVFS</v>
          </cell>
          <cell r="F165">
            <v>81</v>
          </cell>
          <cell r="G165">
            <v>0</v>
          </cell>
          <cell r="H165">
            <v>0</v>
          </cell>
          <cell r="I165">
            <v>81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168</v>
          </cell>
          <cell r="O165">
            <v>84</v>
          </cell>
          <cell r="P165">
            <v>168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>0.704700</v>
          </cell>
          <cell r="AL165" t="str">
            <v>1</v>
          </cell>
          <cell r="AM165" t="str">
            <v>F</v>
          </cell>
          <cell r="AN165" t="str">
            <v>M0</v>
          </cell>
          <cell r="AO165" t="str">
            <v>Active(Model)</v>
          </cell>
          <cell r="AP165" t="str">
            <v/>
          </cell>
          <cell r="AQ165" t="str">
            <v/>
          </cell>
          <cell r="AR165" t="str">
            <v>Y</v>
          </cell>
          <cell r="AS165" t="str">
            <v/>
          </cell>
          <cell r="AT165" t="str">
            <v>WM</v>
          </cell>
          <cell r="AU165" t="str">
            <v>Washing Machine</v>
          </cell>
          <cell r="AV165" t="str">
            <v>WMWL</v>
          </cell>
          <cell r="AW165" t="str">
            <v>Clothes Washer</v>
          </cell>
          <cell r="AX165" t="str">
            <v>WMWLFL</v>
          </cell>
          <cell r="AY165" t="str">
            <v>Clothes Washer_Front Loader</v>
          </cell>
          <cell r="AZ165" t="str">
            <v>WMWLFLHS</v>
          </cell>
          <cell r="BA165" t="str">
            <v>Clothes Washer_Drum(DD)_Steam</v>
          </cell>
        </row>
        <row r="166">
          <cell r="E166" t="str">
            <v>F21VDSKR.AKOR2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930</v>
          </cell>
          <cell r="O166">
            <v>372</v>
          </cell>
          <cell r="P166">
            <v>930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>0.672375</v>
          </cell>
          <cell r="AL166" t="str">
            <v>1</v>
          </cell>
          <cell r="AM166" t="str">
            <v>F</v>
          </cell>
          <cell r="AN166" t="str">
            <v>M0</v>
          </cell>
          <cell r="AO166" t="str">
            <v>Active(Model)</v>
          </cell>
          <cell r="AP166" t="str">
            <v/>
          </cell>
          <cell r="AQ166" t="str">
            <v/>
          </cell>
          <cell r="AR166" t="str">
            <v>Y</v>
          </cell>
          <cell r="AS166" t="str">
            <v/>
          </cell>
          <cell r="AT166" t="str">
            <v>WM</v>
          </cell>
          <cell r="AU166" t="str">
            <v>Washing Machine</v>
          </cell>
          <cell r="AV166" t="str">
            <v>WMWL</v>
          </cell>
          <cell r="AW166" t="str">
            <v>Clothes Washer</v>
          </cell>
          <cell r="AX166" t="str">
            <v>WMWLFL</v>
          </cell>
          <cell r="AY166" t="str">
            <v>Clothes Washer_Front Loader</v>
          </cell>
          <cell r="AZ166" t="str">
            <v>WMWLFLHA</v>
          </cell>
          <cell r="BA166" t="str">
            <v>Clothes Washer_Drum(DD)</v>
          </cell>
        </row>
        <row r="167">
          <cell r="E167" t="str">
            <v>F21WDLPR.AKOR2</v>
          </cell>
          <cell r="F167">
            <v>200</v>
          </cell>
          <cell r="G167">
            <v>0</v>
          </cell>
          <cell r="H167">
            <v>0</v>
          </cell>
          <cell r="I167">
            <v>200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180</v>
          </cell>
          <cell r="O167">
            <v>20</v>
          </cell>
          <cell r="P167">
            <v>180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 t="str">
            <v/>
          </cell>
          <cell r="AH167" t="str">
            <v/>
          </cell>
          <cell r="AI167" t="str">
            <v/>
          </cell>
          <cell r="AJ167" t="str">
            <v/>
          </cell>
          <cell r="AK167" t="str">
            <v>0.672375</v>
          </cell>
          <cell r="AL167" t="str">
            <v>1</v>
          </cell>
          <cell r="AM167" t="str">
            <v>F</v>
          </cell>
          <cell r="AN167" t="str">
            <v>M0</v>
          </cell>
          <cell r="AO167" t="str">
            <v>Active(Model)</v>
          </cell>
          <cell r="AP167" t="str">
            <v/>
          </cell>
          <cell r="AQ167" t="str">
            <v/>
          </cell>
          <cell r="AR167" t="str">
            <v>Y</v>
          </cell>
          <cell r="AS167" t="str">
            <v/>
          </cell>
          <cell r="AT167" t="str">
            <v>WM</v>
          </cell>
          <cell r="AU167" t="str">
            <v>Washing Machine</v>
          </cell>
          <cell r="AV167" t="str">
            <v>WMWL</v>
          </cell>
          <cell r="AW167" t="str">
            <v>Clothes Washer</v>
          </cell>
          <cell r="AX167" t="str">
            <v>WMWLFL</v>
          </cell>
          <cell r="AY167" t="str">
            <v>Clothes Washer_Front Loader</v>
          </cell>
          <cell r="AZ167" t="str">
            <v>WMWLFLHA</v>
          </cell>
          <cell r="BA167" t="str">
            <v>Clothes Washer_Drum(DD)</v>
          </cell>
        </row>
        <row r="168">
          <cell r="E168" t="str">
            <v>F21WDSPR.AKOR2</v>
          </cell>
          <cell r="F168">
            <v>130</v>
          </cell>
          <cell r="G168">
            <v>0</v>
          </cell>
          <cell r="H168">
            <v>0</v>
          </cell>
          <cell r="I168">
            <v>130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str">
            <v/>
          </cell>
          <cell r="AH168" t="str">
            <v/>
          </cell>
          <cell r="AI168" t="str">
            <v/>
          </cell>
          <cell r="AJ168" t="str">
            <v/>
          </cell>
          <cell r="AK168" t="str">
            <v>0.672375</v>
          </cell>
          <cell r="AL168" t="str">
            <v>1</v>
          </cell>
          <cell r="AM168" t="str">
            <v>F</v>
          </cell>
          <cell r="AN168" t="str">
            <v>M0</v>
          </cell>
          <cell r="AO168" t="str">
            <v>Active(Model)</v>
          </cell>
          <cell r="AP168" t="str">
            <v/>
          </cell>
          <cell r="AQ168" t="str">
            <v/>
          </cell>
          <cell r="AR168" t="str">
            <v>Y</v>
          </cell>
          <cell r="AS168" t="str">
            <v/>
          </cell>
          <cell r="AT168" t="str">
            <v>WM</v>
          </cell>
          <cell r="AU168" t="str">
            <v>Washing Machine</v>
          </cell>
          <cell r="AV168" t="str">
            <v>WMWL</v>
          </cell>
          <cell r="AW168" t="str">
            <v>Clothes Washer</v>
          </cell>
          <cell r="AX168" t="str">
            <v>WMWLFL</v>
          </cell>
          <cell r="AY168" t="str">
            <v>Clothes Washer_Front Loader</v>
          </cell>
          <cell r="AZ168" t="str">
            <v>WMWLFLHA</v>
          </cell>
          <cell r="BA168" t="str">
            <v>Clothes Washer_Drum(DD)</v>
          </cell>
        </row>
        <row r="169">
          <cell r="E169" t="str">
            <v>F24VDLPR.AKOR2</v>
          </cell>
          <cell r="F169">
            <v>90</v>
          </cell>
          <cell r="G169">
            <v>0</v>
          </cell>
          <cell r="H169">
            <v>0</v>
          </cell>
          <cell r="I169">
            <v>90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174</v>
          </cell>
          <cell r="O169">
            <v>186</v>
          </cell>
          <cell r="P169">
            <v>174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str">
            <v/>
          </cell>
          <cell r="AH169" t="str">
            <v/>
          </cell>
          <cell r="AI169" t="str">
            <v/>
          </cell>
          <cell r="AJ169" t="str">
            <v/>
          </cell>
          <cell r="AK169" t="str">
            <v>0.717031</v>
          </cell>
          <cell r="AL169" t="str">
            <v>1</v>
          </cell>
          <cell r="AM169" t="str">
            <v>F</v>
          </cell>
          <cell r="AN169" t="str">
            <v>M0</v>
          </cell>
          <cell r="AO169" t="str">
            <v>Active(Model)</v>
          </cell>
          <cell r="AP169" t="str">
            <v/>
          </cell>
          <cell r="AQ169" t="str">
            <v/>
          </cell>
          <cell r="AR169" t="str">
            <v>Y</v>
          </cell>
          <cell r="AS169" t="str">
            <v/>
          </cell>
          <cell r="AT169" t="str">
            <v>WM</v>
          </cell>
          <cell r="AU169" t="str">
            <v>Washing Machine</v>
          </cell>
          <cell r="AV169" t="str">
            <v>WMWL</v>
          </cell>
          <cell r="AW169" t="str">
            <v>Clothes Washer</v>
          </cell>
          <cell r="AX169" t="str">
            <v>WMWLFL</v>
          </cell>
          <cell r="AY169" t="str">
            <v>Clothes Washer_Front Loader</v>
          </cell>
          <cell r="AZ169" t="str">
            <v>WMWLFLHA</v>
          </cell>
          <cell r="BA169" t="str">
            <v>Clothes Washer_Drum(DD)</v>
          </cell>
        </row>
        <row r="170">
          <cell r="E170" t="str">
            <v>F24VDSPR.AKOR2</v>
          </cell>
          <cell r="F170">
            <v>270</v>
          </cell>
          <cell r="G170">
            <v>0</v>
          </cell>
          <cell r="H170">
            <v>0</v>
          </cell>
          <cell r="I170">
            <v>270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270</v>
          </cell>
          <cell r="O170">
            <v>255</v>
          </cell>
          <cell r="P170">
            <v>270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>0.717031</v>
          </cell>
          <cell r="AL170" t="str">
            <v>1</v>
          </cell>
          <cell r="AM170" t="str">
            <v>F</v>
          </cell>
          <cell r="AN170" t="str">
            <v>M0</v>
          </cell>
          <cell r="AO170" t="str">
            <v>Active(Model)</v>
          </cell>
          <cell r="AP170" t="str">
            <v/>
          </cell>
          <cell r="AQ170" t="str">
            <v/>
          </cell>
          <cell r="AR170" t="str">
            <v>Y</v>
          </cell>
          <cell r="AS170" t="str">
            <v/>
          </cell>
          <cell r="AT170" t="str">
            <v>WM</v>
          </cell>
          <cell r="AU170" t="str">
            <v>Washing Machine</v>
          </cell>
          <cell r="AV170" t="str">
            <v>WMWL</v>
          </cell>
          <cell r="AW170" t="str">
            <v>Clothes Washer</v>
          </cell>
          <cell r="AX170" t="str">
            <v>WMWLFL</v>
          </cell>
          <cell r="AY170" t="str">
            <v>Clothes Washer_Front Loader</v>
          </cell>
          <cell r="AZ170" t="str">
            <v>WMWLFLHA</v>
          </cell>
          <cell r="BA170" t="str">
            <v>Clothes Washer_Drum(DD)</v>
          </cell>
        </row>
        <row r="171">
          <cell r="E171" t="str">
            <v>F24WDLPR.AKOR2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90</v>
          </cell>
          <cell r="O171">
            <v>0</v>
          </cell>
          <cell r="P171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>0.717031</v>
          </cell>
          <cell r="AL171" t="str">
            <v>1</v>
          </cell>
          <cell r="AM171" t="str">
            <v>F</v>
          </cell>
          <cell r="AN171" t="str">
            <v>M0</v>
          </cell>
          <cell r="AO171" t="str">
            <v>Active(Model)</v>
          </cell>
          <cell r="AP171" t="str">
            <v/>
          </cell>
          <cell r="AQ171" t="str">
            <v/>
          </cell>
          <cell r="AR171" t="str">
            <v>Y</v>
          </cell>
          <cell r="AS171" t="str">
            <v/>
          </cell>
          <cell r="AT171" t="str">
            <v>WM</v>
          </cell>
          <cell r="AU171" t="str">
            <v>Washing Machine</v>
          </cell>
          <cell r="AV171" t="str">
            <v>WMWL</v>
          </cell>
          <cell r="AW171" t="str">
            <v>Clothes Washer</v>
          </cell>
          <cell r="AX171" t="str">
            <v>WMWLFL</v>
          </cell>
          <cell r="AY171" t="str">
            <v>Clothes Washer_Front Loader</v>
          </cell>
          <cell r="AZ171" t="str">
            <v>WMWLFLHA</v>
          </cell>
          <cell r="BA171" t="str">
            <v>Clothes Washer_Drum(DD)</v>
          </cell>
        </row>
        <row r="172">
          <cell r="E172" t="str">
            <v>F24WDWPR.AKOR2</v>
          </cell>
          <cell r="F172">
            <v>420</v>
          </cell>
          <cell r="G172">
            <v>0</v>
          </cell>
          <cell r="H172">
            <v>0</v>
          </cell>
          <cell r="I172">
            <v>420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460</v>
          </cell>
          <cell r="O172">
            <v>682</v>
          </cell>
          <cell r="P172">
            <v>460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>0.717031</v>
          </cell>
          <cell r="AL172" t="str">
            <v>1</v>
          </cell>
          <cell r="AM172" t="str">
            <v>F</v>
          </cell>
          <cell r="AN172" t="str">
            <v>M0</v>
          </cell>
          <cell r="AO172" t="str">
            <v>Active(Model)</v>
          </cell>
          <cell r="AP172" t="str">
            <v/>
          </cell>
          <cell r="AQ172" t="str">
            <v/>
          </cell>
          <cell r="AR172" t="str">
            <v>Y</v>
          </cell>
          <cell r="AS172" t="str">
            <v/>
          </cell>
          <cell r="AT172" t="str">
            <v>WM</v>
          </cell>
          <cell r="AU172" t="str">
            <v>Washing Machine</v>
          </cell>
          <cell r="AV172" t="str">
            <v>WMWL</v>
          </cell>
          <cell r="AW172" t="str">
            <v>Clothes Washer</v>
          </cell>
          <cell r="AX172" t="str">
            <v>WMWLFL</v>
          </cell>
          <cell r="AY172" t="str">
            <v>Clothes Washer_Front Loader</v>
          </cell>
          <cell r="AZ172" t="str">
            <v>WMWLFLHA</v>
          </cell>
          <cell r="BA172" t="str">
            <v>Clothes Washer_Drum(DD)</v>
          </cell>
        </row>
        <row r="173">
          <cell r="E173" t="str">
            <v>F2720SVRV.ASSPEIN</v>
          </cell>
          <cell r="F173">
            <v>175</v>
          </cell>
          <cell r="G173">
            <v>0</v>
          </cell>
          <cell r="H173">
            <v>0</v>
          </cell>
          <cell r="I173">
            <v>175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442</v>
          </cell>
          <cell r="O173">
            <v>360</v>
          </cell>
          <cell r="P173">
            <v>442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 t="str">
            <v/>
          </cell>
          <cell r="AH173" t="str">
            <v/>
          </cell>
          <cell r="AI173" t="str">
            <v/>
          </cell>
          <cell r="AJ173" t="str">
            <v/>
          </cell>
          <cell r="AK173" t="str">
            <v>0.648000</v>
          </cell>
          <cell r="AL173" t="str">
            <v>1</v>
          </cell>
          <cell r="AM173" t="str">
            <v>F</v>
          </cell>
          <cell r="AN173" t="str">
            <v>M0</v>
          </cell>
          <cell r="AO173" t="str">
            <v>Active(Model)</v>
          </cell>
          <cell r="AP173" t="str">
            <v/>
          </cell>
          <cell r="AQ173" t="str">
            <v/>
          </cell>
          <cell r="AR173" t="str">
            <v>Y</v>
          </cell>
          <cell r="AS173" t="str">
            <v/>
          </cell>
          <cell r="AT173" t="str">
            <v>WM</v>
          </cell>
          <cell r="AU173" t="str">
            <v>Washing Machine</v>
          </cell>
          <cell r="AV173" t="str">
            <v>WMWL</v>
          </cell>
          <cell r="AW173" t="str">
            <v>Clothes Washer</v>
          </cell>
          <cell r="AX173" t="str">
            <v>WMWLFL</v>
          </cell>
          <cell r="AY173" t="str">
            <v>Clothes Washer_Front Loader</v>
          </cell>
          <cell r="AZ173" t="str">
            <v>WMWLFLHS</v>
          </cell>
          <cell r="BA173" t="str">
            <v>Clothes Washer_Drum(DD)_Steam</v>
          </cell>
        </row>
        <row r="174">
          <cell r="E174" t="str">
            <v>F2721HVRB.ABLQESL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 t="str">
            <v/>
          </cell>
          <cell r="AH174" t="str">
            <v/>
          </cell>
          <cell r="AI174" t="str">
            <v/>
          </cell>
          <cell r="AJ174" t="str">
            <v/>
          </cell>
          <cell r="AK174" t="str">
            <v>0.648000</v>
          </cell>
          <cell r="AL174" t="str">
            <v>1</v>
          </cell>
          <cell r="AM174" t="str">
            <v>F</v>
          </cell>
          <cell r="AN174" t="str">
            <v>M0</v>
          </cell>
          <cell r="AO174" t="str">
            <v>Active(Model)</v>
          </cell>
          <cell r="AP174" t="str">
            <v/>
          </cell>
          <cell r="AQ174" t="str">
            <v/>
          </cell>
          <cell r="AR174" t="str">
            <v>Y</v>
          </cell>
          <cell r="AS174" t="str">
            <v/>
          </cell>
          <cell r="AT174" t="str">
            <v>WM</v>
          </cell>
          <cell r="AU174" t="str">
            <v>Washing Machine</v>
          </cell>
          <cell r="AV174" t="str">
            <v>WMWL</v>
          </cell>
          <cell r="AW174" t="str">
            <v>Clothes Washer</v>
          </cell>
          <cell r="AX174" t="str">
            <v>WMWLFL</v>
          </cell>
          <cell r="AY174" t="str">
            <v>Clothes Washer_Front Loader</v>
          </cell>
          <cell r="AZ174" t="str">
            <v>WMWLFLHS</v>
          </cell>
          <cell r="BA174" t="str">
            <v>Clothes Washer_Drum(DD)_Steam</v>
          </cell>
        </row>
        <row r="175">
          <cell r="E175" t="str">
            <v>F2724SVRB.ABLPEIN</v>
          </cell>
          <cell r="F175">
            <v>408</v>
          </cell>
          <cell r="G175">
            <v>0</v>
          </cell>
          <cell r="H175">
            <v>0</v>
          </cell>
          <cell r="I175">
            <v>408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42</v>
          </cell>
          <cell r="O175">
            <v>84</v>
          </cell>
          <cell r="P175">
            <v>42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 t="str">
            <v/>
          </cell>
          <cell r="AH175" t="str">
            <v/>
          </cell>
          <cell r="AI175" t="str">
            <v/>
          </cell>
          <cell r="AJ175" t="str">
            <v/>
          </cell>
          <cell r="AK175" t="str">
            <v>0.704700</v>
          </cell>
          <cell r="AL175" t="str">
            <v>1</v>
          </cell>
          <cell r="AM175" t="str">
            <v>F</v>
          </cell>
          <cell r="AN175" t="str">
            <v>M0</v>
          </cell>
          <cell r="AO175" t="str">
            <v>Active(Model)</v>
          </cell>
          <cell r="AP175" t="str">
            <v/>
          </cell>
          <cell r="AQ175" t="str">
            <v/>
          </cell>
          <cell r="AR175" t="str">
            <v>Y</v>
          </cell>
          <cell r="AS175" t="str">
            <v/>
          </cell>
          <cell r="AT175" t="str">
            <v>WM</v>
          </cell>
          <cell r="AU175" t="str">
            <v>Washing Machine</v>
          </cell>
          <cell r="AV175" t="str">
            <v>WMWL</v>
          </cell>
          <cell r="AW175" t="str">
            <v>Clothes Washer</v>
          </cell>
          <cell r="AX175" t="str">
            <v>WMWLFL</v>
          </cell>
          <cell r="AY175" t="str">
            <v>Clothes Washer_Front Loader</v>
          </cell>
          <cell r="AZ175" t="str">
            <v>WMWLFLHS</v>
          </cell>
          <cell r="BA175" t="str">
            <v>Clothes Washer_Drum(DD)_Steam</v>
          </cell>
        </row>
        <row r="176">
          <cell r="E176" t="str">
            <v>F3W8RYVKWH.ABWEVUS</v>
          </cell>
          <cell r="F176">
            <v>2</v>
          </cell>
          <cell r="G176">
            <v>0</v>
          </cell>
          <cell r="H176">
            <v>0</v>
          </cell>
          <cell r="I176">
            <v>2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 t="str">
            <v/>
          </cell>
          <cell r="AH176" t="str">
            <v/>
          </cell>
          <cell r="AI176" t="str">
            <v/>
          </cell>
          <cell r="AJ176" t="str">
            <v/>
          </cell>
          <cell r="AK176" t="str">
            <v>0.442035</v>
          </cell>
          <cell r="AL176" t="str">
            <v>1</v>
          </cell>
          <cell r="AM176" t="str">
            <v>F</v>
          </cell>
          <cell r="AN176" t="str">
            <v>M0</v>
          </cell>
          <cell r="AO176" t="str">
            <v>Active(Model)</v>
          </cell>
          <cell r="AP176" t="str">
            <v/>
          </cell>
          <cell r="AQ176" t="str">
            <v/>
          </cell>
          <cell r="AR176" t="str">
            <v>Y</v>
          </cell>
          <cell r="AS176" t="str">
            <v/>
          </cell>
          <cell r="AT176" t="str">
            <v>WM</v>
          </cell>
          <cell r="AU176" t="str">
            <v>Washing Machine</v>
          </cell>
          <cell r="AV176" t="str">
            <v>WMWL</v>
          </cell>
          <cell r="AW176" t="str">
            <v>Clothes Washer</v>
          </cell>
          <cell r="AX176" t="str">
            <v>WMWLFL</v>
          </cell>
          <cell r="AY176" t="str">
            <v>Clothes Washer_Front Loader</v>
          </cell>
          <cell r="AZ176" t="str">
            <v>WMWLFLLC</v>
          </cell>
          <cell r="BA176" t="str">
            <v>Clothes Stacked Washer Dryer_Washer</v>
          </cell>
        </row>
        <row r="177">
          <cell r="E177" t="str">
            <v>F51P12WH.ABWQEFS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176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 t="str">
            <v/>
          </cell>
          <cell r="AH177" t="str">
            <v/>
          </cell>
          <cell r="AI177" t="str">
            <v/>
          </cell>
          <cell r="AJ177" t="str">
            <v/>
          </cell>
          <cell r="AK177" t="str">
            <v>0.648000</v>
          </cell>
          <cell r="AL177" t="str">
            <v>1</v>
          </cell>
          <cell r="AM177" t="str">
            <v>F</v>
          </cell>
          <cell r="AN177" t="str">
            <v>M0</v>
          </cell>
          <cell r="AO177" t="str">
            <v>Active(Model)</v>
          </cell>
          <cell r="AP177" t="str">
            <v/>
          </cell>
          <cell r="AQ177" t="str">
            <v/>
          </cell>
          <cell r="AR177" t="str">
            <v>Y</v>
          </cell>
          <cell r="AS177" t="str">
            <v/>
          </cell>
          <cell r="AT177" t="str">
            <v>WM</v>
          </cell>
          <cell r="AU177" t="str">
            <v>Washing Machine</v>
          </cell>
          <cell r="AV177" t="str">
            <v>WMWL</v>
          </cell>
          <cell r="AW177" t="str">
            <v>Clothes Washer</v>
          </cell>
          <cell r="AX177" t="str">
            <v>WMWLFL</v>
          </cell>
          <cell r="AY177" t="str">
            <v>Clothes Washer_Front Loader</v>
          </cell>
          <cell r="AZ177" t="str">
            <v>WMWLFLHS</v>
          </cell>
          <cell r="BA177" t="str">
            <v>Clothes Washer_Drum(DD)_Steam</v>
          </cell>
        </row>
        <row r="178">
          <cell r="E178" t="str">
            <v>F58BGD.ABMPEVN</v>
          </cell>
          <cell r="F178">
            <v>0</v>
          </cell>
          <cell r="G178">
            <v>0</v>
          </cell>
          <cell r="H178">
            <v>1</v>
          </cell>
          <cell r="I178">
            <v>1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 t="str">
            <v>REFPREPLUS</v>
          </cell>
          <cell r="AH178" t="str">
            <v>REF_Premium_Plus</v>
          </cell>
          <cell r="AI178" t="str">
            <v/>
          </cell>
          <cell r="AJ178" t="str">
            <v/>
          </cell>
          <cell r="AK178" t="str">
            <v>1.289601</v>
          </cell>
          <cell r="AL178" t="str">
            <v>2</v>
          </cell>
          <cell r="AM178" t="str">
            <v>F</v>
          </cell>
          <cell r="AN178" t="str">
            <v>M0</v>
          </cell>
          <cell r="AO178" t="str">
            <v>Active(Model)</v>
          </cell>
          <cell r="AP178" t="str">
            <v/>
          </cell>
          <cell r="AQ178" t="str">
            <v/>
          </cell>
          <cell r="AR178" t="str">
            <v>Y</v>
          </cell>
          <cell r="AS178" t="str">
            <v/>
          </cell>
          <cell r="AT178" t="str">
            <v>RF</v>
          </cell>
          <cell r="AU178" t="str">
            <v>Refrigerator</v>
          </cell>
          <cell r="AV178" t="str">
            <v>RFBF</v>
          </cell>
          <cell r="AW178" t="str">
            <v>Bottom Freezer</v>
          </cell>
          <cell r="AX178" t="str">
            <v>RFBFMD</v>
          </cell>
          <cell r="AY178" t="str">
            <v>French Door Swing</v>
          </cell>
          <cell r="AZ178" t="str">
            <v>RFBFMD4D</v>
          </cell>
          <cell r="BA178" t="str">
            <v>4D F/D Swing</v>
          </cell>
        </row>
        <row r="179">
          <cell r="E179" t="str">
            <v>F61BMD.AEPPEVN</v>
          </cell>
          <cell r="F179">
            <v>9</v>
          </cell>
          <cell r="G179">
            <v>0</v>
          </cell>
          <cell r="H179">
            <v>1</v>
          </cell>
          <cell r="I179">
            <v>10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 t="str">
            <v>REFPREPLUS</v>
          </cell>
          <cell r="AH179" t="str">
            <v>REF_Premium_Plus</v>
          </cell>
          <cell r="AI179" t="str">
            <v/>
          </cell>
          <cell r="AJ179" t="str">
            <v/>
          </cell>
          <cell r="AK179" t="str">
            <v>1.347179</v>
          </cell>
          <cell r="AL179" t="str">
            <v>2</v>
          </cell>
          <cell r="AM179" t="str">
            <v>F</v>
          </cell>
          <cell r="AN179" t="str">
            <v>M0</v>
          </cell>
          <cell r="AO179" t="str">
            <v>Active(Model)</v>
          </cell>
          <cell r="AP179" t="str">
            <v/>
          </cell>
          <cell r="AQ179" t="str">
            <v/>
          </cell>
          <cell r="AR179" t="str">
            <v>Y</v>
          </cell>
          <cell r="AS179" t="str">
            <v/>
          </cell>
          <cell r="AT179" t="str">
            <v>RF</v>
          </cell>
          <cell r="AU179" t="str">
            <v>Refrigerator</v>
          </cell>
          <cell r="AV179" t="str">
            <v>RFBF</v>
          </cell>
          <cell r="AW179" t="str">
            <v>Bottom Freezer</v>
          </cell>
          <cell r="AX179" t="str">
            <v>RFBFMD</v>
          </cell>
          <cell r="AY179" t="str">
            <v>French Door Swing</v>
          </cell>
          <cell r="AZ179" t="str">
            <v>RFBFMD4D</v>
          </cell>
          <cell r="BA179" t="str">
            <v>4D F/D Swing</v>
          </cell>
        </row>
        <row r="180">
          <cell r="E180" t="str">
            <v>F71P12WHS.ABWQVFS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87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 t="str">
            <v/>
          </cell>
          <cell r="AH180" t="str">
            <v/>
          </cell>
          <cell r="AI180" t="str">
            <v/>
          </cell>
          <cell r="AJ180" t="str">
            <v/>
          </cell>
          <cell r="AK180" t="str">
            <v>0.648000</v>
          </cell>
          <cell r="AL180" t="str">
            <v>1</v>
          </cell>
          <cell r="AM180" t="str">
            <v>F</v>
          </cell>
          <cell r="AN180" t="str">
            <v>M0</v>
          </cell>
          <cell r="AO180" t="str">
            <v>Active(Model)</v>
          </cell>
          <cell r="AP180" t="str">
            <v/>
          </cell>
          <cell r="AQ180" t="str">
            <v/>
          </cell>
          <cell r="AR180" t="str">
            <v>Y</v>
          </cell>
          <cell r="AS180" t="str">
            <v/>
          </cell>
          <cell r="AT180" t="str">
            <v>WM</v>
          </cell>
          <cell r="AU180" t="str">
            <v>Washing Machine</v>
          </cell>
          <cell r="AV180" t="str">
            <v>WMWL</v>
          </cell>
          <cell r="AW180" t="str">
            <v>Clothes Washer</v>
          </cell>
          <cell r="AX180" t="str">
            <v>WMWLFL</v>
          </cell>
          <cell r="AY180" t="str">
            <v>Clothes Washer_Front Loader</v>
          </cell>
          <cell r="AZ180" t="str">
            <v>WMWLFLHS</v>
          </cell>
          <cell r="BA180" t="str">
            <v>Clothes Washer_Drum(DD)_Steam</v>
          </cell>
        </row>
        <row r="181">
          <cell r="E181" t="str">
            <v>FDX91508A9E.AEGQEIL</v>
          </cell>
          <cell r="F181">
            <v>462</v>
          </cell>
          <cell r="G181">
            <v>0</v>
          </cell>
          <cell r="H181">
            <v>0</v>
          </cell>
          <cell r="I181">
            <v>462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204</v>
          </cell>
          <cell r="O181">
            <v>306</v>
          </cell>
          <cell r="P181">
            <v>204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 t="str">
            <v/>
          </cell>
          <cell r="AH181" t="str">
            <v/>
          </cell>
          <cell r="AI181" t="str">
            <v/>
          </cell>
          <cell r="AJ181" t="str">
            <v/>
          </cell>
          <cell r="AK181" t="str">
            <v>0.494728</v>
          </cell>
          <cell r="AL181" t="str">
            <v>1</v>
          </cell>
          <cell r="AM181" t="str">
            <v>F</v>
          </cell>
          <cell r="AN181" t="str">
            <v>M0</v>
          </cell>
          <cell r="AO181" t="str">
            <v>Active(Model)</v>
          </cell>
          <cell r="AP181" t="str">
            <v/>
          </cell>
          <cell r="AQ181" t="str">
            <v/>
          </cell>
          <cell r="AR181" t="str">
            <v>Y</v>
          </cell>
          <cell r="AS181" t="str">
            <v/>
          </cell>
          <cell r="AT181" t="str">
            <v>WM</v>
          </cell>
          <cell r="AU181" t="str">
            <v>Washing Machine</v>
          </cell>
          <cell r="AV181" t="str">
            <v>WMWL</v>
          </cell>
          <cell r="AW181" t="str">
            <v>Clothes Washer</v>
          </cell>
          <cell r="AX181" t="str">
            <v>WMWLFL</v>
          </cell>
          <cell r="AY181" t="str">
            <v>Clothes Washer_Front Loader</v>
          </cell>
          <cell r="AZ181" t="str">
            <v>WMWLFLDB</v>
          </cell>
          <cell r="BA181" t="str">
            <v>Clothes Washer_Drum_25</v>
          </cell>
        </row>
        <row r="182">
          <cell r="E182" t="str">
            <v>FG19VNR.AKOR2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90</v>
          </cell>
          <cell r="O182">
            <v>0</v>
          </cell>
          <cell r="P182">
            <v>90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>0.648000</v>
          </cell>
          <cell r="AL182" t="str">
            <v>1</v>
          </cell>
          <cell r="AM182" t="str">
            <v>F</v>
          </cell>
          <cell r="AN182" t="str">
            <v>M0</v>
          </cell>
          <cell r="AO182" t="str">
            <v>Active(Model)</v>
          </cell>
          <cell r="AP182" t="str">
            <v/>
          </cell>
          <cell r="AQ182" t="str">
            <v/>
          </cell>
          <cell r="AR182" t="str">
            <v>Y</v>
          </cell>
          <cell r="AS182" t="str">
            <v/>
          </cell>
          <cell r="AT182" t="str">
            <v>WM</v>
          </cell>
          <cell r="AU182" t="str">
            <v>Washing Machine</v>
          </cell>
          <cell r="AV182" t="str">
            <v>WMWL</v>
          </cell>
          <cell r="AW182" t="str">
            <v>Clothes Washer</v>
          </cell>
          <cell r="AX182" t="str">
            <v>WMWLFL</v>
          </cell>
          <cell r="AY182" t="str">
            <v>Clothes Washer_Front Loader</v>
          </cell>
          <cell r="AZ182" t="str">
            <v>WMWLFLHA</v>
          </cell>
          <cell r="BA182" t="str">
            <v>Clothes Washer_Drum(DD)</v>
          </cell>
        </row>
        <row r="183">
          <cell r="E183" t="str">
            <v>FG19WNR.AKOR2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90</v>
          </cell>
          <cell r="O183">
            <v>180</v>
          </cell>
          <cell r="P183">
            <v>90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>0.648000</v>
          </cell>
          <cell r="AL183" t="str">
            <v>1</v>
          </cell>
          <cell r="AM183" t="str">
            <v>F</v>
          </cell>
          <cell r="AN183" t="str">
            <v>M0</v>
          </cell>
          <cell r="AO183" t="str">
            <v>Active(Model)</v>
          </cell>
          <cell r="AP183" t="str">
            <v/>
          </cell>
          <cell r="AQ183" t="str">
            <v/>
          </cell>
          <cell r="AR183" t="str">
            <v>Y</v>
          </cell>
          <cell r="AS183" t="str">
            <v/>
          </cell>
          <cell r="AT183" t="str">
            <v>WM</v>
          </cell>
          <cell r="AU183" t="str">
            <v>Washing Machine</v>
          </cell>
          <cell r="AV183" t="str">
            <v>WMWL</v>
          </cell>
          <cell r="AW183" t="str">
            <v>Clothes Washer</v>
          </cell>
          <cell r="AX183" t="str">
            <v>WMWLFL</v>
          </cell>
          <cell r="AY183" t="str">
            <v>Clothes Washer_Front Loader</v>
          </cell>
          <cell r="AZ183" t="str">
            <v>WMWLFLHA</v>
          </cell>
          <cell r="BA183" t="str">
            <v>Clothes Washer_Drum(DD)</v>
          </cell>
        </row>
        <row r="184">
          <cell r="E184" t="str">
            <v>FG21ENR.AKOR2</v>
          </cell>
          <cell r="F184">
            <v>200</v>
          </cell>
          <cell r="G184">
            <v>0</v>
          </cell>
          <cell r="H184">
            <v>0</v>
          </cell>
          <cell r="I184">
            <v>200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2</v>
          </cell>
          <cell r="O184">
            <v>448</v>
          </cell>
          <cell r="P184">
            <v>2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>0.648000</v>
          </cell>
          <cell r="AL184" t="str">
            <v>1</v>
          </cell>
          <cell r="AM184" t="str">
            <v>F</v>
          </cell>
          <cell r="AN184" t="str">
            <v>M0</v>
          </cell>
          <cell r="AO184" t="str">
            <v>Active(Model)</v>
          </cell>
          <cell r="AP184" t="str">
            <v/>
          </cell>
          <cell r="AQ184" t="str">
            <v/>
          </cell>
          <cell r="AR184" t="str">
            <v>Y</v>
          </cell>
          <cell r="AS184" t="str">
            <v/>
          </cell>
          <cell r="AT184" t="str">
            <v>WM</v>
          </cell>
          <cell r="AU184" t="str">
            <v>Washing Machine</v>
          </cell>
          <cell r="AV184" t="str">
            <v>WMWL</v>
          </cell>
          <cell r="AW184" t="str">
            <v>Clothes Washer</v>
          </cell>
          <cell r="AX184" t="str">
            <v>WMWLFL</v>
          </cell>
          <cell r="AY184" t="str">
            <v>Clothes Washer_Front Loader</v>
          </cell>
          <cell r="AZ184" t="str">
            <v>WMWLFLHA</v>
          </cell>
          <cell r="BA184" t="str">
            <v>Clothes Washer_Drum(DD)</v>
          </cell>
        </row>
        <row r="185">
          <cell r="E185" t="str">
            <v>FG21GNR.AKOR2</v>
          </cell>
          <cell r="F185">
            <v>90</v>
          </cell>
          <cell r="G185">
            <v>0</v>
          </cell>
          <cell r="H185">
            <v>0</v>
          </cell>
          <cell r="I185">
            <v>90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89</v>
          </cell>
          <cell r="O185">
            <v>1</v>
          </cell>
          <cell r="P185">
            <v>89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 t="str">
            <v/>
          </cell>
          <cell r="AH185" t="str">
            <v/>
          </cell>
          <cell r="AI185" t="str">
            <v/>
          </cell>
          <cell r="AJ185" t="str">
            <v/>
          </cell>
          <cell r="AK185" t="str">
            <v>0.648000</v>
          </cell>
          <cell r="AL185" t="str">
            <v>1</v>
          </cell>
          <cell r="AM185" t="str">
            <v>F</v>
          </cell>
          <cell r="AN185" t="str">
            <v>M0</v>
          </cell>
          <cell r="AO185" t="str">
            <v>Active(Model)</v>
          </cell>
          <cell r="AP185" t="str">
            <v/>
          </cell>
          <cell r="AQ185" t="str">
            <v/>
          </cell>
          <cell r="AR185" t="str">
            <v>Y</v>
          </cell>
          <cell r="AS185" t="str">
            <v/>
          </cell>
          <cell r="AT185" t="str">
            <v>WM</v>
          </cell>
          <cell r="AU185" t="str">
            <v>Washing Machine</v>
          </cell>
          <cell r="AV185" t="str">
            <v>WMWL</v>
          </cell>
          <cell r="AW185" t="str">
            <v>Clothes Washer</v>
          </cell>
          <cell r="AX185" t="str">
            <v>WMWLFL</v>
          </cell>
          <cell r="AY185" t="str">
            <v>Clothes Washer_Front Loader</v>
          </cell>
          <cell r="AZ185" t="str">
            <v>WMWLFLHA</v>
          </cell>
          <cell r="BA185" t="str">
            <v>Clothes Washer_Drum(DD)</v>
          </cell>
        </row>
        <row r="186">
          <cell r="E186" t="str">
            <v>FG21KNR.AKOR2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280</v>
          </cell>
          <cell r="O186">
            <v>110</v>
          </cell>
          <cell r="P186">
            <v>280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>0.648000</v>
          </cell>
          <cell r="AL186" t="str">
            <v>1</v>
          </cell>
          <cell r="AM186" t="str">
            <v>F</v>
          </cell>
          <cell r="AN186" t="str">
            <v>M0</v>
          </cell>
          <cell r="AO186" t="str">
            <v>Active(Model)</v>
          </cell>
          <cell r="AP186" t="str">
            <v/>
          </cell>
          <cell r="AQ186" t="str">
            <v/>
          </cell>
          <cell r="AR186" t="str">
            <v>Y</v>
          </cell>
          <cell r="AS186" t="str">
            <v/>
          </cell>
          <cell r="AT186" t="str">
            <v>WM</v>
          </cell>
          <cell r="AU186" t="str">
            <v>Washing Machine</v>
          </cell>
          <cell r="AV186" t="str">
            <v>WMWL</v>
          </cell>
          <cell r="AW186" t="str">
            <v>Clothes Washer</v>
          </cell>
          <cell r="AX186" t="str">
            <v>WMWLFL</v>
          </cell>
          <cell r="AY186" t="str">
            <v>Clothes Washer_Front Loader</v>
          </cell>
          <cell r="AZ186" t="str">
            <v>WMWLFLHA</v>
          </cell>
          <cell r="BA186" t="str">
            <v>Clothes Washer_Drum(DD)</v>
          </cell>
        </row>
        <row r="187">
          <cell r="E187" t="str">
            <v>FG21VNR.AKOR2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89</v>
          </cell>
          <cell r="O187">
            <v>1</v>
          </cell>
          <cell r="P187">
            <v>89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>0.648000</v>
          </cell>
          <cell r="AL187" t="str">
            <v>1</v>
          </cell>
          <cell r="AM187" t="str">
            <v>F</v>
          </cell>
          <cell r="AN187" t="str">
            <v>M0</v>
          </cell>
          <cell r="AO187" t="str">
            <v>Active(Model)</v>
          </cell>
          <cell r="AP187" t="str">
            <v/>
          </cell>
          <cell r="AQ187" t="str">
            <v/>
          </cell>
          <cell r="AR187" t="str">
            <v>Y</v>
          </cell>
          <cell r="AS187" t="str">
            <v/>
          </cell>
          <cell r="AT187" t="str">
            <v>WM</v>
          </cell>
          <cell r="AU187" t="str">
            <v>Washing Machine</v>
          </cell>
          <cell r="AV187" t="str">
            <v>WMWL</v>
          </cell>
          <cell r="AW187" t="str">
            <v>Clothes Washer</v>
          </cell>
          <cell r="AX187" t="str">
            <v>WMWLFL</v>
          </cell>
          <cell r="AY187" t="str">
            <v>Clothes Washer_Front Loader</v>
          </cell>
          <cell r="AZ187" t="str">
            <v>WMWLFLHA</v>
          </cell>
          <cell r="BA187" t="str">
            <v>Clothes Washer_Drum(DD)</v>
          </cell>
        </row>
        <row r="188">
          <cell r="E188" t="str">
            <v>FG21WNR.AKOR2</v>
          </cell>
          <cell r="F188">
            <v>140</v>
          </cell>
          <cell r="G188">
            <v>0</v>
          </cell>
          <cell r="H188">
            <v>0</v>
          </cell>
          <cell r="I188">
            <v>140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90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>0.648000</v>
          </cell>
          <cell r="AL188" t="str">
            <v>1</v>
          </cell>
          <cell r="AM188" t="str">
            <v>F</v>
          </cell>
          <cell r="AN188" t="str">
            <v>M0</v>
          </cell>
          <cell r="AO188" t="str">
            <v>Active(Model)</v>
          </cell>
          <cell r="AP188" t="str">
            <v/>
          </cell>
          <cell r="AQ188" t="str">
            <v/>
          </cell>
          <cell r="AR188" t="str">
            <v>Y</v>
          </cell>
          <cell r="AS188" t="str">
            <v/>
          </cell>
          <cell r="AT188" t="str">
            <v>WM</v>
          </cell>
          <cell r="AU188" t="str">
            <v>Washing Machine</v>
          </cell>
          <cell r="AV188" t="str">
            <v>WMWL</v>
          </cell>
          <cell r="AW188" t="str">
            <v>Clothes Washer</v>
          </cell>
          <cell r="AX188" t="str">
            <v>WMWLFL</v>
          </cell>
          <cell r="AY188" t="str">
            <v>Clothes Washer_Front Loader</v>
          </cell>
          <cell r="AZ188" t="str">
            <v>WMWLFLHA</v>
          </cell>
          <cell r="BA188" t="str">
            <v>Clothes Washer_Drum(DD)</v>
          </cell>
        </row>
        <row r="189">
          <cell r="E189" t="str">
            <v>FG24EN.AKOR2</v>
          </cell>
          <cell r="F189">
            <v>464</v>
          </cell>
          <cell r="G189">
            <v>0</v>
          </cell>
          <cell r="H189">
            <v>0</v>
          </cell>
          <cell r="I189">
            <v>464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181</v>
          </cell>
          <cell r="O189">
            <v>0</v>
          </cell>
          <cell r="P189">
            <v>181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>0.704700</v>
          </cell>
          <cell r="AL189" t="str">
            <v>1</v>
          </cell>
          <cell r="AM189" t="str">
            <v>F</v>
          </cell>
          <cell r="AN189" t="str">
            <v>M0</v>
          </cell>
          <cell r="AO189" t="str">
            <v>Active(Model)</v>
          </cell>
          <cell r="AP189" t="str">
            <v/>
          </cell>
          <cell r="AQ189" t="str">
            <v/>
          </cell>
          <cell r="AR189" t="str">
            <v>Y</v>
          </cell>
          <cell r="AS189" t="str">
            <v/>
          </cell>
          <cell r="AT189" t="str">
            <v>WM</v>
          </cell>
          <cell r="AU189" t="str">
            <v>Washing Machine</v>
          </cell>
          <cell r="AV189" t="str">
            <v>WMWL</v>
          </cell>
          <cell r="AW189" t="str">
            <v>Clothes Washer</v>
          </cell>
          <cell r="AX189" t="str">
            <v>WMWLFL</v>
          </cell>
          <cell r="AY189" t="str">
            <v>Clothes Washer_Front Loader</v>
          </cell>
          <cell r="AZ189" t="str">
            <v>WMWLFLHA</v>
          </cell>
          <cell r="BA189" t="str">
            <v>Clothes Washer_Drum(DD)</v>
          </cell>
        </row>
        <row r="190">
          <cell r="E190" t="str">
            <v>FG24GN.AKOR2</v>
          </cell>
          <cell r="F190">
            <v>252</v>
          </cell>
          <cell r="G190">
            <v>0</v>
          </cell>
          <cell r="H190">
            <v>0</v>
          </cell>
          <cell r="I190">
            <v>252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340</v>
          </cell>
          <cell r="O190">
            <v>220</v>
          </cell>
          <cell r="P190">
            <v>340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>0.704700</v>
          </cell>
          <cell r="AL190" t="str">
            <v>1</v>
          </cell>
          <cell r="AM190" t="str">
            <v>F</v>
          </cell>
          <cell r="AN190" t="str">
            <v>M0</v>
          </cell>
          <cell r="AO190" t="str">
            <v>Active(Model)</v>
          </cell>
          <cell r="AP190" t="str">
            <v/>
          </cell>
          <cell r="AQ190" t="str">
            <v/>
          </cell>
          <cell r="AR190" t="str">
            <v>Y</v>
          </cell>
          <cell r="AS190" t="str">
            <v/>
          </cell>
          <cell r="AT190" t="str">
            <v>WM</v>
          </cell>
          <cell r="AU190" t="str">
            <v>Washing Machine</v>
          </cell>
          <cell r="AV190" t="str">
            <v>WMWL</v>
          </cell>
          <cell r="AW190" t="str">
            <v>Clothes Washer</v>
          </cell>
          <cell r="AX190" t="str">
            <v>WMWLFL</v>
          </cell>
          <cell r="AY190" t="str">
            <v>Clothes Washer_Front Loader</v>
          </cell>
          <cell r="AZ190" t="str">
            <v>WMWLFLHA</v>
          </cell>
          <cell r="BA190" t="str">
            <v>Clothes Washer_Drum(DD)</v>
          </cell>
        </row>
        <row r="191">
          <cell r="E191" t="str">
            <v>FG24VNS.AKOR2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45</v>
          </cell>
          <cell r="O191">
            <v>90</v>
          </cell>
          <cell r="P191">
            <v>45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>0.704700</v>
          </cell>
          <cell r="AL191" t="str">
            <v>1</v>
          </cell>
          <cell r="AM191" t="str">
            <v>F</v>
          </cell>
          <cell r="AN191" t="str">
            <v>M0</v>
          </cell>
          <cell r="AO191" t="str">
            <v>Active(Model)</v>
          </cell>
          <cell r="AP191" t="str">
            <v/>
          </cell>
          <cell r="AQ191" t="str">
            <v/>
          </cell>
          <cell r="AR191" t="str">
            <v>Y</v>
          </cell>
          <cell r="AS191" t="str">
            <v/>
          </cell>
          <cell r="AT191" t="str">
            <v>WM</v>
          </cell>
          <cell r="AU191" t="str">
            <v>Washing Machine</v>
          </cell>
          <cell r="AV191" t="str">
            <v>WMWL</v>
          </cell>
          <cell r="AW191" t="str">
            <v>Clothes Washer</v>
          </cell>
          <cell r="AX191" t="str">
            <v>WMWLFL</v>
          </cell>
          <cell r="AY191" t="str">
            <v>Clothes Washer_Front Loader</v>
          </cell>
          <cell r="AZ191" t="str">
            <v>WMWLFLHA</v>
          </cell>
          <cell r="BA191" t="str">
            <v>Clothes Washer_Drum(DD)</v>
          </cell>
        </row>
        <row r="192">
          <cell r="E192" t="str">
            <v>FV1408S4W.ABWQESL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30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>0.387684</v>
          </cell>
          <cell r="AL192" t="str">
            <v>1</v>
          </cell>
          <cell r="AM192" t="str">
            <v>F</v>
          </cell>
          <cell r="AN192" t="str">
            <v>M0</v>
          </cell>
          <cell r="AO192" t="str">
            <v>Active(Model)</v>
          </cell>
          <cell r="AP192" t="str">
            <v/>
          </cell>
          <cell r="AQ192" t="str">
            <v/>
          </cell>
          <cell r="AR192" t="str">
            <v>Y</v>
          </cell>
          <cell r="AS192" t="str">
            <v/>
          </cell>
          <cell r="AT192" t="str">
            <v>WM</v>
          </cell>
          <cell r="AU192" t="str">
            <v>Washing Machine</v>
          </cell>
          <cell r="AV192" t="str">
            <v>WMWL</v>
          </cell>
          <cell r="AW192" t="str">
            <v>Clothes Washer</v>
          </cell>
          <cell r="AX192" t="str">
            <v>WMWLFL</v>
          </cell>
          <cell r="AY192" t="str">
            <v>Clothes Washer_Front Loader</v>
          </cell>
          <cell r="AZ192" t="str">
            <v>WMWLFLSC</v>
          </cell>
          <cell r="BA192" t="str">
            <v>Clothes Washer_Drum(DD)_Steam_24</v>
          </cell>
        </row>
        <row r="193">
          <cell r="E193" t="str">
            <v>FV1409S4M1.AMBPEVN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100</v>
          </cell>
          <cell r="AF193">
            <v>0</v>
          </cell>
          <cell r="AG193" t="str">
            <v>WMPREMIUM</v>
          </cell>
          <cell r="AH193" t="str">
            <v>WM_Premium</v>
          </cell>
          <cell r="AI193" t="str">
            <v/>
          </cell>
          <cell r="AJ193" t="str">
            <v/>
          </cell>
          <cell r="AK193" t="str">
            <v>0.383328</v>
          </cell>
          <cell r="AL193" t="str">
            <v>2</v>
          </cell>
          <cell r="AM193" t="str">
            <v>F</v>
          </cell>
          <cell r="AN193" t="str">
            <v>M0</v>
          </cell>
          <cell r="AO193" t="str">
            <v>Active(Model)</v>
          </cell>
          <cell r="AP193" t="str">
            <v/>
          </cell>
          <cell r="AQ193" t="str">
            <v/>
          </cell>
          <cell r="AR193" t="str">
            <v>Y</v>
          </cell>
          <cell r="AS193" t="str">
            <v/>
          </cell>
          <cell r="AT193" t="str">
            <v>WM</v>
          </cell>
          <cell r="AU193" t="str">
            <v>Washing Machine</v>
          </cell>
          <cell r="AV193" t="str">
            <v>WMWL</v>
          </cell>
          <cell r="AW193" t="str">
            <v>Clothes Washer</v>
          </cell>
          <cell r="AX193" t="str">
            <v>WMWLFL</v>
          </cell>
          <cell r="AY193" t="str">
            <v>Clothes Washer_Front Loader</v>
          </cell>
          <cell r="AZ193" t="str">
            <v>WMWLFLSC</v>
          </cell>
          <cell r="BA193" t="str">
            <v>Clothes Washer_Drum(DD)_Steam_24</v>
          </cell>
        </row>
        <row r="194">
          <cell r="E194" t="str">
            <v>FV1409S4W.ABWQESL</v>
          </cell>
          <cell r="F194">
            <v>1</v>
          </cell>
          <cell r="G194">
            <v>0</v>
          </cell>
          <cell r="H194">
            <v>0</v>
          </cell>
          <cell r="I194">
            <v>1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47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 t="str">
            <v/>
          </cell>
          <cell r="AH194" t="str">
            <v/>
          </cell>
          <cell r="AI194" t="str">
            <v/>
          </cell>
          <cell r="AJ194" t="str">
            <v/>
          </cell>
          <cell r="AK194" t="str">
            <v>0.387684</v>
          </cell>
          <cell r="AL194" t="str">
            <v>1</v>
          </cell>
          <cell r="AM194" t="str">
            <v>F</v>
          </cell>
          <cell r="AN194" t="str">
            <v>M0</v>
          </cell>
          <cell r="AO194" t="str">
            <v>Active(Model)</v>
          </cell>
          <cell r="AP194" t="str">
            <v/>
          </cell>
          <cell r="AQ194" t="str">
            <v/>
          </cell>
          <cell r="AR194" t="str">
            <v>Y</v>
          </cell>
          <cell r="AS194" t="str">
            <v/>
          </cell>
          <cell r="AT194" t="str">
            <v>WM</v>
          </cell>
          <cell r="AU194" t="str">
            <v>Washing Machine</v>
          </cell>
          <cell r="AV194" t="str">
            <v>WMWL</v>
          </cell>
          <cell r="AW194" t="str">
            <v>Clothes Washer</v>
          </cell>
          <cell r="AX194" t="str">
            <v>WMWLFL</v>
          </cell>
          <cell r="AY194" t="str">
            <v>Clothes Washer_Front Loader</v>
          </cell>
          <cell r="AZ194" t="str">
            <v>WMWLFLSC</v>
          </cell>
          <cell r="BA194" t="str">
            <v>Clothes Washer_Drum(DD)_Steam_24</v>
          </cell>
        </row>
        <row r="195">
          <cell r="E195" t="str">
            <v>FV1410H4W.ABWPETH</v>
          </cell>
          <cell r="F195">
            <v>97</v>
          </cell>
          <cell r="G195">
            <v>0</v>
          </cell>
          <cell r="H195">
            <v>0</v>
          </cell>
          <cell r="I195">
            <v>97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str">
            <v/>
          </cell>
          <cell r="AH195" t="str">
            <v/>
          </cell>
          <cell r="AI195" t="str">
            <v/>
          </cell>
          <cell r="AJ195" t="str">
            <v/>
          </cell>
          <cell r="AK195" t="str">
            <v>0.386505</v>
          </cell>
          <cell r="AL195" t="str">
            <v>1</v>
          </cell>
          <cell r="AM195" t="str">
            <v>F</v>
          </cell>
          <cell r="AN195" t="str">
            <v>M0</v>
          </cell>
          <cell r="AO195" t="str">
            <v>Active(Model)</v>
          </cell>
          <cell r="AP195" t="str">
            <v/>
          </cell>
          <cell r="AQ195" t="str">
            <v/>
          </cell>
          <cell r="AR195" t="str">
            <v>Y</v>
          </cell>
          <cell r="AS195" t="str">
            <v/>
          </cell>
          <cell r="AT195" t="str">
            <v>WM</v>
          </cell>
          <cell r="AU195" t="str">
            <v>Washing Machine</v>
          </cell>
          <cell r="AV195" t="str">
            <v>WMWL</v>
          </cell>
          <cell r="AW195" t="str">
            <v>Clothes Washer</v>
          </cell>
          <cell r="AX195" t="str">
            <v>WMWLFL</v>
          </cell>
          <cell r="AY195" t="str">
            <v>Clothes Washer_Front Loader</v>
          </cell>
          <cell r="AZ195" t="str">
            <v>WMWLFLSC</v>
          </cell>
          <cell r="BA195" t="str">
            <v>Clothes Washer_Drum(DD)_Steam_24</v>
          </cell>
        </row>
        <row r="196">
          <cell r="E196" t="str">
            <v>FV1410S4M1.AMBPEVN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800</v>
          </cell>
          <cell r="AF196">
            <v>0</v>
          </cell>
          <cell r="AG196" t="str">
            <v>WMPREMIUM</v>
          </cell>
          <cell r="AH196" t="str">
            <v>WM_Premium</v>
          </cell>
          <cell r="AI196" t="str">
            <v/>
          </cell>
          <cell r="AJ196" t="str">
            <v/>
          </cell>
          <cell r="AK196" t="str">
            <v>0.383328</v>
          </cell>
          <cell r="AL196" t="str">
            <v>2</v>
          </cell>
          <cell r="AM196" t="str">
            <v>F</v>
          </cell>
          <cell r="AN196" t="str">
            <v>M0</v>
          </cell>
          <cell r="AO196" t="str">
            <v>Active(Model)</v>
          </cell>
          <cell r="AP196" t="str">
            <v/>
          </cell>
          <cell r="AQ196" t="str">
            <v/>
          </cell>
          <cell r="AR196" t="str">
            <v>Y</v>
          </cell>
          <cell r="AS196" t="str">
            <v/>
          </cell>
          <cell r="AT196" t="str">
            <v>WM</v>
          </cell>
          <cell r="AU196" t="str">
            <v>Washing Machine</v>
          </cell>
          <cell r="AV196" t="str">
            <v>WMWL</v>
          </cell>
          <cell r="AW196" t="str">
            <v>Clothes Washer</v>
          </cell>
          <cell r="AX196" t="str">
            <v>WMWLFL</v>
          </cell>
          <cell r="AY196" t="str">
            <v>Clothes Washer_Front Loader</v>
          </cell>
          <cell r="AZ196" t="str">
            <v>WMWLFLSC</v>
          </cell>
          <cell r="BA196" t="str">
            <v>Clothes Washer_Drum(DD)_Steam_24</v>
          </cell>
        </row>
        <row r="197">
          <cell r="E197" t="str">
            <v>FV1410S4W1.ABWPEVN</v>
          </cell>
          <cell r="F197">
            <v>0</v>
          </cell>
          <cell r="G197">
            <v>0</v>
          </cell>
          <cell r="H197">
            <v>0</v>
          </cell>
          <cell r="I197">
            <v>1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1</v>
          </cell>
          <cell r="AG197" t="str">
            <v>WMPREMIUM</v>
          </cell>
          <cell r="AH197" t="str">
            <v>WM_Premium</v>
          </cell>
          <cell r="AI197" t="str">
            <v/>
          </cell>
          <cell r="AJ197" t="str">
            <v/>
          </cell>
          <cell r="AK197" t="str">
            <v>0.383328</v>
          </cell>
          <cell r="AL197" t="str">
            <v>2</v>
          </cell>
          <cell r="AM197" t="str">
            <v>F</v>
          </cell>
          <cell r="AN197" t="str">
            <v>M0</v>
          </cell>
          <cell r="AO197" t="str">
            <v>Active(Model)</v>
          </cell>
          <cell r="AP197" t="str">
            <v/>
          </cell>
          <cell r="AQ197" t="str">
            <v/>
          </cell>
          <cell r="AR197" t="str">
            <v>Y</v>
          </cell>
          <cell r="AS197" t="str">
            <v/>
          </cell>
          <cell r="AT197" t="str">
            <v>WM</v>
          </cell>
          <cell r="AU197" t="str">
            <v>Washing Machine</v>
          </cell>
          <cell r="AV197" t="str">
            <v>WMWL</v>
          </cell>
          <cell r="AW197" t="str">
            <v>Clothes Washer</v>
          </cell>
          <cell r="AX197" t="str">
            <v>WMWLFL</v>
          </cell>
          <cell r="AY197" t="str">
            <v>Clothes Washer_Front Loader</v>
          </cell>
          <cell r="AZ197" t="str">
            <v>WMWLFLSC</v>
          </cell>
          <cell r="BA197" t="str">
            <v>Clothes Washer_Drum(DD)_Steam_24</v>
          </cell>
        </row>
        <row r="198">
          <cell r="E198" t="str">
            <v>FV1411S5WN.ABWPEIN</v>
          </cell>
          <cell r="F198">
            <v>2</v>
          </cell>
          <cell r="G198">
            <v>0</v>
          </cell>
          <cell r="H198">
            <v>0</v>
          </cell>
          <cell r="I198">
            <v>2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93</v>
          </cell>
          <cell r="O198">
            <v>0</v>
          </cell>
          <cell r="P198">
            <v>93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 t="str">
            <v/>
          </cell>
          <cell r="AH198" t="str">
            <v/>
          </cell>
          <cell r="AI198" t="str">
            <v/>
          </cell>
          <cell r="AJ198" t="str">
            <v/>
          </cell>
          <cell r="AK198" t="str">
            <v>0.288150</v>
          </cell>
          <cell r="AL198" t="str">
            <v>1</v>
          </cell>
          <cell r="AM198" t="str">
            <v>F</v>
          </cell>
          <cell r="AN198" t="str">
            <v>M0</v>
          </cell>
          <cell r="AO198" t="str">
            <v>Active(Model)</v>
          </cell>
          <cell r="AP198" t="str">
            <v/>
          </cell>
          <cell r="AQ198" t="str">
            <v/>
          </cell>
          <cell r="AR198" t="str">
            <v>Y</v>
          </cell>
          <cell r="AS198" t="str">
            <v/>
          </cell>
          <cell r="AT198" t="str">
            <v>WM</v>
          </cell>
          <cell r="AU198" t="str">
            <v>Washing Machine</v>
          </cell>
          <cell r="AV198" t="str">
            <v>WMWL</v>
          </cell>
          <cell r="AW198" t="str">
            <v>Clothes Washer</v>
          </cell>
          <cell r="AX198" t="str">
            <v>WMWLFL</v>
          </cell>
          <cell r="AY198" t="str">
            <v>Clothes Washer_Front Loader</v>
          </cell>
          <cell r="AZ198" t="str">
            <v>WMWLFLSC</v>
          </cell>
          <cell r="BA198" t="str">
            <v>Clothes Washer_Drum(DD)_Steam_24</v>
          </cell>
        </row>
        <row r="199">
          <cell r="E199" t="str">
            <v>FV1412S3B.ABLGGSC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81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str">
            <v/>
          </cell>
          <cell r="AH199" t="str">
            <v/>
          </cell>
          <cell r="AI199" t="str">
            <v/>
          </cell>
          <cell r="AJ199" t="str">
            <v/>
          </cell>
          <cell r="AK199" t="str">
            <v>0.387684</v>
          </cell>
          <cell r="AL199" t="str">
            <v>1</v>
          </cell>
          <cell r="AM199" t="str">
            <v>F</v>
          </cell>
          <cell r="AN199" t="str">
            <v>M0</v>
          </cell>
          <cell r="AO199" t="str">
            <v>Active(Model)</v>
          </cell>
          <cell r="AP199" t="str">
            <v/>
          </cell>
          <cell r="AQ199" t="str">
            <v/>
          </cell>
          <cell r="AR199" t="str">
            <v>Y</v>
          </cell>
          <cell r="AS199" t="str">
            <v/>
          </cell>
          <cell r="AT199" t="str">
            <v>WM</v>
          </cell>
          <cell r="AU199" t="str">
            <v>Washing Machine</v>
          </cell>
          <cell r="AV199" t="str">
            <v>WMWL</v>
          </cell>
          <cell r="AW199" t="str">
            <v>Clothes Washer</v>
          </cell>
          <cell r="AX199" t="str">
            <v>WMWLFL</v>
          </cell>
          <cell r="AY199" t="str">
            <v>Clothes Washer_Front Loader</v>
          </cell>
          <cell r="AZ199" t="str">
            <v>WMWLFLSC</v>
          </cell>
          <cell r="BA199" t="str">
            <v>Clothes Washer_Drum(DD)_Steam_24</v>
          </cell>
        </row>
        <row r="200">
          <cell r="E200" t="str">
            <v>FV1412S3B.ABLPEVN</v>
          </cell>
          <cell r="F200">
            <v>0</v>
          </cell>
          <cell r="G200">
            <v>0</v>
          </cell>
          <cell r="H200">
            <v>0</v>
          </cell>
          <cell r="I200">
            <v>5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5</v>
          </cell>
          <cell r="AE200">
            <v>161</v>
          </cell>
          <cell r="AF200">
            <v>5</v>
          </cell>
          <cell r="AG200" t="str">
            <v>WMPREMIUM</v>
          </cell>
          <cell r="AH200" t="str">
            <v>WM_Premium</v>
          </cell>
          <cell r="AI200" t="str">
            <v/>
          </cell>
          <cell r="AJ200" t="str">
            <v/>
          </cell>
          <cell r="AK200" t="str">
            <v>0.383328</v>
          </cell>
          <cell r="AL200" t="str">
            <v>2</v>
          </cell>
          <cell r="AM200" t="str">
            <v>F</v>
          </cell>
          <cell r="AN200" t="str">
            <v>M0</v>
          </cell>
          <cell r="AO200" t="str">
            <v>Active(Model)</v>
          </cell>
          <cell r="AP200" t="str">
            <v/>
          </cell>
          <cell r="AQ200" t="str">
            <v/>
          </cell>
          <cell r="AR200" t="str">
            <v>Y</v>
          </cell>
          <cell r="AS200" t="str">
            <v/>
          </cell>
          <cell r="AT200" t="str">
            <v>WM</v>
          </cell>
          <cell r="AU200" t="str">
            <v>Washing Machine</v>
          </cell>
          <cell r="AV200" t="str">
            <v>WMWL</v>
          </cell>
          <cell r="AW200" t="str">
            <v>Clothes Washer</v>
          </cell>
          <cell r="AX200" t="str">
            <v>WMWLFL</v>
          </cell>
          <cell r="AY200" t="str">
            <v>Clothes Washer_Front Loader</v>
          </cell>
          <cell r="AZ200" t="str">
            <v>WMWLFLSC</v>
          </cell>
          <cell r="BA200" t="str">
            <v>Clothes Washer_Drum(DD)_Steam_24</v>
          </cell>
        </row>
        <row r="201">
          <cell r="E201" t="str">
            <v>FX1409S5G.AEGQESL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42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 t="str">
            <v/>
          </cell>
          <cell r="AH201" t="str">
            <v/>
          </cell>
          <cell r="AI201" t="str">
            <v/>
          </cell>
          <cell r="AJ201" t="str">
            <v/>
          </cell>
          <cell r="AK201" t="str">
            <v>0.383328</v>
          </cell>
          <cell r="AL201" t="str">
            <v>1</v>
          </cell>
          <cell r="AM201" t="str">
            <v>F</v>
          </cell>
          <cell r="AN201" t="str">
            <v>M0</v>
          </cell>
          <cell r="AO201" t="str">
            <v>Active(Model)</v>
          </cell>
          <cell r="AP201" t="str">
            <v/>
          </cell>
          <cell r="AQ201" t="str">
            <v/>
          </cell>
          <cell r="AR201" t="str">
            <v>Y</v>
          </cell>
          <cell r="AS201" t="str">
            <v/>
          </cell>
          <cell r="AT201" t="str">
            <v>WM</v>
          </cell>
          <cell r="AU201" t="str">
            <v>Washing Machine</v>
          </cell>
          <cell r="AV201" t="str">
            <v>WMWL</v>
          </cell>
          <cell r="AW201" t="str">
            <v>Clothes Washer</v>
          </cell>
          <cell r="AX201" t="str">
            <v>WMWLFL</v>
          </cell>
          <cell r="AY201" t="str">
            <v>Clothes Washer_Front Loader</v>
          </cell>
          <cell r="AZ201" t="str">
            <v>WMWLFLSC</v>
          </cell>
          <cell r="BA201" t="str">
            <v>Clothes Washer_Drum(DD)_Steam_24</v>
          </cell>
        </row>
        <row r="202">
          <cell r="E202" t="str">
            <v>FX1410N5G.AEGPEVN</v>
          </cell>
          <cell r="F202">
            <v>0</v>
          </cell>
          <cell r="G202">
            <v>0</v>
          </cell>
          <cell r="H202">
            <v>0</v>
          </cell>
          <cell r="I202">
            <v>45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45</v>
          </cell>
          <cell r="AE202">
            <v>495</v>
          </cell>
          <cell r="AF202">
            <v>45</v>
          </cell>
          <cell r="AG202" t="str">
            <v>WMPREMIUM</v>
          </cell>
          <cell r="AH202" t="str">
            <v>WM_Premium</v>
          </cell>
          <cell r="AI202" t="str">
            <v/>
          </cell>
          <cell r="AJ202" t="str">
            <v/>
          </cell>
          <cell r="AK202" t="str">
            <v>0.383328</v>
          </cell>
          <cell r="AL202" t="str">
            <v>2</v>
          </cell>
          <cell r="AM202" t="str">
            <v>F</v>
          </cell>
          <cell r="AN202" t="str">
            <v>M0</v>
          </cell>
          <cell r="AO202" t="str">
            <v>Active(Model)</v>
          </cell>
          <cell r="AP202" t="str">
            <v/>
          </cell>
          <cell r="AQ202" t="str">
            <v/>
          </cell>
          <cell r="AR202" t="str">
            <v>Y</v>
          </cell>
          <cell r="AS202" t="str">
            <v/>
          </cell>
          <cell r="AT202" t="str">
            <v>WM</v>
          </cell>
          <cell r="AU202" t="str">
            <v>Washing Machine</v>
          </cell>
          <cell r="AV202" t="str">
            <v>WMWL</v>
          </cell>
          <cell r="AW202" t="str">
            <v>Clothes Washer</v>
          </cell>
          <cell r="AX202" t="str">
            <v>WMWLFL</v>
          </cell>
          <cell r="AY202" t="str">
            <v>Clothes Washer_Front Loader</v>
          </cell>
          <cell r="AZ202" t="str">
            <v>WMWLFLSC</v>
          </cell>
          <cell r="BA202" t="str">
            <v>Clothes Washer_Drum(DD)_Steam_24</v>
          </cell>
        </row>
        <row r="203">
          <cell r="E203" t="str">
            <v>FX1410N5W.AGWPEVN</v>
          </cell>
          <cell r="F203">
            <v>0</v>
          </cell>
          <cell r="G203">
            <v>0</v>
          </cell>
          <cell r="H203">
            <v>0</v>
          </cell>
          <cell r="I203">
            <v>19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19</v>
          </cell>
          <cell r="AE203">
            <v>171</v>
          </cell>
          <cell r="AF203">
            <v>19</v>
          </cell>
          <cell r="AG203" t="str">
            <v>WMPREMIUM</v>
          </cell>
          <cell r="AH203" t="str">
            <v>WM_Premium</v>
          </cell>
          <cell r="AI203" t="str">
            <v/>
          </cell>
          <cell r="AJ203" t="str">
            <v/>
          </cell>
          <cell r="AK203" t="str">
            <v>0.383328</v>
          </cell>
          <cell r="AL203" t="str">
            <v>2</v>
          </cell>
          <cell r="AM203" t="str">
            <v>F</v>
          </cell>
          <cell r="AN203" t="str">
            <v>M0</v>
          </cell>
          <cell r="AO203" t="str">
            <v>Active(Model)</v>
          </cell>
          <cell r="AP203" t="str">
            <v/>
          </cell>
          <cell r="AQ203" t="str">
            <v/>
          </cell>
          <cell r="AR203" t="str">
            <v>Y</v>
          </cell>
          <cell r="AS203" t="str">
            <v/>
          </cell>
          <cell r="AT203" t="str">
            <v>WM</v>
          </cell>
          <cell r="AU203" t="str">
            <v>Washing Machine</v>
          </cell>
          <cell r="AV203" t="str">
            <v>WMWL</v>
          </cell>
          <cell r="AW203" t="str">
            <v>Clothes Washer</v>
          </cell>
          <cell r="AX203" t="str">
            <v>WMWLFL</v>
          </cell>
          <cell r="AY203" t="str">
            <v>Clothes Washer_Front Loader</v>
          </cell>
          <cell r="AZ203" t="str">
            <v>WMWLFLSC</v>
          </cell>
          <cell r="BA203" t="str">
            <v>Clothes Washer_Drum(DD)_Steam_24</v>
          </cell>
        </row>
        <row r="204">
          <cell r="E204" t="str">
            <v>FX1410S3GA.AEGQESL</v>
          </cell>
          <cell r="F204">
            <v>32</v>
          </cell>
          <cell r="G204">
            <v>0</v>
          </cell>
          <cell r="H204">
            <v>0</v>
          </cell>
          <cell r="I204">
            <v>32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 t="str">
            <v/>
          </cell>
          <cell r="AH204" t="str">
            <v/>
          </cell>
          <cell r="AI204" t="str">
            <v/>
          </cell>
          <cell r="AJ204" t="str">
            <v/>
          </cell>
          <cell r="AK204" t="str">
            <v>0.383328</v>
          </cell>
          <cell r="AL204" t="str">
            <v>1</v>
          </cell>
          <cell r="AM204" t="str">
            <v>F</v>
          </cell>
          <cell r="AN204" t="str">
            <v>M0</v>
          </cell>
          <cell r="AO204" t="str">
            <v>Active(Model)</v>
          </cell>
          <cell r="AP204" t="str">
            <v/>
          </cell>
          <cell r="AQ204" t="str">
            <v/>
          </cell>
          <cell r="AR204" t="str">
            <v>Y</v>
          </cell>
          <cell r="AS204" t="str">
            <v/>
          </cell>
          <cell r="AT204" t="str">
            <v>WM</v>
          </cell>
          <cell r="AU204" t="str">
            <v>Washing Machine</v>
          </cell>
          <cell r="AV204" t="str">
            <v>WMWL</v>
          </cell>
          <cell r="AW204" t="str">
            <v>Clothes Washer</v>
          </cell>
          <cell r="AX204" t="str">
            <v>WMWLFL</v>
          </cell>
          <cell r="AY204" t="str">
            <v>Clothes Washer_Front Loader</v>
          </cell>
          <cell r="AZ204" t="str">
            <v>WMWLFLSC</v>
          </cell>
          <cell r="BA204" t="str">
            <v>Clothes Washer_Drum(DD)_Steam_24</v>
          </cell>
        </row>
        <row r="205">
          <cell r="E205" t="str">
            <v>FX1410S3WA.AGWQESL</v>
          </cell>
          <cell r="F205">
            <v>46</v>
          </cell>
          <cell r="G205">
            <v>0</v>
          </cell>
          <cell r="H205">
            <v>0</v>
          </cell>
          <cell r="I205">
            <v>46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 t="str">
            <v/>
          </cell>
          <cell r="AH205" t="str">
            <v/>
          </cell>
          <cell r="AI205" t="str">
            <v/>
          </cell>
          <cell r="AJ205" t="str">
            <v/>
          </cell>
          <cell r="AK205" t="str">
            <v>0.383328</v>
          </cell>
          <cell r="AL205" t="str">
            <v>1</v>
          </cell>
          <cell r="AM205" t="str">
            <v>F</v>
          </cell>
          <cell r="AN205" t="str">
            <v>M0</v>
          </cell>
          <cell r="AO205" t="str">
            <v>Active(Model)</v>
          </cell>
          <cell r="AP205" t="str">
            <v/>
          </cell>
          <cell r="AQ205" t="str">
            <v/>
          </cell>
          <cell r="AR205" t="str">
            <v>Y</v>
          </cell>
          <cell r="AS205" t="str">
            <v/>
          </cell>
          <cell r="AT205" t="str">
            <v>WM</v>
          </cell>
          <cell r="AU205" t="str">
            <v>Washing Machine</v>
          </cell>
          <cell r="AV205" t="str">
            <v>WMWL</v>
          </cell>
          <cell r="AW205" t="str">
            <v>Clothes Washer</v>
          </cell>
          <cell r="AX205" t="str">
            <v>WMWLFL</v>
          </cell>
          <cell r="AY205" t="str">
            <v>Clothes Washer_Front Loader</v>
          </cell>
          <cell r="AZ205" t="str">
            <v>WMWLFLSC</v>
          </cell>
          <cell r="BA205" t="str">
            <v>Clothes Washer_Drum(DD)_Steam_24</v>
          </cell>
        </row>
        <row r="206">
          <cell r="E206" t="str">
            <v>FX1410S5G.AEGGGSC</v>
          </cell>
          <cell r="F206">
            <v>4</v>
          </cell>
          <cell r="G206">
            <v>0</v>
          </cell>
          <cell r="H206">
            <v>0</v>
          </cell>
          <cell r="I206">
            <v>4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76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str">
            <v/>
          </cell>
          <cell r="AH206" t="str">
            <v/>
          </cell>
          <cell r="AI206" t="str">
            <v/>
          </cell>
          <cell r="AJ206" t="str">
            <v/>
          </cell>
          <cell r="AK206" t="str">
            <v>0.383328</v>
          </cell>
          <cell r="AL206" t="str">
            <v>1</v>
          </cell>
          <cell r="AM206" t="str">
            <v>F</v>
          </cell>
          <cell r="AN206" t="str">
            <v>M0</v>
          </cell>
          <cell r="AO206" t="str">
            <v>Active(Model)</v>
          </cell>
          <cell r="AP206" t="str">
            <v/>
          </cell>
          <cell r="AQ206" t="str">
            <v/>
          </cell>
          <cell r="AR206" t="str">
            <v>Y</v>
          </cell>
          <cell r="AS206" t="str">
            <v/>
          </cell>
          <cell r="AT206" t="str">
            <v>WM</v>
          </cell>
          <cell r="AU206" t="str">
            <v>Washing Machine</v>
          </cell>
          <cell r="AV206" t="str">
            <v>WMWL</v>
          </cell>
          <cell r="AW206" t="str">
            <v>Clothes Washer</v>
          </cell>
          <cell r="AX206" t="str">
            <v>WMWLFL</v>
          </cell>
          <cell r="AY206" t="str">
            <v>Clothes Washer_Front Loader</v>
          </cell>
          <cell r="AZ206" t="str">
            <v>WMWLFLSC</v>
          </cell>
          <cell r="BA206" t="str">
            <v>Clothes Washer_Drum(DD)_Steam_24</v>
          </cell>
        </row>
        <row r="207">
          <cell r="E207" t="str">
            <v>FX1410S5G.AEGQESL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34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 t="str">
            <v/>
          </cell>
          <cell r="AH207" t="str">
            <v/>
          </cell>
          <cell r="AI207" t="str">
            <v/>
          </cell>
          <cell r="AJ207" t="str">
            <v/>
          </cell>
          <cell r="AK207" t="str">
            <v>0.383328</v>
          </cell>
          <cell r="AL207" t="str">
            <v>1</v>
          </cell>
          <cell r="AM207" t="str">
            <v>F</v>
          </cell>
          <cell r="AN207" t="str">
            <v>M0</v>
          </cell>
          <cell r="AO207" t="str">
            <v>Active(Model)</v>
          </cell>
          <cell r="AP207" t="str">
            <v/>
          </cell>
          <cell r="AQ207" t="str">
            <v/>
          </cell>
          <cell r="AR207" t="str">
            <v>Y</v>
          </cell>
          <cell r="AS207" t="str">
            <v/>
          </cell>
          <cell r="AT207" t="str">
            <v>WM</v>
          </cell>
          <cell r="AU207" t="str">
            <v>Washing Machine</v>
          </cell>
          <cell r="AV207" t="str">
            <v>WMWL</v>
          </cell>
          <cell r="AW207" t="str">
            <v>Clothes Washer</v>
          </cell>
          <cell r="AX207" t="str">
            <v>WMWLFL</v>
          </cell>
          <cell r="AY207" t="str">
            <v>Clothes Washer_Front Loader</v>
          </cell>
          <cell r="AZ207" t="str">
            <v>WMWLFLSC</v>
          </cell>
          <cell r="BA207" t="str">
            <v>Clothes Washer_Drum(DD)_Steam_24</v>
          </cell>
        </row>
        <row r="208">
          <cell r="E208" t="str">
            <v>FX1411D5G.AEGPEVN</v>
          </cell>
          <cell r="F208">
            <v>0</v>
          </cell>
          <cell r="G208">
            <v>0</v>
          </cell>
          <cell r="H208">
            <v>0</v>
          </cell>
          <cell r="I208">
            <v>113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113</v>
          </cell>
          <cell r="AE208">
            <v>286</v>
          </cell>
          <cell r="AF208">
            <v>113</v>
          </cell>
          <cell r="AG208" t="str">
            <v>WMPREMIUM</v>
          </cell>
          <cell r="AH208" t="str">
            <v>WM_Premium</v>
          </cell>
          <cell r="AI208" t="str">
            <v/>
          </cell>
          <cell r="AJ208" t="str">
            <v/>
          </cell>
          <cell r="AK208" t="str">
            <v>0.383328</v>
          </cell>
          <cell r="AL208" t="str">
            <v>2</v>
          </cell>
          <cell r="AM208" t="str">
            <v>F</v>
          </cell>
          <cell r="AN208" t="str">
            <v>M0</v>
          </cell>
          <cell r="AO208" t="str">
            <v>Active(Model)</v>
          </cell>
          <cell r="AP208" t="str">
            <v/>
          </cell>
          <cell r="AQ208" t="str">
            <v/>
          </cell>
          <cell r="AR208" t="str">
            <v>Y</v>
          </cell>
          <cell r="AS208" t="str">
            <v/>
          </cell>
          <cell r="AT208" t="str">
            <v>WM</v>
          </cell>
          <cell r="AU208" t="str">
            <v>Washing Machine</v>
          </cell>
          <cell r="AV208" t="str">
            <v>WMWL</v>
          </cell>
          <cell r="AW208" t="str">
            <v>Clothes Washer</v>
          </cell>
          <cell r="AX208" t="str">
            <v>WMWLFL</v>
          </cell>
          <cell r="AY208" t="str">
            <v>Clothes Washer_Front Loader</v>
          </cell>
          <cell r="AZ208" t="str">
            <v>WMWLFLSC</v>
          </cell>
          <cell r="BA208" t="str">
            <v>Clothes Washer_Drum(DD)_Steam_24</v>
          </cell>
        </row>
        <row r="209">
          <cell r="E209" t="str">
            <v>FX1411N5G.AEGPEVN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169</v>
          </cell>
          <cell r="AF209">
            <v>0</v>
          </cell>
          <cell r="AG209" t="str">
            <v>WMPREMIUM</v>
          </cell>
          <cell r="AH209" t="str">
            <v>WM_Premium</v>
          </cell>
          <cell r="AI209" t="str">
            <v/>
          </cell>
          <cell r="AJ209" t="str">
            <v/>
          </cell>
          <cell r="AK209" t="str">
            <v>0.383328</v>
          </cell>
          <cell r="AL209" t="str">
            <v>2</v>
          </cell>
          <cell r="AM209" t="str">
            <v>F</v>
          </cell>
          <cell r="AN209" t="str">
            <v>M0</v>
          </cell>
          <cell r="AO209" t="str">
            <v>Active(Model)</v>
          </cell>
          <cell r="AP209" t="str">
            <v/>
          </cell>
          <cell r="AQ209" t="str">
            <v/>
          </cell>
          <cell r="AR209" t="str">
            <v>Y</v>
          </cell>
          <cell r="AS209" t="str">
            <v/>
          </cell>
          <cell r="AT209" t="str">
            <v>WM</v>
          </cell>
          <cell r="AU209" t="str">
            <v>Washing Machine</v>
          </cell>
          <cell r="AV209" t="str">
            <v>WMWL</v>
          </cell>
          <cell r="AW209" t="str">
            <v>Clothes Washer</v>
          </cell>
          <cell r="AX209" t="str">
            <v>WMWLFL</v>
          </cell>
          <cell r="AY209" t="str">
            <v>Clothes Washer_Front Loader</v>
          </cell>
          <cell r="AZ209" t="str">
            <v>WMWLFLSC</v>
          </cell>
          <cell r="BA209" t="str">
            <v>Clothes Washer_Drum(DD)_Steam_24</v>
          </cell>
        </row>
        <row r="210">
          <cell r="E210" t="str">
            <v>FX1411N5W.AGWPEVN</v>
          </cell>
          <cell r="F210">
            <v>0</v>
          </cell>
          <cell r="G210">
            <v>0</v>
          </cell>
          <cell r="H210">
            <v>0</v>
          </cell>
          <cell r="I210">
            <v>58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9</v>
          </cell>
          <cell r="AD210">
            <v>49</v>
          </cell>
          <cell r="AE210">
            <v>201</v>
          </cell>
          <cell r="AF210">
            <v>58</v>
          </cell>
          <cell r="AG210" t="str">
            <v>WMPREMIUM</v>
          </cell>
          <cell r="AH210" t="str">
            <v>WM_Premium</v>
          </cell>
          <cell r="AI210" t="str">
            <v/>
          </cell>
          <cell r="AJ210" t="str">
            <v/>
          </cell>
          <cell r="AK210" t="str">
            <v>0.383328</v>
          </cell>
          <cell r="AL210" t="str">
            <v>2</v>
          </cell>
          <cell r="AM210" t="str">
            <v>F</v>
          </cell>
          <cell r="AN210" t="str">
            <v>M0</v>
          </cell>
          <cell r="AO210" t="str">
            <v>Active(Model)</v>
          </cell>
          <cell r="AP210" t="str">
            <v/>
          </cell>
          <cell r="AQ210" t="str">
            <v/>
          </cell>
          <cell r="AR210" t="str">
            <v>Y</v>
          </cell>
          <cell r="AS210" t="str">
            <v/>
          </cell>
          <cell r="AT210" t="str">
            <v>WM</v>
          </cell>
          <cell r="AU210" t="str">
            <v>Washing Machine</v>
          </cell>
          <cell r="AV210" t="str">
            <v>WMWL</v>
          </cell>
          <cell r="AW210" t="str">
            <v>Clothes Washer</v>
          </cell>
          <cell r="AX210" t="str">
            <v>WMWLFL</v>
          </cell>
          <cell r="AY210" t="str">
            <v>Clothes Washer_Front Loader</v>
          </cell>
          <cell r="AZ210" t="str">
            <v>WMWLFLSC</v>
          </cell>
          <cell r="BA210" t="str">
            <v>Clothes Washer_Drum(DD)_Steam_24</v>
          </cell>
        </row>
        <row r="211">
          <cell r="E211" t="str">
            <v>FX1411R5W.AGWREML</v>
          </cell>
          <cell r="F211">
            <v>160</v>
          </cell>
          <cell r="G211">
            <v>0</v>
          </cell>
          <cell r="H211">
            <v>0</v>
          </cell>
          <cell r="I211">
            <v>160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>0.383328</v>
          </cell>
          <cell r="AL211" t="str">
            <v>1</v>
          </cell>
          <cell r="AM211" t="str">
            <v>F</v>
          </cell>
          <cell r="AN211" t="str">
            <v>M0</v>
          </cell>
          <cell r="AO211" t="str">
            <v>Active(Model)</v>
          </cell>
          <cell r="AP211" t="str">
            <v/>
          </cell>
          <cell r="AQ211" t="str">
            <v/>
          </cell>
          <cell r="AR211" t="str">
            <v>Y</v>
          </cell>
          <cell r="AS211" t="str">
            <v/>
          </cell>
          <cell r="AT211" t="str">
            <v>WM</v>
          </cell>
          <cell r="AU211" t="str">
            <v>Washing Machine</v>
          </cell>
          <cell r="AV211" t="str">
            <v>WMWL</v>
          </cell>
          <cell r="AW211" t="str">
            <v>Clothes Washer</v>
          </cell>
          <cell r="AX211" t="str">
            <v>WMWLFL</v>
          </cell>
          <cell r="AY211" t="str">
            <v>Clothes Washer_Front Loader</v>
          </cell>
          <cell r="AZ211" t="str">
            <v>WMWLFLSC</v>
          </cell>
          <cell r="BA211" t="str">
            <v>Clothes Washer_Drum(DD)_Steam_24</v>
          </cell>
        </row>
        <row r="212">
          <cell r="E212" t="str">
            <v>FX1411R5WR.AGWREML</v>
          </cell>
          <cell r="F212">
            <v>161</v>
          </cell>
          <cell r="G212">
            <v>0</v>
          </cell>
          <cell r="H212">
            <v>0</v>
          </cell>
          <cell r="I212">
            <v>161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>0.383328</v>
          </cell>
          <cell r="AL212" t="str">
            <v>1</v>
          </cell>
          <cell r="AM212" t="str">
            <v>F</v>
          </cell>
          <cell r="AN212" t="str">
            <v>M0</v>
          </cell>
          <cell r="AO212" t="str">
            <v>Active(Model)</v>
          </cell>
          <cell r="AP212" t="str">
            <v/>
          </cell>
          <cell r="AQ212" t="str">
            <v/>
          </cell>
          <cell r="AR212" t="str">
            <v>Y</v>
          </cell>
          <cell r="AS212" t="str">
            <v/>
          </cell>
          <cell r="AT212" t="str">
            <v>WM</v>
          </cell>
          <cell r="AU212" t="str">
            <v>Washing Machine</v>
          </cell>
          <cell r="AV212" t="str">
            <v>WMWL</v>
          </cell>
          <cell r="AW212" t="str">
            <v>Clothes Washer</v>
          </cell>
          <cell r="AX212" t="str">
            <v>WMWLFL</v>
          </cell>
          <cell r="AY212" t="str">
            <v>Clothes Washer_Front Loader</v>
          </cell>
          <cell r="AZ212" t="str">
            <v>WMWLFLSC</v>
          </cell>
          <cell r="BA212" t="str">
            <v>Clothes Washer_Drum(DD)_Steam_24</v>
          </cell>
        </row>
        <row r="213">
          <cell r="E213" t="str">
            <v>FX1411S3WA.AGWQESL</v>
          </cell>
          <cell r="F213">
            <v>39</v>
          </cell>
          <cell r="G213">
            <v>0</v>
          </cell>
          <cell r="H213">
            <v>0</v>
          </cell>
          <cell r="I213">
            <v>39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>0.383328</v>
          </cell>
          <cell r="AL213" t="str">
            <v>1</v>
          </cell>
          <cell r="AM213" t="str">
            <v>F</v>
          </cell>
          <cell r="AN213" t="str">
            <v>M0</v>
          </cell>
          <cell r="AO213" t="str">
            <v>Active(Model)</v>
          </cell>
          <cell r="AP213" t="str">
            <v/>
          </cell>
          <cell r="AQ213" t="str">
            <v/>
          </cell>
          <cell r="AR213" t="str">
            <v>Y</v>
          </cell>
          <cell r="AS213" t="str">
            <v/>
          </cell>
          <cell r="AT213" t="str">
            <v>WM</v>
          </cell>
          <cell r="AU213" t="str">
            <v>Washing Machine</v>
          </cell>
          <cell r="AV213" t="str">
            <v>WMWL</v>
          </cell>
          <cell r="AW213" t="str">
            <v>Clothes Washer</v>
          </cell>
          <cell r="AX213" t="str">
            <v>WMWLFL</v>
          </cell>
          <cell r="AY213" t="str">
            <v>Clothes Washer_Front Loader</v>
          </cell>
          <cell r="AZ213" t="str">
            <v>WMWLFLSC</v>
          </cell>
          <cell r="BA213" t="str">
            <v>Clothes Washer_Drum(DD)_Steam_24</v>
          </cell>
        </row>
        <row r="214">
          <cell r="E214" t="str">
            <v>FX1411S5W.AGWPETH</v>
          </cell>
          <cell r="F214">
            <v>63</v>
          </cell>
          <cell r="G214">
            <v>0</v>
          </cell>
          <cell r="H214">
            <v>0</v>
          </cell>
          <cell r="I214">
            <v>63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>0.383328</v>
          </cell>
          <cell r="AL214" t="str">
            <v>1</v>
          </cell>
          <cell r="AM214" t="str">
            <v>F</v>
          </cell>
          <cell r="AN214" t="str">
            <v>M0</v>
          </cell>
          <cell r="AO214" t="str">
            <v>Active(Model)</v>
          </cell>
          <cell r="AP214" t="str">
            <v/>
          </cell>
          <cell r="AQ214" t="str">
            <v/>
          </cell>
          <cell r="AR214" t="str">
            <v>Y</v>
          </cell>
          <cell r="AS214" t="str">
            <v/>
          </cell>
          <cell r="AT214" t="str">
            <v>WM</v>
          </cell>
          <cell r="AU214" t="str">
            <v>Washing Machine</v>
          </cell>
          <cell r="AV214" t="str">
            <v>WMWL</v>
          </cell>
          <cell r="AW214" t="str">
            <v>Clothes Washer</v>
          </cell>
          <cell r="AX214" t="str">
            <v>WMWLFL</v>
          </cell>
          <cell r="AY214" t="str">
            <v>Clothes Washer_Front Loader</v>
          </cell>
          <cell r="AZ214" t="str">
            <v>WMWLFLSC</v>
          </cell>
          <cell r="BA214" t="str">
            <v>Clothes Washer_Drum(DD)_Steam_24</v>
          </cell>
        </row>
        <row r="215">
          <cell r="E215" t="str">
            <v>FX1412D5G.AEGPEVN</v>
          </cell>
          <cell r="F215">
            <v>0</v>
          </cell>
          <cell r="G215">
            <v>0</v>
          </cell>
          <cell r="H215">
            <v>1</v>
          </cell>
          <cell r="I215">
            <v>2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1</v>
          </cell>
          <cell r="AE215">
            <v>98</v>
          </cell>
          <cell r="AF215">
            <v>1</v>
          </cell>
          <cell r="AG215" t="str">
            <v>WMPREMIUM</v>
          </cell>
          <cell r="AH215" t="str">
            <v>WM_Premium</v>
          </cell>
          <cell r="AI215" t="str">
            <v/>
          </cell>
          <cell r="AJ215" t="str">
            <v/>
          </cell>
          <cell r="AK215" t="str">
            <v>0.383328</v>
          </cell>
          <cell r="AL215" t="str">
            <v>2</v>
          </cell>
          <cell r="AM215" t="str">
            <v>F</v>
          </cell>
          <cell r="AN215" t="str">
            <v>M0</v>
          </cell>
          <cell r="AO215" t="str">
            <v>Active(Model)</v>
          </cell>
          <cell r="AP215" t="str">
            <v/>
          </cell>
          <cell r="AQ215" t="str">
            <v/>
          </cell>
          <cell r="AR215" t="str">
            <v>Y</v>
          </cell>
          <cell r="AS215" t="str">
            <v/>
          </cell>
          <cell r="AT215" t="str">
            <v>WM</v>
          </cell>
          <cell r="AU215" t="str">
            <v>Washing Machine</v>
          </cell>
          <cell r="AV215" t="str">
            <v>WMWL</v>
          </cell>
          <cell r="AW215" t="str">
            <v>Clothes Washer</v>
          </cell>
          <cell r="AX215" t="str">
            <v>WMWLFL</v>
          </cell>
          <cell r="AY215" t="str">
            <v>Clothes Washer_Front Loader</v>
          </cell>
          <cell r="AZ215" t="str">
            <v>WMWLFLSC</v>
          </cell>
          <cell r="BA215" t="str">
            <v>Clothes Washer_Drum(DD)_Steam_24</v>
          </cell>
        </row>
        <row r="216">
          <cell r="E216" t="str">
            <v>FX1412N5G.AEGPEVN</v>
          </cell>
          <cell r="F216">
            <v>2</v>
          </cell>
          <cell r="G216">
            <v>0</v>
          </cell>
          <cell r="H216">
            <v>0</v>
          </cell>
          <cell r="I216">
            <v>2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1329</v>
          </cell>
          <cell r="AF216">
            <v>0</v>
          </cell>
          <cell r="AG216" t="str">
            <v>WMPREMIUM</v>
          </cell>
          <cell r="AH216" t="str">
            <v>WM_Premium</v>
          </cell>
          <cell r="AI216" t="str">
            <v/>
          </cell>
          <cell r="AJ216" t="str">
            <v/>
          </cell>
          <cell r="AK216" t="str">
            <v>0.383328</v>
          </cell>
          <cell r="AL216" t="str">
            <v>2</v>
          </cell>
          <cell r="AM216" t="str">
            <v>F</v>
          </cell>
          <cell r="AN216" t="str">
            <v>M0</v>
          </cell>
          <cell r="AO216" t="str">
            <v>Active(Model)</v>
          </cell>
          <cell r="AP216" t="str">
            <v/>
          </cell>
          <cell r="AQ216" t="str">
            <v/>
          </cell>
          <cell r="AR216" t="str">
            <v>Y</v>
          </cell>
          <cell r="AS216" t="str">
            <v/>
          </cell>
          <cell r="AT216" t="str">
            <v>WM</v>
          </cell>
          <cell r="AU216" t="str">
            <v>Washing Machine</v>
          </cell>
          <cell r="AV216" t="str">
            <v>WMWL</v>
          </cell>
          <cell r="AW216" t="str">
            <v>Clothes Washer</v>
          </cell>
          <cell r="AX216" t="str">
            <v>WMWLFL</v>
          </cell>
          <cell r="AY216" t="str">
            <v>Clothes Washer_Front Loader</v>
          </cell>
          <cell r="AZ216" t="str">
            <v>WMWLFLSC</v>
          </cell>
          <cell r="BA216" t="str">
            <v>Clothes Washer_Drum(DD)_Steam_24</v>
          </cell>
        </row>
        <row r="217">
          <cell r="E217" t="str">
            <v>FX1412N5S.AESPEVN</v>
          </cell>
          <cell r="F217">
            <v>1</v>
          </cell>
          <cell r="G217">
            <v>0</v>
          </cell>
          <cell r="H217">
            <v>0</v>
          </cell>
          <cell r="I217">
            <v>51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50</v>
          </cell>
          <cell r="AE217">
            <v>0</v>
          </cell>
          <cell r="AF217">
            <v>50</v>
          </cell>
          <cell r="AG217" t="str">
            <v>WMPREMIUM</v>
          </cell>
          <cell r="AH217" t="str">
            <v>WM_Premium</v>
          </cell>
          <cell r="AI217" t="str">
            <v/>
          </cell>
          <cell r="AJ217" t="str">
            <v/>
          </cell>
          <cell r="AK217" t="str">
            <v>0.383328</v>
          </cell>
          <cell r="AL217" t="str">
            <v>2</v>
          </cell>
          <cell r="AM217" t="str">
            <v>F</v>
          </cell>
          <cell r="AN217" t="str">
            <v>M0</v>
          </cell>
          <cell r="AO217" t="str">
            <v>Active(Model)</v>
          </cell>
          <cell r="AP217" t="str">
            <v/>
          </cell>
          <cell r="AQ217" t="str">
            <v/>
          </cell>
          <cell r="AR217" t="str">
            <v>Y</v>
          </cell>
          <cell r="AS217" t="str">
            <v/>
          </cell>
          <cell r="AT217" t="str">
            <v>WM</v>
          </cell>
          <cell r="AU217" t="str">
            <v>Washing Machine</v>
          </cell>
          <cell r="AV217" t="str">
            <v>WMWL</v>
          </cell>
          <cell r="AW217" t="str">
            <v>Clothes Washer</v>
          </cell>
          <cell r="AX217" t="str">
            <v>WMWLFL</v>
          </cell>
          <cell r="AY217" t="str">
            <v>Clothes Washer_Front Loader</v>
          </cell>
          <cell r="AZ217" t="str">
            <v>WMWLFLSC</v>
          </cell>
          <cell r="BA217" t="str">
            <v>Clothes Washer_Drum(DD)_Steam_24</v>
          </cell>
        </row>
        <row r="218">
          <cell r="E218" t="str">
            <v>FX1412R3KA.AEBPEVN</v>
          </cell>
          <cell r="F218">
            <v>0</v>
          </cell>
          <cell r="G218">
            <v>0</v>
          </cell>
          <cell r="H218">
            <v>0</v>
          </cell>
          <cell r="I218">
            <v>100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100</v>
          </cell>
          <cell r="AE218">
            <v>0</v>
          </cell>
          <cell r="AF218">
            <v>100</v>
          </cell>
          <cell r="AG218" t="str">
            <v>WMPREMIUM</v>
          </cell>
          <cell r="AH218" t="str">
            <v>WM_Premium</v>
          </cell>
          <cell r="AI218" t="str">
            <v/>
          </cell>
          <cell r="AJ218" t="str">
            <v/>
          </cell>
          <cell r="AK218" t="str">
            <v>0.387684</v>
          </cell>
          <cell r="AL218" t="str">
            <v>2</v>
          </cell>
          <cell r="AM218" t="str">
            <v>F</v>
          </cell>
          <cell r="AN218" t="str">
            <v>M0</v>
          </cell>
          <cell r="AO218" t="str">
            <v>Active(Model)</v>
          </cell>
          <cell r="AP218" t="str">
            <v/>
          </cell>
          <cell r="AQ218" t="str">
            <v/>
          </cell>
          <cell r="AR218" t="str">
            <v>Y</v>
          </cell>
          <cell r="AS218" t="str">
            <v/>
          </cell>
          <cell r="AT218" t="str">
            <v>WM</v>
          </cell>
          <cell r="AU218" t="str">
            <v>Washing Machine</v>
          </cell>
          <cell r="AV218" t="str">
            <v>WMWL</v>
          </cell>
          <cell r="AW218" t="str">
            <v>Clothes Washer</v>
          </cell>
          <cell r="AX218" t="str">
            <v>WMWLFL</v>
          </cell>
          <cell r="AY218" t="str">
            <v>Clothes Washer_Front Loader</v>
          </cell>
          <cell r="AZ218" t="str">
            <v>WMWLFLSC</v>
          </cell>
          <cell r="BA218" t="str">
            <v>Clothes Washer_Drum(DD)_Steam_24</v>
          </cell>
        </row>
        <row r="219">
          <cell r="E219" t="str">
            <v>FX1412S3K.AEBPVVN</v>
          </cell>
          <cell r="F219">
            <v>0</v>
          </cell>
          <cell r="G219">
            <v>0</v>
          </cell>
          <cell r="H219">
            <v>0</v>
          </cell>
          <cell r="I219">
            <v>59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59</v>
          </cell>
          <cell r="AE219">
            <v>0</v>
          </cell>
          <cell r="AF219">
            <v>59</v>
          </cell>
          <cell r="AG219" t="str">
            <v>WMPREMIUM</v>
          </cell>
          <cell r="AH219" t="str">
            <v>WM_Premium</v>
          </cell>
          <cell r="AI219" t="str">
            <v/>
          </cell>
          <cell r="AJ219" t="str">
            <v/>
          </cell>
          <cell r="AK219" t="str">
            <v>0.387684</v>
          </cell>
          <cell r="AL219" t="str">
            <v>2</v>
          </cell>
          <cell r="AM219" t="str">
            <v>F</v>
          </cell>
          <cell r="AN219" t="str">
            <v>M0</v>
          </cell>
          <cell r="AO219" t="str">
            <v>Active(Model)</v>
          </cell>
          <cell r="AP219" t="str">
            <v/>
          </cell>
          <cell r="AQ219" t="str">
            <v/>
          </cell>
          <cell r="AR219" t="str">
            <v>Y</v>
          </cell>
          <cell r="AS219" t="str">
            <v/>
          </cell>
          <cell r="AT219" t="str">
            <v>WM</v>
          </cell>
          <cell r="AU219" t="str">
            <v>Washing Machine</v>
          </cell>
          <cell r="AV219" t="str">
            <v>WMWL</v>
          </cell>
          <cell r="AW219" t="str">
            <v>Clothes Washer</v>
          </cell>
          <cell r="AX219" t="str">
            <v>WMWLFL</v>
          </cell>
          <cell r="AY219" t="str">
            <v>Clothes Washer_Front Loader</v>
          </cell>
          <cell r="AZ219" t="str">
            <v>WMWLFLSC</v>
          </cell>
          <cell r="BA219" t="str">
            <v>Clothes Washer_Drum(DD)_Steam_24</v>
          </cell>
        </row>
        <row r="220">
          <cell r="E220" t="str">
            <v>FX1412S3K.AEBREML</v>
          </cell>
          <cell r="F220">
            <v>8</v>
          </cell>
          <cell r="G220">
            <v>0</v>
          </cell>
          <cell r="H220">
            <v>0</v>
          </cell>
          <cell r="I220">
            <v>8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>0.383328</v>
          </cell>
          <cell r="AL220" t="str">
            <v>1</v>
          </cell>
          <cell r="AM220" t="str">
            <v>F</v>
          </cell>
          <cell r="AN220" t="str">
            <v>M0</v>
          </cell>
          <cell r="AO220" t="str">
            <v>Active(Model)</v>
          </cell>
          <cell r="AP220" t="str">
            <v/>
          </cell>
          <cell r="AQ220" t="str">
            <v/>
          </cell>
          <cell r="AR220" t="str">
            <v>Y</v>
          </cell>
          <cell r="AS220" t="str">
            <v/>
          </cell>
          <cell r="AT220" t="str">
            <v>WM</v>
          </cell>
          <cell r="AU220" t="str">
            <v>Washing Machine</v>
          </cell>
          <cell r="AV220" t="str">
            <v>WMWL</v>
          </cell>
          <cell r="AW220" t="str">
            <v>Clothes Washer</v>
          </cell>
          <cell r="AX220" t="str">
            <v>WMWLFL</v>
          </cell>
          <cell r="AY220" t="str">
            <v>Clothes Washer_Front Loader</v>
          </cell>
          <cell r="AZ220" t="str">
            <v>WMWLFLSC</v>
          </cell>
          <cell r="BA220" t="str">
            <v>Clothes Washer_Drum(DD)_Steam_24</v>
          </cell>
        </row>
        <row r="221">
          <cell r="E221" t="str">
            <v>FX1412S3KA.AEBPEIN</v>
          </cell>
          <cell r="F221">
            <v>81</v>
          </cell>
          <cell r="G221">
            <v>0</v>
          </cell>
          <cell r="H221">
            <v>0</v>
          </cell>
          <cell r="I221">
            <v>81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>0.383328</v>
          </cell>
          <cell r="AL221" t="str">
            <v>1</v>
          </cell>
          <cell r="AM221" t="str">
            <v>F</v>
          </cell>
          <cell r="AN221" t="str">
            <v>M0</v>
          </cell>
          <cell r="AO221" t="str">
            <v>Active(Model)</v>
          </cell>
          <cell r="AP221" t="str">
            <v/>
          </cell>
          <cell r="AQ221" t="str">
            <v/>
          </cell>
          <cell r="AR221" t="str">
            <v>Y</v>
          </cell>
          <cell r="AS221" t="str">
            <v/>
          </cell>
          <cell r="AT221" t="str">
            <v>WM</v>
          </cell>
          <cell r="AU221" t="str">
            <v>Washing Machine</v>
          </cell>
          <cell r="AV221" t="str">
            <v>WMWL</v>
          </cell>
          <cell r="AW221" t="str">
            <v>Clothes Washer</v>
          </cell>
          <cell r="AX221" t="str">
            <v>WMWLFL</v>
          </cell>
          <cell r="AY221" t="str">
            <v>Clothes Washer_Front Loader</v>
          </cell>
          <cell r="AZ221" t="str">
            <v>WMWLFLSC</v>
          </cell>
          <cell r="BA221" t="str">
            <v>Clothes Washer_Drum(DD)_Steam_24</v>
          </cell>
        </row>
        <row r="222">
          <cell r="E222" t="str">
            <v>FX1412S3KAV.AEBPEVN</v>
          </cell>
          <cell r="F222">
            <v>0</v>
          </cell>
          <cell r="G222">
            <v>0</v>
          </cell>
          <cell r="H222">
            <v>0</v>
          </cell>
          <cell r="I222">
            <v>99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99</v>
          </cell>
          <cell r="AE222">
            <v>54</v>
          </cell>
          <cell r="AF222">
            <v>99</v>
          </cell>
          <cell r="AG222" t="str">
            <v>WMPREMIUM</v>
          </cell>
          <cell r="AH222" t="str">
            <v>WM_Premium</v>
          </cell>
          <cell r="AI222" t="str">
            <v/>
          </cell>
          <cell r="AJ222" t="str">
            <v/>
          </cell>
          <cell r="AK222" t="str">
            <v>0.383328</v>
          </cell>
          <cell r="AL222" t="str">
            <v>2</v>
          </cell>
          <cell r="AM222" t="str">
            <v>F</v>
          </cell>
          <cell r="AN222" t="str">
            <v>M0</v>
          </cell>
          <cell r="AO222" t="str">
            <v>Active(Model)</v>
          </cell>
          <cell r="AP222" t="str">
            <v/>
          </cell>
          <cell r="AQ222" t="str">
            <v/>
          </cell>
          <cell r="AR222" t="str">
            <v>Y</v>
          </cell>
          <cell r="AS222" t="str">
            <v/>
          </cell>
          <cell r="AT222" t="str">
            <v>WM</v>
          </cell>
          <cell r="AU222" t="str">
            <v>Washing Machine</v>
          </cell>
          <cell r="AV222" t="str">
            <v>WMWL</v>
          </cell>
          <cell r="AW222" t="str">
            <v>Clothes Washer</v>
          </cell>
          <cell r="AX222" t="str">
            <v>WMWLFL</v>
          </cell>
          <cell r="AY222" t="str">
            <v>Clothes Washer_Front Loader</v>
          </cell>
          <cell r="AZ222" t="str">
            <v>WMWLFLSC</v>
          </cell>
          <cell r="BA222" t="str">
            <v>Clothes Washer_Drum(DD)_Steam_24</v>
          </cell>
        </row>
        <row r="223">
          <cell r="E223" t="str">
            <v>FX23GNGR.AKOR2</v>
          </cell>
          <cell r="F223">
            <v>127</v>
          </cell>
          <cell r="G223">
            <v>0</v>
          </cell>
          <cell r="H223">
            <v>0</v>
          </cell>
          <cell r="I223">
            <v>127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>0.717031</v>
          </cell>
          <cell r="AL223" t="str">
            <v>1</v>
          </cell>
          <cell r="AM223" t="str">
            <v>F</v>
          </cell>
          <cell r="AN223" t="str">
            <v>M0</v>
          </cell>
          <cell r="AO223" t="str">
            <v>Active(Model)</v>
          </cell>
          <cell r="AP223" t="str">
            <v/>
          </cell>
          <cell r="AQ223" t="str">
            <v/>
          </cell>
          <cell r="AR223" t="str">
            <v>Y</v>
          </cell>
          <cell r="AS223" t="str">
            <v/>
          </cell>
          <cell r="AT223" t="str">
            <v>WM</v>
          </cell>
          <cell r="AU223" t="str">
            <v>Washing Machine</v>
          </cell>
          <cell r="AV223" t="str">
            <v>WMWL</v>
          </cell>
          <cell r="AW223" t="str">
            <v>Clothes Washer</v>
          </cell>
          <cell r="AX223" t="str">
            <v>WMWLFL</v>
          </cell>
          <cell r="AY223" t="str">
            <v>Clothes Washer_Front Loader</v>
          </cell>
          <cell r="AZ223" t="str">
            <v>WMWLFLHA</v>
          </cell>
          <cell r="BA223" t="str">
            <v>Clothes Washer_Drum(DD)</v>
          </cell>
        </row>
        <row r="224">
          <cell r="E224" t="str">
            <v>FX24ENER.AKOR2</v>
          </cell>
          <cell r="F224">
            <v>168</v>
          </cell>
          <cell r="G224">
            <v>0</v>
          </cell>
          <cell r="H224">
            <v>0</v>
          </cell>
          <cell r="I224">
            <v>168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586</v>
          </cell>
          <cell r="O224">
            <v>2</v>
          </cell>
          <cell r="P224">
            <v>586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 t="str">
            <v/>
          </cell>
          <cell r="AH224" t="str">
            <v/>
          </cell>
          <cell r="AI224" t="str">
            <v/>
          </cell>
          <cell r="AJ224" t="str">
            <v/>
          </cell>
          <cell r="AK224" t="str">
            <v>0.717031</v>
          </cell>
          <cell r="AL224" t="str">
            <v>1</v>
          </cell>
          <cell r="AM224" t="str">
            <v>F</v>
          </cell>
          <cell r="AN224" t="str">
            <v>M0</v>
          </cell>
          <cell r="AO224" t="str">
            <v>Active(Model)</v>
          </cell>
          <cell r="AP224" t="str">
            <v/>
          </cell>
          <cell r="AQ224" t="str">
            <v/>
          </cell>
          <cell r="AR224" t="str">
            <v>Y</v>
          </cell>
          <cell r="AS224" t="str">
            <v/>
          </cell>
          <cell r="AT224" t="str">
            <v>WM</v>
          </cell>
          <cell r="AU224" t="str">
            <v>Washing Machine</v>
          </cell>
          <cell r="AV224" t="str">
            <v>WMWL</v>
          </cell>
          <cell r="AW224" t="str">
            <v>Clothes Washer</v>
          </cell>
          <cell r="AX224" t="str">
            <v>WMWLFL</v>
          </cell>
          <cell r="AY224" t="str">
            <v>Clothes Washer_Front Loader</v>
          </cell>
          <cell r="AZ224" t="str">
            <v>WMWLFLHA</v>
          </cell>
          <cell r="BA224" t="str">
            <v>Clothes Washer_Drum(DD)</v>
          </cell>
        </row>
        <row r="225">
          <cell r="E225" t="str">
            <v>FX24GNGR.AKOR2</v>
          </cell>
          <cell r="F225">
            <v>176</v>
          </cell>
          <cell r="G225">
            <v>0</v>
          </cell>
          <cell r="H225">
            <v>0</v>
          </cell>
          <cell r="I225">
            <v>176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253</v>
          </cell>
          <cell r="O225">
            <v>91</v>
          </cell>
          <cell r="P225">
            <v>253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 t="str">
            <v/>
          </cell>
          <cell r="AH225" t="str">
            <v/>
          </cell>
          <cell r="AI225" t="str">
            <v/>
          </cell>
          <cell r="AJ225" t="str">
            <v/>
          </cell>
          <cell r="AK225" t="str">
            <v>0.717031</v>
          </cell>
          <cell r="AL225" t="str">
            <v>1</v>
          </cell>
          <cell r="AM225" t="str">
            <v>F</v>
          </cell>
          <cell r="AN225" t="str">
            <v>M0</v>
          </cell>
          <cell r="AO225" t="str">
            <v>Active(Model)</v>
          </cell>
          <cell r="AP225" t="str">
            <v/>
          </cell>
          <cell r="AQ225" t="str">
            <v/>
          </cell>
          <cell r="AR225" t="str">
            <v>Y</v>
          </cell>
          <cell r="AS225" t="str">
            <v/>
          </cell>
          <cell r="AT225" t="str">
            <v>WM</v>
          </cell>
          <cell r="AU225" t="str">
            <v>Washing Machine</v>
          </cell>
          <cell r="AV225" t="str">
            <v>WMWL</v>
          </cell>
          <cell r="AW225" t="str">
            <v>Clothes Washer</v>
          </cell>
          <cell r="AX225" t="str">
            <v>WMWLFL</v>
          </cell>
          <cell r="AY225" t="str">
            <v>Clothes Washer_Front Loader</v>
          </cell>
          <cell r="AZ225" t="str">
            <v>WMWLFLHA</v>
          </cell>
          <cell r="BA225" t="str">
            <v>Clothes Washer_Drum(DD)</v>
          </cell>
        </row>
        <row r="226">
          <cell r="E226" t="str">
            <v>FX24KNTR.AKOR2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839</v>
          </cell>
          <cell r="O226">
            <v>85</v>
          </cell>
          <cell r="P226">
            <v>839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 t="str">
            <v/>
          </cell>
          <cell r="AH226" t="str">
            <v/>
          </cell>
          <cell r="AI226" t="str">
            <v/>
          </cell>
          <cell r="AJ226" t="str">
            <v/>
          </cell>
          <cell r="AK226" t="str">
            <v>0.717031</v>
          </cell>
          <cell r="AL226" t="str">
            <v>1</v>
          </cell>
          <cell r="AM226" t="str">
            <v>F</v>
          </cell>
          <cell r="AN226" t="str">
            <v>M0</v>
          </cell>
          <cell r="AO226" t="str">
            <v>Active(Model)</v>
          </cell>
          <cell r="AP226" t="str">
            <v/>
          </cell>
          <cell r="AQ226" t="str">
            <v/>
          </cell>
          <cell r="AR226" t="str">
            <v>Y</v>
          </cell>
          <cell r="AS226" t="str">
            <v/>
          </cell>
          <cell r="AT226" t="str">
            <v>WM</v>
          </cell>
          <cell r="AU226" t="str">
            <v>Washing Machine</v>
          </cell>
          <cell r="AV226" t="str">
            <v>WMWL</v>
          </cell>
          <cell r="AW226" t="str">
            <v>Clothes Washer</v>
          </cell>
          <cell r="AX226" t="str">
            <v>WMWLFL</v>
          </cell>
          <cell r="AY226" t="str">
            <v>Clothes Washer_Front Loader</v>
          </cell>
          <cell r="AZ226" t="str">
            <v>WMWLFLHA</v>
          </cell>
          <cell r="BA226" t="str">
            <v>Clothes Washer_Drum(DD)</v>
          </cell>
        </row>
        <row r="227">
          <cell r="E227" t="str">
            <v>FX24WNR.AKOR2</v>
          </cell>
          <cell r="F227">
            <v>73</v>
          </cell>
          <cell r="G227">
            <v>0</v>
          </cell>
          <cell r="H227">
            <v>0</v>
          </cell>
          <cell r="I227">
            <v>73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 t="str">
            <v/>
          </cell>
          <cell r="AH227" t="str">
            <v/>
          </cell>
          <cell r="AI227" t="str">
            <v/>
          </cell>
          <cell r="AJ227" t="str">
            <v/>
          </cell>
          <cell r="AK227" t="str">
            <v>0.717031</v>
          </cell>
          <cell r="AL227" t="str">
            <v>1</v>
          </cell>
          <cell r="AM227" t="str">
            <v>F</v>
          </cell>
          <cell r="AN227" t="str">
            <v>M0</v>
          </cell>
          <cell r="AO227" t="str">
            <v>Active(Model)</v>
          </cell>
          <cell r="AP227" t="str">
            <v/>
          </cell>
          <cell r="AQ227" t="str">
            <v/>
          </cell>
          <cell r="AR227" t="str">
            <v>Y</v>
          </cell>
          <cell r="AS227" t="str">
            <v/>
          </cell>
          <cell r="AT227" t="str">
            <v>WM</v>
          </cell>
          <cell r="AU227" t="str">
            <v>Washing Machine</v>
          </cell>
          <cell r="AV227" t="str">
            <v>WMWL</v>
          </cell>
          <cell r="AW227" t="str">
            <v>Clothes Washer</v>
          </cell>
          <cell r="AX227" t="str">
            <v>WMWLFL</v>
          </cell>
          <cell r="AY227" t="str">
            <v>Clothes Washer_Front Loader</v>
          </cell>
          <cell r="AZ227" t="str">
            <v>WMWLFLHA</v>
          </cell>
          <cell r="BA227" t="str">
            <v>Clothes Washer_Drum(DD)</v>
          </cell>
        </row>
        <row r="228">
          <cell r="E228" t="str">
            <v>FX24WSR.AKOR2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1</v>
          </cell>
          <cell r="O228">
            <v>83</v>
          </cell>
          <cell r="P228">
            <v>1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>0.717031</v>
          </cell>
          <cell r="AL228" t="str">
            <v>1</v>
          </cell>
          <cell r="AM228" t="str">
            <v>F</v>
          </cell>
          <cell r="AN228" t="str">
            <v>M0</v>
          </cell>
          <cell r="AO228" t="str">
            <v>Active(Model)</v>
          </cell>
          <cell r="AP228" t="str">
            <v/>
          </cell>
          <cell r="AQ228" t="str">
            <v/>
          </cell>
          <cell r="AR228" t="str">
            <v>Y</v>
          </cell>
          <cell r="AS228" t="str">
            <v/>
          </cell>
          <cell r="AT228" t="str">
            <v>WM</v>
          </cell>
          <cell r="AU228" t="str">
            <v>Washing Machine</v>
          </cell>
          <cell r="AV228" t="str">
            <v>WMWL</v>
          </cell>
          <cell r="AW228" t="str">
            <v>Clothes Washer</v>
          </cell>
          <cell r="AX228" t="str">
            <v>WMWLFL</v>
          </cell>
          <cell r="AY228" t="str">
            <v>Clothes Washer_Front Loader</v>
          </cell>
          <cell r="AZ228" t="str">
            <v>WMWLFLSC</v>
          </cell>
          <cell r="BA228" t="str">
            <v>Clothes Washer_Drum(DD)_Steam_24</v>
          </cell>
        </row>
        <row r="229">
          <cell r="E229" t="str">
            <v>FX25EAR.AKOR2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45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>0.704700</v>
          </cell>
          <cell r="AL229" t="str">
            <v>1</v>
          </cell>
          <cell r="AM229" t="str">
            <v>F</v>
          </cell>
          <cell r="AN229" t="str">
            <v>M0</v>
          </cell>
          <cell r="AO229" t="str">
            <v>Active(Model)</v>
          </cell>
          <cell r="AP229" t="str">
            <v/>
          </cell>
          <cell r="AQ229" t="str">
            <v/>
          </cell>
          <cell r="AR229" t="str">
            <v>Y</v>
          </cell>
          <cell r="AS229" t="str">
            <v/>
          </cell>
          <cell r="AT229" t="str">
            <v>WM</v>
          </cell>
          <cell r="AU229" t="str">
            <v>Washing Machine</v>
          </cell>
          <cell r="AV229" t="str">
            <v>WMWL</v>
          </cell>
          <cell r="AW229" t="str">
            <v>Clothes Washer</v>
          </cell>
          <cell r="AX229" t="str">
            <v>WMWLFL</v>
          </cell>
          <cell r="AY229" t="str">
            <v>Clothes Washer_Front Loader</v>
          </cell>
          <cell r="AZ229" t="str">
            <v>WMWLFLHA</v>
          </cell>
          <cell r="BA229" t="str">
            <v>Clothes Washer_Drum(DD)</v>
          </cell>
        </row>
        <row r="230">
          <cell r="E230" t="str">
            <v>FX25GAR.AKOR2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45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 t="str">
            <v/>
          </cell>
          <cell r="AH230" t="str">
            <v/>
          </cell>
          <cell r="AI230" t="str">
            <v/>
          </cell>
          <cell r="AJ230" t="str">
            <v/>
          </cell>
          <cell r="AK230" t="str">
            <v>0.704700</v>
          </cell>
          <cell r="AL230" t="str">
            <v>1</v>
          </cell>
          <cell r="AM230" t="str">
            <v>F</v>
          </cell>
          <cell r="AN230" t="str">
            <v>M0</v>
          </cell>
          <cell r="AO230" t="str">
            <v>Active(Model)</v>
          </cell>
          <cell r="AP230" t="str">
            <v/>
          </cell>
          <cell r="AQ230" t="str">
            <v/>
          </cell>
          <cell r="AR230" t="str">
            <v>Y</v>
          </cell>
          <cell r="AS230" t="str">
            <v/>
          </cell>
          <cell r="AT230" t="str">
            <v>WM</v>
          </cell>
          <cell r="AU230" t="str">
            <v>Washing Machine</v>
          </cell>
          <cell r="AV230" t="str">
            <v>WMWL</v>
          </cell>
          <cell r="AW230" t="str">
            <v>Clothes Washer</v>
          </cell>
          <cell r="AX230" t="str">
            <v>WMWLFL</v>
          </cell>
          <cell r="AY230" t="str">
            <v>Clothes Washer_Front Loader</v>
          </cell>
          <cell r="AZ230" t="str">
            <v>WMWLFLHA</v>
          </cell>
          <cell r="BA230" t="str">
            <v>Clothes Washer_Drum(DD)</v>
          </cell>
        </row>
        <row r="231">
          <cell r="E231" t="str">
            <v>FX25GNR.AKOR2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45</v>
          </cell>
          <cell r="O231">
            <v>89</v>
          </cell>
          <cell r="P231">
            <v>45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 t="str">
            <v/>
          </cell>
          <cell r="AH231" t="str">
            <v/>
          </cell>
          <cell r="AI231" t="str">
            <v/>
          </cell>
          <cell r="AJ231" t="str">
            <v/>
          </cell>
          <cell r="AK231" t="str">
            <v>0.717031</v>
          </cell>
          <cell r="AL231" t="str">
            <v>1</v>
          </cell>
          <cell r="AM231" t="str">
            <v>F</v>
          </cell>
          <cell r="AN231" t="str">
            <v>M0</v>
          </cell>
          <cell r="AO231" t="str">
            <v>Active(Model)</v>
          </cell>
          <cell r="AP231" t="str">
            <v/>
          </cell>
          <cell r="AQ231" t="str">
            <v/>
          </cell>
          <cell r="AR231" t="str">
            <v>Y</v>
          </cell>
          <cell r="AS231" t="str">
            <v/>
          </cell>
          <cell r="AT231" t="str">
            <v>WM</v>
          </cell>
          <cell r="AU231" t="str">
            <v>Washing Machine</v>
          </cell>
          <cell r="AV231" t="str">
            <v>WMWL</v>
          </cell>
          <cell r="AW231" t="str">
            <v>Clothes Washer</v>
          </cell>
          <cell r="AX231" t="str">
            <v>WMWLFL</v>
          </cell>
          <cell r="AY231" t="str">
            <v>Clothes Washer_Front Loader</v>
          </cell>
          <cell r="AZ231" t="str">
            <v>WMWLFLHA</v>
          </cell>
          <cell r="BA231" t="str">
            <v>Clothes Washer_Drum(DD)</v>
          </cell>
        </row>
        <row r="232">
          <cell r="E232" t="str">
            <v>FX25WJDL.AKOR2</v>
          </cell>
          <cell r="F232">
            <v>265</v>
          </cell>
          <cell r="G232">
            <v>0</v>
          </cell>
          <cell r="H232">
            <v>0</v>
          </cell>
          <cell r="I232">
            <v>265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55</v>
          </cell>
          <cell r="O232">
            <v>0</v>
          </cell>
          <cell r="P232">
            <v>55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>0.749198</v>
          </cell>
          <cell r="AL232" t="str">
            <v>1</v>
          </cell>
          <cell r="AM232" t="str">
            <v>F</v>
          </cell>
          <cell r="AN232" t="str">
            <v>M0</v>
          </cell>
          <cell r="AO232" t="str">
            <v>Active(Model)</v>
          </cell>
          <cell r="AP232" t="str">
            <v/>
          </cell>
          <cell r="AQ232" t="str">
            <v/>
          </cell>
          <cell r="AR232" t="str">
            <v>Y</v>
          </cell>
          <cell r="AS232" t="str">
            <v/>
          </cell>
          <cell r="AT232" t="str">
            <v>WM</v>
          </cell>
          <cell r="AU232" t="str">
            <v>Washing Machine</v>
          </cell>
          <cell r="AV232" t="str">
            <v>WMWL</v>
          </cell>
          <cell r="AW232" t="str">
            <v>Clothes Washer</v>
          </cell>
          <cell r="AX232" t="str">
            <v>WMWLFL</v>
          </cell>
          <cell r="AY232" t="str">
            <v>Clothes Washer_Front Loader</v>
          </cell>
          <cell r="AZ232" t="str">
            <v>WMWLFLLC</v>
          </cell>
          <cell r="BA232" t="str">
            <v>Clothes Stacked Washer Dryer_Washer</v>
          </cell>
        </row>
        <row r="233">
          <cell r="E233" t="str">
            <v>FX25WJNS.AKOR2</v>
          </cell>
          <cell r="F233">
            <v>88</v>
          </cell>
          <cell r="G233">
            <v>0</v>
          </cell>
          <cell r="H233">
            <v>0</v>
          </cell>
          <cell r="I233">
            <v>88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>0.749198</v>
          </cell>
          <cell r="AL233" t="str">
            <v>1</v>
          </cell>
          <cell r="AM233" t="str">
            <v>F</v>
          </cell>
          <cell r="AN233" t="str">
            <v>M0</v>
          </cell>
          <cell r="AO233" t="str">
            <v>Active(Model)</v>
          </cell>
          <cell r="AP233" t="str">
            <v/>
          </cell>
          <cell r="AQ233" t="str">
            <v/>
          </cell>
          <cell r="AR233" t="str">
            <v>Y</v>
          </cell>
          <cell r="AS233" t="str">
            <v/>
          </cell>
          <cell r="AT233" t="str">
            <v>WM</v>
          </cell>
          <cell r="AU233" t="str">
            <v>Washing Machine</v>
          </cell>
          <cell r="AV233" t="str">
            <v>WMWL</v>
          </cell>
          <cell r="AW233" t="str">
            <v>Clothes Washer</v>
          </cell>
          <cell r="AX233" t="str">
            <v>WMWLFL</v>
          </cell>
          <cell r="AY233" t="str">
            <v>Clothes Washer_Front Loader</v>
          </cell>
          <cell r="AZ233" t="str">
            <v>WMWLFLLC</v>
          </cell>
          <cell r="BA233" t="str">
            <v>Clothes Stacked Washer Dryer_Washer</v>
          </cell>
        </row>
        <row r="234">
          <cell r="E234" t="str">
            <v>FX25WSQR.AKOR2</v>
          </cell>
          <cell r="F234">
            <v>2</v>
          </cell>
          <cell r="G234">
            <v>0</v>
          </cell>
          <cell r="H234">
            <v>0</v>
          </cell>
          <cell r="I234">
            <v>2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81</v>
          </cell>
          <cell r="O234">
            <v>84</v>
          </cell>
          <cell r="P234">
            <v>81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>0.717031</v>
          </cell>
          <cell r="AL234" t="str">
            <v>1</v>
          </cell>
          <cell r="AM234" t="str">
            <v>F</v>
          </cell>
          <cell r="AN234" t="str">
            <v>M0</v>
          </cell>
          <cell r="AO234" t="str">
            <v>Active(Model)</v>
          </cell>
          <cell r="AP234" t="str">
            <v/>
          </cell>
          <cell r="AQ234" t="str">
            <v/>
          </cell>
          <cell r="AR234" t="str">
            <v>Y</v>
          </cell>
          <cell r="AS234" t="str">
            <v/>
          </cell>
          <cell r="AT234" t="str">
            <v>WM</v>
          </cell>
          <cell r="AU234" t="str">
            <v>Washing Machine</v>
          </cell>
          <cell r="AV234" t="str">
            <v>WMWL</v>
          </cell>
          <cell r="AW234" t="str">
            <v>Clothes Washer</v>
          </cell>
          <cell r="AX234" t="str">
            <v>WMWLFL</v>
          </cell>
          <cell r="AY234" t="str">
            <v>Clothes Washer_Front Loader</v>
          </cell>
          <cell r="AZ234" t="str">
            <v>WMWLFLHS</v>
          </cell>
          <cell r="BA234" t="str">
            <v>Clothes Washer_Drum(DD)_Steam</v>
          </cell>
        </row>
        <row r="235">
          <cell r="E235" t="str">
            <v>FX2725SFXKA.AEBPETH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84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>0.704700</v>
          </cell>
          <cell r="AL235" t="str">
            <v>1</v>
          </cell>
          <cell r="AM235" t="str">
            <v>F</v>
          </cell>
          <cell r="AN235" t="str">
            <v>M0</v>
          </cell>
          <cell r="AO235" t="str">
            <v>Active(Model)</v>
          </cell>
          <cell r="AP235" t="str">
            <v/>
          </cell>
          <cell r="AQ235" t="str">
            <v/>
          </cell>
          <cell r="AR235" t="str">
            <v>Y</v>
          </cell>
          <cell r="AS235" t="str">
            <v/>
          </cell>
          <cell r="AT235" t="str">
            <v>WM</v>
          </cell>
          <cell r="AU235" t="str">
            <v>Washing Machine</v>
          </cell>
          <cell r="AV235" t="str">
            <v>WMWL</v>
          </cell>
          <cell r="AW235" t="str">
            <v>Clothes Washer</v>
          </cell>
          <cell r="AX235" t="str">
            <v>WMWLFL</v>
          </cell>
          <cell r="AY235" t="str">
            <v>Clothes Washer_Front Loader</v>
          </cell>
          <cell r="AZ235" t="str">
            <v>WMWLFLHS</v>
          </cell>
          <cell r="BA235" t="str">
            <v>Clothes Washer_Drum(DD)_Steam</v>
          </cell>
        </row>
        <row r="236">
          <cell r="E236" t="str">
            <v>GF-B589PLE.APYRGAP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1</v>
          </cell>
          <cell r="O236">
            <v>0</v>
          </cell>
          <cell r="P236">
            <v>1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>1.289601</v>
          </cell>
          <cell r="AL236" t="str">
            <v>1</v>
          </cell>
          <cell r="AM236" t="str">
            <v>F</v>
          </cell>
          <cell r="AN236" t="str">
            <v>M0</v>
          </cell>
          <cell r="AO236" t="str">
            <v>Active(Model)</v>
          </cell>
          <cell r="AP236" t="str">
            <v/>
          </cell>
          <cell r="AQ236" t="str">
            <v/>
          </cell>
          <cell r="AR236" t="str">
            <v>Y</v>
          </cell>
          <cell r="AS236" t="str">
            <v/>
          </cell>
          <cell r="AT236" t="str">
            <v>RF</v>
          </cell>
          <cell r="AU236" t="str">
            <v>Refrigerator</v>
          </cell>
          <cell r="AV236" t="str">
            <v>RFBF</v>
          </cell>
          <cell r="AW236" t="str">
            <v>Bottom Freezer</v>
          </cell>
          <cell r="AX236" t="str">
            <v>RFBFFD</v>
          </cell>
          <cell r="AY236" t="str">
            <v>French Door Drawer</v>
          </cell>
          <cell r="AZ236" t="str">
            <v>RFBFFD3D</v>
          </cell>
          <cell r="BA236" t="str">
            <v>3D F/D Drawer</v>
          </cell>
        </row>
        <row r="237">
          <cell r="E237" t="str">
            <v>GF-B6174TW.ATWQESL</v>
          </cell>
          <cell r="F237">
            <v>23</v>
          </cell>
          <cell r="G237">
            <v>0</v>
          </cell>
          <cell r="H237">
            <v>0</v>
          </cell>
          <cell r="I237">
            <v>23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30</v>
          </cell>
          <cell r="O237">
            <v>0</v>
          </cell>
          <cell r="P237">
            <v>30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 t="str">
            <v/>
          </cell>
          <cell r="AH237" t="str">
            <v/>
          </cell>
          <cell r="AI237" t="str">
            <v/>
          </cell>
          <cell r="AJ237" t="str">
            <v/>
          </cell>
          <cell r="AK237" t="str">
            <v>1.347179</v>
          </cell>
          <cell r="AL237" t="str">
            <v>1</v>
          </cell>
          <cell r="AM237" t="str">
            <v>F</v>
          </cell>
          <cell r="AN237" t="str">
            <v>M0</v>
          </cell>
          <cell r="AO237" t="str">
            <v>Active(Model)</v>
          </cell>
          <cell r="AP237" t="str">
            <v/>
          </cell>
          <cell r="AQ237" t="str">
            <v/>
          </cell>
          <cell r="AR237" t="str">
            <v>Y</v>
          </cell>
          <cell r="AS237" t="str">
            <v/>
          </cell>
          <cell r="AT237" t="str">
            <v>RF</v>
          </cell>
          <cell r="AU237" t="str">
            <v>Refrigerator</v>
          </cell>
          <cell r="AV237" t="str">
            <v>RFBF</v>
          </cell>
          <cell r="AW237" t="str">
            <v>Bottom Freezer</v>
          </cell>
          <cell r="AX237" t="str">
            <v>RFBFMD</v>
          </cell>
          <cell r="AY237" t="str">
            <v>French Door Swing</v>
          </cell>
          <cell r="AZ237" t="str">
            <v>RFBFMD4D</v>
          </cell>
          <cell r="BA237" t="str">
            <v>4D F/D Swing</v>
          </cell>
        </row>
        <row r="238">
          <cell r="E238" t="str">
            <v>GF-VN600BM.ABMRGAP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123</v>
          </cell>
          <cell r="O238">
            <v>41</v>
          </cell>
          <cell r="P238">
            <v>123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>1.289601</v>
          </cell>
          <cell r="AL238" t="str">
            <v>1</v>
          </cell>
          <cell r="AM238" t="str">
            <v>F</v>
          </cell>
          <cell r="AN238" t="str">
            <v>M0</v>
          </cell>
          <cell r="AO238" t="str">
            <v>Active(Model)</v>
          </cell>
          <cell r="AP238" t="str">
            <v/>
          </cell>
          <cell r="AQ238" t="str">
            <v/>
          </cell>
          <cell r="AR238" t="str">
            <v>Y</v>
          </cell>
          <cell r="AS238" t="str">
            <v/>
          </cell>
          <cell r="AT238" t="str">
            <v>RF</v>
          </cell>
          <cell r="AU238" t="str">
            <v>Refrigerator</v>
          </cell>
          <cell r="AV238" t="str">
            <v>RFBF</v>
          </cell>
          <cell r="AW238" t="str">
            <v>Bottom Freezer</v>
          </cell>
          <cell r="AX238" t="str">
            <v>RFBFMD</v>
          </cell>
          <cell r="AY238" t="str">
            <v>French Door Swing</v>
          </cell>
          <cell r="AZ238" t="str">
            <v>RFBFMD4D</v>
          </cell>
          <cell r="BA238" t="str">
            <v>4D F/D Swing</v>
          </cell>
        </row>
        <row r="239">
          <cell r="E239" t="str">
            <v>GR-B30FFGPB.ABMRGCC</v>
          </cell>
          <cell r="F239">
            <v>31</v>
          </cell>
          <cell r="G239">
            <v>0</v>
          </cell>
          <cell r="H239">
            <v>0</v>
          </cell>
          <cell r="I239">
            <v>31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>1.347179</v>
          </cell>
          <cell r="AL239" t="str">
            <v>1</v>
          </cell>
          <cell r="AM239" t="str">
            <v>F</v>
          </cell>
          <cell r="AN239" t="str">
            <v>M0</v>
          </cell>
          <cell r="AO239" t="str">
            <v>Active(Model)</v>
          </cell>
          <cell r="AP239" t="str">
            <v/>
          </cell>
          <cell r="AQ239" t="str">
            <v/>
          </cell>
          <cell r="AR239" t="str">
            <v>Y</v>
          </cell>
          <cell r="AS239" t="str">
            <v/>
          </cell>
          <cell r="AT239" t="str">
            <v>RF</v>
          </cell>
          <cell r="AU239" t="str">
            <v>Refrigerator</v>
          </cell>
          <cell r="AV239" t="str">
            <v>RFBF</v>
          </cell>
          <cell r="AW239" t="str">
            <v>Bottom Freezer</v>
          </cell>
          <cell r="AX239" t="str">
            <v>RFBFMD</v>
          </cell>
          <cell r="AY239" t="str">
            <v>French Door Swing</v>
          </cell>
          <cell r="AZ239" t="str">
            <v>RFBFMD4D</v>
          </cell>
          <cell r="BA239" t="str">
            <v>4D F/D Swing</v>
          </cell>
        </row>
        <row r="240">
          <cell r="E240" t="str">
            <v>GV-B23FFGMB.ABMQEBN</v>
          </cell>
          <cell r="F240">
            <v>29</v>
          </cell>
          <cell r="G240">
            <v>0</v>
          </cell>
          <cell r="H240">
            <v>0</v>
          </cell>
          <cell r="I240">
            <v>119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210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>1.289601</v>
          </cell>
          <cell r="AL240" t="str">
            <v>1</v>
          </cell>
          <cell r="AM240" t="str">
            <v>F</v>
          </cell>
          <cell r="AN240" t="str">
            <v>M0</v>
          </cell>
          <cell r="AO240" t="str">
            <v>Active(Model)</v>
          </cell>
          <cell r="AP240" t="str">
            <v/>
          </cell>
          <cell r="AQ240" t="str">
            <v/>
          </cell>
          <cell r="AR240" t="str">
            <v>Y</v>
          </cell>
          <cell r="AS240" t="str">
            <v/>
          </cell>
          <cell r="AT240" t="str">
            <v>RF</v>
          </cell>
          <cell r="AU240" t="str">
            <v>Refrigerator</v>
          </cell>
          <cell r="AV240" t="str">
            <v>RFBF</v>
          </cell>
          <cell r="AW240" t="str">
            <v>Bottom Freezer</v>
          </cell>
          <cell r="AX240" t="str">
            <v>RFBFMD</v>
          </cell>
          <cell r="AY240" t="str">
            <v>French Door Swing</v>
          </cell>
          <cell r="AZ240" t="str">
            <v>RFBFMD4D</v>
          </cell>
          <cell r="BA240" t="str">
            <v>4D F/D Swing</v>
          </cell>
        </row>
        <row r="241">
          <cell r="E241" t="str">
            <v>GV-B23FFLMB.APYQEBN</v>
          </cell>
          <cell r="F241">
            <v>3</v>
          </cell>
          <cell r="G241">
            <v>0</v>
          </cell>
          <cell r="H241">
            <v>0</v>
          </cell>
          <cell r="I241">
            <v>63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30</v>
          </cell>
          <cell r="O241">
            <v>210</v>
          </cell>
          <cell r="P241">
            <v>30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>1.289601</v>
          </cell>
          <cell r="AL241" t="str">
            <v>1</v>
          </cell>
          <cell r="AM241" t="str">
            <v>F</v>
          </cell>
          <cell r="AN241" t="str">
            <v>M0</v>
          </cell>
          <cell r="AO241" t="str">
            <v>Active(Model)</v>
          </cell>
          <cell r="AP241" t="str">
            <v/>
          </cell>
          <cell r="AQ241" t="str">
            <v/>
          </cell>
          <cell r="AR241" t="str">
            <v>Y</v>
          </cell>
          <cell r="AS241" t="str">
            <v/>
          </cell>
          <cell r="AT241" t="str">
            <v>RF</v>
          </cell>
          <cell r="AU241" t="str">
            <v>Refrigerator</v>
          </cell>
          <cell r="AV241" t="str">
            <v>RFBF</v>
          </cell>
          <cell r="AW241" t="str">
            <v>Bottom Freezer</v>
          </cell>
          <cell r="AX241" t="str">
            <v>RFBFMD</v>
          </cell>
          <cell r="AY241" t="str">
            <v>French Door Swing</v>
          </cell>
          <cell r="AZ241" t="str">
            <v>RFBFMD4D</v>
          </cell>
          <cell r="BA241" t="str">
            <v>4D F/D Swing</v>
          </cell>
        </row>
        <row r="242">
          <cell r="E242" t="str">
            <v>GV-B242PLGB.APZPLMT</v>
          </cell>
          <cell r="F242">
            <v>0</v>
          </cell>
          <cell r="G242">
            <v>0</v>
          </cell>
          <cell r="H242">
            <v>2</v>
          </cell>
          <cell r="I242">
            <v>2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>0.632184</v>
          </cell>
          <cell r="AL242" t="str">
            <v>1</v>
          </cell>
          <cell r="AM242" t="str">
            <v>F</v>
          </cell>
          <cell r="AN242" t="str">
            <v>M1</v>
          </cell>
          <cell r="AO242" t="str">
            <v>Obsolete(Model)</v>
          </cell>
          <cell r="AP242" t="str">
            <v/>
          </cell>
          <cell r="AQ242" t="str">
            <v/>
          </cell>
          <cell r="AR242" t="str">
            <v>N</v>
          </cell>
          <cell r="AS242" t="str">
            <v/>
          </cell>
          <cell r="AT242" t="str">
            <v>RF</v>
          </cell>
          <cell r="AU242" t="str">
            <v>Refrigerator</v>
          </cell>
          <cell r="AV242" t="str">
            <v>RFTM</v>
          </cell>
          <cell r="AW242" t="str">
            <v>TMNF</v>
          </cell>
          <cell r="AX242" t="str">
            <v>RFTMTM</v>
          </cell>
          <cell r="AY242" t="str">
            <v>TMNF</v>
          </cell>
          <cell r="AZ242" t="str">
            <v>RFTMTMMA</v>
          </cell>
          <cell r="BA242" t="str">
            <v>Medium REF</v>
          </cell>
        </row>
        <row r="243">
          <cell r="E243" t="str">
            <v>GV-B25FFGMB.ABMQEBN</v>
          </cell>
          <cell r="F243">
            <v>1228</v>
          </cell>
          <cell r="G243">
            <v>0</v>
          </cell>
          <cell r="H243">
            <v>0</v>
          </cell>
          <cell r="I243">
            <v>1378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630</v>
          </cell>
          <cell r="O243">
            <v>840</v>
          </cell>
          <cell r="P243">
            <v>630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>1.347179</v>
          </cell>
          <cell r="AL243" t="str">
            <v>1</v>
          </cell>
          <cell r="AM243" t="str">
            <v>F</v>
          </cell>
          <cell r="AN243" t="str">
            <v>M0</v>
          </cell>
          <cell r="AO243" t="str">
            <v>Active(Model)</v>
          </cell>
          <cell r="AP243" t="str">
            <v/>
          </cell>
          <cell r="AQ243" t="str">
            <v/>
          </cell>
          <cell r="AR243" t="str">
            <v>Y</v>
          </cell>
          <cell r="AS243" t="str">
            <v/>
          </cell>
          <cell r="AT243" t="str">
            <v>RF</v>
          </cell>
          <cell r="AU243" t="str">
            <v>Refrigerator</v>
          </cell>
          <cell r="AV243" t="str">
            <v>RFBF</v>
          </cell>
          <cell r="AW243" t="str">
            <v>Bottom Freezer</v>
          </cell>
          <cell r="AX243" t="str">
            <v>RFBFMD</v>
          </cell>
          <cell r="AY243" t="str">
            <v>French Door Swing</v>
          </cell>
          <cell r="AZ243" t="str">
            <v>RFBFMD4D</v>
          </cell>
          <cell r="BA243" t="str">
            <v>4D F/D Swing</v>
          </cell>
        </row>
        <row r="244">
          <cell r="E244" t="str">
            <v>GV-B25FFGPB.ABMPEIN</v>
          </cell>
          <cell r="F244">
            <v>0</v>
          </cell>
          <cell r="G244">
            <v>0</v>
          </cell>
          <cell r="H244">
            <v>1</v>
          </cell>
          <cell r="I244">
            <v>1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>1.347179</v>
          </cell>
          <cell r="AL244" t="str">
            <v>1</v>
          </cell>
          <cell r="AM244" t="str">
            <v>F</v>
          </cell>
          <cell r="AN244" t="str">
            <v>M5</v>
          </cell>
          <cell r="AO244" t="str">
            <v>To Be Obsolete(Model)</v>
          </cell>
          <cell r="AP244" t="str">
            <v/>
          </cell>
          <cell r="AQ244" t="str">
            <v/>
          </cell>
          <cell r="AR244" t="str">
            <v>Y</v>
          </cell>
          <cell r="AS244" t="str">
            <v/>
          </cell>
          <cell r="AT244" t="str">
            <v>RF</v>
          </cell>
          <cell r="AU244" t="str">
            <v>Refrigerator</v>
          </cell>
          <cell r="AV244" t="str">
            <v>RFBF</v>
          </cell>
          <cell r="AW244" t="str">
            <v>Bottom Freezer</v>
          </cell>
          <cell r="AX244" t="str">
            <v>RFBFMD</v>
          </cell>
          <cell r="AY244" t="str">
            <v>French Door Swing</v>
          </cell>
          <cell r="AZ244" t="str">
            <v>RFBFMD4D</v>
          </cell>
          <cell r="BA244" t="str">
            <v>4D F/D Swing</v>
          </cell>
        </row>
        <row r="245">
          <cell r="E245" t="str">
            <v>GV-B25FFGPB.ATWRLML</v>
          </cell>
          <cell r="F245">
            <v>1</v>
          </cell>
          <cell r="G245">
            <v>0</v>
          </cell>
          <cell r="H245">
            <v>0</v>
          </cell>
          <cell r="I245">
            <v>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 t="str">
            <v/>
          </cell>
          <cell r="AH245" t="str">
            <v/>
          </cell>
          <cell r="AI245" t="str">
            <v/>
          </cell>
          <cell r="AJ245" t="str">
            <v/>
          </cell>
          <cell r="AK245" t="str">
            <v>1.347179</v>
          </cell>
          <cell r="AL245" t="str">
            <v>1</v>
          </cell>
          <cell r="AM245" t="str">
            <v>F</v>
          </cell>
          <cell r="AN245" t="str">
            <v>M0</v>
          </cell>
          <cell r="AO245" t="str">
            <v>Active(Model)</v>
          </cell>
          <cell r="AP245" t="str">
            <v/>
          </cell>
          <cell r="AQ245" t="str">
            <v/>
          </cell>
          <cell r="AR245" t="str">
            <v>Y</v>
          </cell>
          <cell r="AS245" t="str">
            <v/>
          </cell>
          <cell r="AT245" t="str">
            <v>RF</v>
          </cell>
          <cell r="AU245" t="str">
            <v>Refrigerator</v>
          </cell>
          <cell r="AV245" t="str">
            <v>RFBF</v>
          </cell>
          <cell r="AW245" t="str">
            <v>Bottom Freezer</v>
          </cell>
          <cell r="AX245" t="str">
            <v>RFBFMD</v>
          </cell>
          <cell r="AY245" t="str">
            <v>French Door Swing</v>
          </cell>
          <cell r="AZ245" t="str">
            <v>RFBFMD4D</v>
          </cell>
          <cell r="BA245" t="str">
            <v>4D F/D Swing</v>
          </cell>
        </row>
        <row r="246">
          <cell r="E246" t="str">
            <v>GV-B25FFLMB.APYQEBN</v>
          </cell>
          <cell r="F246">
            <v>51</v>
          </cell>
          <cell r="G246">
            <v>0</v>
          </cell>
          <cell r="H246">
            <v>0</v>
          </cell>
          <cell r="I246">
            <v>81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 t="str">
            <v/>
          </cell>
          <cell r="AH246" t="str">
            <v/>
          </cell>
          <cell r="AI246" t="str">
            <v/>
          </cell>
          <cell r="AJ246" t="str">
            <v/>
          </cell>
          <cell r="AK246" t="str">
            <v>1.347179</v>
          </cell>
          <cell r="AL246" t="str">
            <v>1</v>
          </cell>
          <cell r="AM246" t="str">
            <v>F</v>
          </cell>
          <cell r="AN246" t="str">
            <v>M0</v>
          </cell>
          <cell r="AO246" t="str">
            <v>Active(Model)</v>
          </cell>
          <cell r="AP246" t="str">
            <v/>
          </cell>
          <cell r="AQ246" t="str">
            <v/>
          </cell>
          <cell r="AR246" t="str">
            <v>Y</v>
          </cell>
          <cell r="AS246" t="str">
            <v/>
          </cell>
          <cell r="AT246" t="str">
            <v>RF</v>
          </cell>
          <cell r="AU246" t="str">
            <v>Refrigerator</v>
          </cell>
          <cell r="AV246" t="str">
            <v>RFBF</v>
          </cell>
          <cell r="AW246" t="str">
            <v>Bottom Freezer</v>
          </cell>
          <cell r="AX246" t="str">
            <v>RFBFMD</v>
          </cell>
          <cell r="AY246" t="str">
            <v>French Door Swing</v>
          </cell>
          <cell r="AZ246" t="str">
            <v>RFBFMD4D</v>
          </cell>
          <cell r="BA246" t="str">
            <v>4D F/D Swing</v>
          </cell>
        </row>
        <row r="247">
          <cell r="E247" t="str">
            <v>GV-B84PSE.APYQAGE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13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/>
          </cell>
          <cell r="AH247" t="str">
            <v/>
          </cell>
          <cell r="AI247" t="str">
            <v/>
          </cell>
          <cell r="AJ247" t="str">
            <v/>
          </cell>
          <cell r="AK247" t="str">
            <v>1.543638</v>
          </cell>
          <cell r="AL247" t="str">
            <v>1</v>
          </cell>
          <cell r="AM247" t="str">
            <v>F</v>
          </cell>
          <cell r="AN247" t="str">
            <v>M0</v>
          </cell>
          <cell r="AO247" t="str">
            <v>Active(Model)</v>
          </cell>
          <cell r="AP247" t="str">
            <v/>
          </cell>
          <cell r="AQ247" t="str">
            <v/>
          </cell>
          <cell r="AR247" t="str">
            <v>Y</v>
          </cell>
          <cell r="AS247" t="str">
            <v/>
          </cell>
          <cell r="AT247" t="str">
            <v>RF</v>
          </cell>
          <cell r="AU247" t="str">
            <v>Refrigerator</v>
          </cell>
          <cell r="AV247" t="str">
            <v>RFBF</v>
          </cell>
          <cell r="AW247" t="str">
            <v>Bottom Freezer</v>
          </cell>
          <cell r="AX247" t="str">
            <v>RFBFBF</v>
          </cell>
          <cell r="AY247" t="str">
            <v>Bottom Freezer</v>
          </cell>
          <cell r="AZ247" t="str">
            <v>RFBFBF2D</v>
          </cell>
          <cell r="BA247" t="str">
            <v>2D Bottom Freezer</v>
          </cell>
        </row>
        <row r="248">
          <cell r="E248" t="str">
            <v>GV-B86BSE.ASBQAGE</v>
          </cell>
          <cell r="F248">
            <v>25</v>
          </cell>
          <cell r="G248">
            <v>0</v>
          </cell>
          <cell r="H248">
            <v>0</v>
          </cell>
          <cell r="I248">
            <v>25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13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 t="str">
            <v/>
          </cell>
          <cell r="AH248" t="str">
            <v/>
          </cell>
          <cell r="AI248" t="str">
            <v/>
          </cell>
          <cell r="AJ248" t="str">
            <v/>
          </cell>
          <cell r="AK248" t="str">
            <v>1.543638</v>
          </cell>
          <cell r="AL248" t="str">
            <v>1</v>
          </cell>
          <cell r="AM248" t="str">
            <v>F</v>
          </cell>
          <cell r="AN248" t="str">
            <v>M0</v>
          </cell>
          <cell r="AO248" t="str">
            <v>Active(Model)</v>
          </cell>
          <cell r="AP248" t="str">
            <v/>
          </cell>
          <cell r="AQ248" t="str">
            <v/>
          </cell>
          <cell r="AR248" t="str">
            <v>Y</v>
          </cell>
          <cell r="AS248" t="str">
            <v/>
          </cell>
          <cell r="AT248" t="str">
            <v>RF</v>
          </cell>
          <cell r="AU248" t="str">
            <v>Refrigerator</v>
          </cell>
          <cell r="AV248" t="str">
            <v>RFBF</v>
          </cell>
          <cell r="AW248" t="str">
            <v>Bottom Freezer</v>
          </cell>
          <cell r="AX248" t="str">
            <v>RFBFBF</v>
          </cell>
          <cell r="AY248" t="str">
            <v>Bottom Freezer</v>
          </cell>
          <cell r="AZ248" t="str">
            <v>RFBFBF2D</v>
          </cell>
          <cell r="BA248" t="str">
            <v>2D Bottom Freezer</v>
          </cell>
        </row>
        <row r="249">
          <cell r="E249" t="str">
            <v>GV-F25FFGHB.ABMQEBN</v>
          </cell>
          <cell r="F249">
            <v>4</v>
          </cell>
          <cell r="G249">
            <v>0</v>
          </cell>
          <cell r="H249">
            <v>0</v>
          </cell>
          <cell r="I249">
            <v>179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150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>1.347179</v>
          </cell>
          <cell r="AL249" t="str">
            <v>1</v>
          </cell>
          <cell r="AM249" t="str">
            <v>F</v>
          </cell>
          <cell r="AN249" t="str">
            <v>M0</v>
          </cell>
          <cell r="AO249" t="str">
            <v>Active(Model)</v>
          </cell>
          <cell r="AP249" t="str">
            <v/>
          </cell>
          <cell r="AQ249" t="str">
            <v/>
          </cell>
          <cell r="AR249" t="str">
            <v>Y</v>
          </cell>
          <cell r="AS249" t="str">
            <v/>
          </cell>
          <cell r="AT249" t="str">
            <v>RF</v>
          </cell>
          <cell r="AU249" t="str">
            <v>Refrigerator</v>
          </cell>
          <cell r="AV249" t="str">
            <v>RFBF</v>
          </cell>
          <cell r="AW249" t="str">
            <v>Bottom Freezer</v>
          </cell>
          <cell r="AX249" t="str">
            <v>RFBFMD</v>
          </cell>
          <cell r="AY249" t="str">
            <v>French Door Swing</v>
          </cell>
          <cell r="AZ249" t="str">
            <v>RFBFMD4D</v>
          </cell>
          <cell r="BA249" t="str">
            <v>4D F/D Swing</v>
          </cell>
        </row>
        <row r="250">
          <cell r="E250" t="str">
            <v>GV-F25FFLJB.APYQEBN</v>
          </cell>
          <cell r="F250">
            <v>27</v>
          </cell>
          <cell r="G250">
            <v>0</v>
          </cell>
          <cell r="H250">
            <v>0</v>
          </cell>
          <cell r="I250">
            <v>27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>1.347179</v>
          </cell>
          <cell r="AL250" t="str">
            <v>1</v>
          </cell>
          <cell r="AM250" t="str">
            <v>F</v>
          </cell>
          <cell r="AN250" t="str">
            <v>M0</v>
          </cell>
          <cell r="AO250" t="str">
            <v>Active(Model)</v>
          </cell>
          <cell r="AP250" t="str">
            <v/>
          </cell>
          <cell r="AQ250" t="str">
            <v/>
          </cell>
          <cell r="AR250" t="str">
            <v>Y</v>
          </cell>
          <cell r="AS250" t="str">
            <v/>
          </cell>
          <cell r="AT250" t="str">
            <v>RF</v>
          </cell>
          <cell r="AU250" t="str">
            <v>Refrigerator</v>
          </cell>
          <cell r="AV250" t="str">
            <v>RFBF</v>
          </cell>
          <cell r="AW250" t="str">
            <v>Bottom Freezer</v>
          </cell>
          <cell r="AX250" t="str">
            <v>RFBFMD</v>
          </cell>
          <cell r="AY250" t="str">
            <v>French Door Swing</v>
          </cell>
          <cell r="AZ250" t="str">
            <v>RFBFMD4D</v>
          </cell>
          <cell r="BA250" t="str">
            <v>4D F/D Swing</v>
          </cell>
        </row>
        <row r="251">
          <cell r="E251" t="str">
            <v>GV-K25FFGEB.ABMRLML</v>
          </cell>
          <cell r="F251">
            <v>1</v>
          </cell>
          <cell r="G251">
            <v>0</v>
          </cell>
          <cell r="H251">
            <v>0</v>
          </cell>
          <cell r="I251">
            <v>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 t="str">
            <v/>
          </cell>
          <cell r="AH251" t="str">
            <v/>
          </cell>
          <cell r="AI251" t="str">
            <v/>
          </cell>
          <cell r="AJ251" t="str">
            <v/>
          </cell>
          <cell r="AK251" t="str">
            <v>1.347179</v>
          </cell>
          <cell r="AL251" t="str">
            <v>1</v>
          </cell>
          <cell r="AM251" t="str">
            <v>F</v>
          </cell>
          <cell r="AN251" t="str">
            <v>M0</v>
          </cell>
          <cell r="AO251" t="str">
            <v>Active(Model)</v>
          </cell>
          <cell r="AP251" t="str">
            <v/>
          </cell>
          <cell r="AQ251" t="str">
            <v/>
          </cell>
          <cell r="AR251" t="str">
            <v>Y</v>
          </cell>
          <cell r="AS251" t="str">
            <v/>
          </cell>
          <cell r="AT251" t="str">
            <v>RF</v>
          </cell>
          <cell r="AU251" t="str">
            <v>Refrigerator</v>
          </cell>
          <cell r="AV251" t="str">
            <v>RFBF</v>
          </cell>
          <cell r="AW251" t="str">
            <v>Bottom Freezer</v>
          </cell>
          <cell r="AX251" t="str">
            <v>RFBFMD</v>
          </cell>
          <cell r="AY251" t="str">
            <v>French Door Swing</v>
          </cell>
          <cell r="AZ251" t="str">
            <v>RFBFMD4D</v>
          </cell>
          <cell r="BA251" t="str">
            <v>4D F/D Swing</v>
          </cell>
        </row>
        <row r="252">
          <cell r="E252" t="str">
            <v>GV-K25FFGFB.ABMQEBN</v>
          </cell>
          <cell r="F252">
            <v>24</v>
          </cell>
          <cell r="G252">
            <v>0</v>
          </cell>
          <cell r="H252">
            <v>0</v>
          </cell>
          <cell r="I252">
            <v>29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30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 t="str">
            <v/>
          </cell>
          <cell r="AH252" t="str">
            <v/>
          </cell>
          <cell r="AI252" t="str">
            <v/>
          </cell>
          <cell r="AJ252" t="str">
            <v/>
          </cell>
          <cell r="AK252" t="str">
            <v>1.347179</v>
          </cell>
          <cell r="AL252" t="str">
            <v>1</v>
          </cell>
          <cell r="AM252" t="str">
            <v>F</v>
          </cell>
          <cell r="AN252" t="str">
            <v>M0</v>
          </cell>
          <cell r="AO252" t="str">
            <v>Active(Model)</v>
          </cell>
          <cell r="AP252" t="str">
            <v/>
          </cell>
          <cell r="AQ252" t="str">
            <v/>
          </cell>
          <cell r="AR252" t="str">
            <v>Y</v>
          </cell>
          <cell r="AS252" t="str">
            <v/>
          </cell>
          <cell r="AT252" t="str">
            <v>RF</v>
          </cell>
          <cell r="AU252" t="str">
            <v>Refrigerator</v>
          </cell>
          <cell r="AV252" t="str">
            <v>RFBF</v>
          </cell>
          <cell r="AW252" t="str">
            <v>Bottom Freezer</v>
          </cell>
          <cell r="AX252" t="str">
            <v>RFBFMD</v>
          </cell>
          <cell r="AY252" t="str">
            <v>French Door Swing</v>
          </cell>
          <cell r="AZ252" t="str">
            <v>RFBFMD4D</v>
          </cell>
          <cell r="BA252" t="str">
            <v>4D F/D Swing</v>
          </cell>
        </row>
        <row r="253">
          <cell r="E253" t="str">
            <v>GV-NB58PS.APYBTST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4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>1.289601</v>
          </cell>
          <cell r="AL253" t="str">
            <v>1</v>
          </cell>
          <cell r="AM253" t="str">
            <v>F</v>
          </cell>
          <cell r="AN253" t="str">
            <v>M0</v>
          </cell>
          <cell r="AO253" t="str">
            <v>Active(Model)</v>
          </cell>
          <cell r="AP253" t="str">
            <v/>
          </cell>
          <cell r="AQ253" t="str">
            <v/>
          </cell>
          <cell r="AR253" t="str">
            <v>Y</v>
          </cell>
          <cell r="AS253" t="str">
            <v/>
          </cell>
          <cell r="AT253" t="str">
            <v>RF</v>
          </cell>
          <cell r="AU253" t="str">
            <v>Refrigerator</v>
          </cell>
          <cell r="AV253" t="str">
            <v>RFBF</v>
          </cell>
          <cell r="AW253" t="str">
            <v>Bottom Freezer</v>
          </cell>
          <cell r="AX253" t="str">
            <v>RFBFMD</v>
          </cell>
          <cell r="AY253" t="str">
            <v>French Door Swing</v>
          </cell>
          <cell r="AZ253" t="str">
            <v>RFBFMD4D</v>
          </cell>
          <cell r="BA253" t="str">
            <v>4D F/D Swing</v>
          </cell>
        </row>
        <row r="254">
          <cell r="E254" t="str">
            <v>GV-NB61BG.ABMBTST</v>
          </cell>
          <cell r="F254">
            <v>27</v>
          </cell>
          <cell r="G254">
            <v>0</v>
          </cell>
          <cell r="H254">
            <v>0</v>
          </cell>
          <cell r="I254">
            <v>27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60</v>
          </cell>
          <cell r="O254">
            <v>56</v>
          </cell>
          <cell r="P254">
            <v>60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>1.347179</v>
          </cell>
          <cell r="AL254" t="str">
            <v>1</v>
          </cell>
          <cell r="AM254" t="str">
            <v>F</v>
          </cell>
          <cell r="AN254" t="str">
            <v>M0</v>
          </cell>
          <cell r="AO254" t="str">
            <v>Active(Model)</v>
          </cell>
          <cell r="AP254" t="str">
            <v/>
          </cell>
          <cell r="AQ254" t="str">
            <v/>
          </cell>
          <cell r="AR254" t="str">
            <v>Y</v>
          </cell>
          <cell r="AS254" t="str">
            <v/>
          </cell>
          <cell r="AT254" t="str">
            <v>RF</v>
          </cell>
          <cell r="AU254" t="str">
            <v>Refrigerator</v>
          </cell>
          <cell r="AV254" t="str">
            <v>RFBF</v>
          </cell>
          <cell r="AW254" t="str">
            <v>Bottom Freezer</v>
          </cell>
          <cell r="AX254" t="str">
            <v>RFBFMD</v>
          </cell>
          <cell r="AY254" t="str">
            <v>French Door Swing</v>
          </cell>
          <cell r="AZ254" t="str">
            <v>RFBFMD4D</v>
          </cell>
          <cell r="BA254" t="str">
            <v>4D F/D Swing</v>
          </cell>
        </row>
        <row r="255">
          <cell r="E255" t="str">
            <v>GV-NB61WG.ATWBTST</v>
          </cell>
          <cell r="F255">
            <v>1</v>
          </cell>
          <cell r="G255">
            <v>0</v>
          </cell>
          <cell r="H255">
            <v>0</v>
          </cell>
          <cell r="I255">
            <v>1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30</v>
          </cell>
          <cell r="O255">
            <v>119</v>
          </cell>
          <cell r="P255">
            <v>30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>1.347179</v>
          </cell>
          <cell r="AL255" t="str">
            <v>1</v>
          </cell>
          <cell r="AM255" t="str">
            <v>F</v>
          </cell>
          <cell r="AN255" t="str">
            <v>M0</v>
          </cell>
          <cell r="AO255" t="str">
            <v>Active(Model)</v>
          </cell>
          <cell r="AP255" t="str">
            <v/>
          </cell>
          <cell r="AQ255" t="str">
            <v/>
          </cell>
          <cell r="AR255" t="str">
            <v>Y</v>
          </cell>
          <cell r="AS255" t="str">
            <v/>
          </cell>
          <cell r="AT255" t="str">
            <v>RF</v>
          </cell>
          <cell r="AU255" t="str">
            <v>Refrigerator</v>
          </cell>
          <cell r="AV255" t="str">
            <v>RFBF</v>
          </cell>
          <cell r="AW255" t="str">
            <v>Bottom Freezer</v>
          </cell>
          <cell r="AX255" t="str">
            <v>RFBFMD</v>
          </cell>
          <cell r="AY255" t="str">
            <v>French Door Swing</v>
          </cell>
          <cell r="AZ255" t="str">
            <v>RFBFMD4D</v>
          </cell>
          <cell r="BA255" t="str">
            <v>4D F/D Swing</v>
          </cell>
        </row>
        <row r="256">
          <cell r="E256" t="str">
            <v>HSC02-BW.BEUB051</v>
          </cell>
          <cell r="F256">
            <v>1879</v>
          </cell>
          <cell r="G256">
            <v>0</v>
          </cell>
          <cell r="H256">
            <v>0</v>
          </cell>
          <cell r="I256">
            <v>1879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7200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 t="str">
            <v/>
          </cell>
          <cell r="AH256" t="str">
            <v/>
          </cell>
          <cell r="AI256" t="str">
            <v>KR17P00138610</v>
          </cell>
          <cell r="AJ256" t="str">
            <v>HCBM0NNN1A1.ARFQ</v>
          </cell>
          <cell r="AK256" t="str">
            <v>0.018000</v>
          </cell>
          <cell r="AL256" t="str">
            <v>1</v>
          </cell>
          <cell r="AM256" t="str">
            <v>F</v>
          </cell>
          <cell r="AN256" t="str">
            <v>M0</v>
          </cell>
          <cell r="AO256" t="str">
            <v>Active(Model)</v>
          </cell>
          <cell r="AP256" t="str">
            <v/>
          </cell>
          <cell r="AQ256" t="str">
            <v/>
          </cell>
          <cell r="AR256" t="str">
            <v>Y</v>
          </cell>
          <cell r="AS256" t="str">
            <v/>
          </cell>
          <cell r="AT256" t="str">
            <v>IN</v>
          </cell>
          <cell r="AU256" t="str">
            <v>Infotainment</v>
          </cell>
          <cell r="AV256" t="str">
            <v>INDI</v>
          </cell>
          <cell r="AW256" t="str">
            <v>Vehicle Display</v>
          </cell>
          <cell r="AX256" t="str">
            <v>INDIHU</v>
          </cell>
          <cell r="AY256" t="str">
            <v>HUD</v>
          </cell>
          <cell r="AZ256" t="str">
            <v>INDIHUCB</v>
          </cell>
          <cell r="BA256" t="str">
            <v>Combiner HUD</v>
          </cell>
        </row>
        <row r="257">
          <cell r="E257" t="str">
            <v>HSW01-VW.BEU20</v>
          </cell>
          <cell r="F257">
            <v>62</v>
          </cell>
          <cell r="G257">
            <v>0</v>
          </cell>
          <cell r="H257">
            <v>0</v>
          </cell>
          <cell r="I257">
            <v>62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508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 t="str">
            <v/>
          </cell>
          <cell r="AH257" t="str">
            <v/>
          </cell>
          <cell r="AI257" t="str">
            <v>KR16P14295960</v>
          </cell>
          <cell r="AJ257" t="str">
            <v>HWVW0ANN009.ARFQ</v>
          </cell>
          <cell r="AK257" t="str">
            <v>0.095312</v>
          </cell>
          <cell r="AL257" t="str">
            <v>1</v>
          </cell>
          <cell r="AM257" t="str">
            <v>F</v>
          </cell>
          <cell r="AN257" t="str">
            <v>M0</v>
          </cell>
          <cell r="AO257" t="str">
            <v>Active(Model)</v>
          </cell>
          <cell r="AP257" t="str">
            <v/>
          </cell>
          <cell r="AQ257" t="str">
            <v/>
          </cell>
          <cell r="AR257" t="str">
            <v>Y</v>
          </cell>
          <cell r="AS257" t="str">
            <v/>
          </cell>
          <cell r="AT257" t="str">
            <v>IN</v>
          </cell>
          <cell r="AU257" t="str">
            <v>Infotainment</v>
          </cell>
          <cell r="AV257" t="str">
            <v>INDI</v>
          </cell>
          <cell r="AW257" t="str">
            <v>Vehicle Display</v>
          </cell>
          <cell r="AX257" t="str">
            <v>INDIHU</v>
          </cell>
          <cell r="AY257" t="str">
            <v>HUD</v>
          </cell>
          <cell r="AZ257" t="str">
            <v>INDIHUWS</v>
          </cell>
          <cell r="BA257" t="str">
            <v>Wind Shield HUD</v>
          </cell>
        </row>
        <row r="258">
          <cell r="E258" t="str">
            <v>HSW02-VW.BEU17</v>
          </cell>
          <cell r="F258">
            <v>325</v>
          </cell>
          <cell r="G258">
            <v>0</v>
          </cell>
          <cell r="H258">
            <v>0</v>
          </cell>
          <cell r="I258">
            <v>325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 t="str">
            <v/>
          </cell>
          <cell r="AH258" t="str">
            <v/>
          </cell>
          <cell r="AI258" t="str">
            <v>KR16P14295960</v>
          </cell>
          <cell r="AJ258" t="str">
            <v>HWVW0ANN09C.ARFQ</v>
          </cell>
          <cell r="AK258" t="str">
            <v>0.095312</v>
          </cell>
          <cell r="AL258" t="str">
            <v>1</v>
          </cell>
          <cell r="AM258" t="str">
            <v>F</v>
          </cell>
          <cell r="AN258" t="str">
            <v>M0</v>
          </cell>
          <cell r="AO258" t="str">
            <v>Active(Model)</v>
          </cell>
          <cell r="AP258" t="str">
            <v/>
          </cell>
          <cell r="AQ258" t="str">
            <v/>
          </cell>
          <cell r="AR258" t="str">
            <v>Y</v>
          </cell>
          <cell r="AS258" t="str">
            <v/>
          </cell>
          <cell r="AT258" t="str">
            <v>IN</v>
          </cell>
          <cell r="AU258" t="str">
            <v>Infotainment</v>
          </cell>
          <cell r="AV258" t="str">
            <v>INDI</v>
          </cell>
          <cell r="AW258" t="str">
            <v>Vehicle Display</v>
          </cell>
          <cell r="AX258" t="str">
            <v>INDIHU</v>
          </cell>
          <cell r="AY258" t="str">
            <v>HUD</v>
          </cell>
          <cell r="AZ258" t="str">
            <v>INDIHUWS</v>
          </cell>
          <cell r="BA258" t="str">
            <v>Wind Shield HUD</v>
          </cell>
        </row>
        <row r="259">
          <cell r="E259" t="str">
            <v>HSW03-VW.BCA21</v>
          </cell>
          <cell r="F259">
            <v>723</v>
          </cell>
          <cell r="G259">
            <v>0</v>
          </cell>
          <cell r="H259">
            <v>0</v>
          </cell>
          <cell r="I259">
            <v>723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404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 t="str">
            <v/>
          </cell>
          <cell r="AH259" t="str">
            <v/>
          </cell>
          <cell r="AI259" t="str">
            <v>KR16P14295960</v>
          </cell>
          <cell r="AJ259" t="str">
            <v>HWVW0ANN0C1.ARFQ</v>
          </cell>
          <cell r="AK259" t="str">
            <v>0.018000</v>
          </cell>
          <cell r="AL259" t="str">
            <v>1</v>
          </cell>
          <cell r="AM259" t="str">
            <v>F</v>
          </cell>
          <cell r="AN259" t="str">
            <v>M0</v>
          </cell>
          <cell r="AO259" t="str">
            <v>Active(Model)</v>
          </cell>
          <cell r="AP259" t="str">
            <v/>
          </cell>
          <cell r="AQ259" t="str">
            <v/>
          </cell>
          <cell r="AR259" t="str">
            <v>Y</v>
          </cell>
          <cell r="AS259" t="str">
            <v/>
          </cell>
          <cell r="AT259" t="str">
            <v>IN</v>
          </cell>
          <cell r="AU259" t="str">
            <v>Infotainment</v>
          </cell>
          <cell r="AV259" t="str">
            <v>INDI</v>
          </cell>
          <cell r="AW259" t="str">
            <v>Vehicle Display</v>
          </cell>
          <cell r="AX259" t="str">
            <v>INDIHU</v>
          </cell>
          <cell r="AY259" t="str">
            <v>HUD</v>
          </cell>
          <cell r="AZ259" t="str">
            <v>INDIHUWS</v>
          </cell>
          <cell r="BA259" t="str">
            <v>Wind Shield HUD</v>
          </cell>
        </row>
        <row r="260">
          <cell r="E260" t="str">
            <v>HSW03-VW.BEU21</v>
          </cell>
          <cell r="F260">
            <v>2075</v>
          </cell>
          <cell r="G260">
            <v>0</v>
          </cell>
          <cell r="H260">
            <v>0</v>
          </cell>
          <cell r="I260">
            <v>2651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2880</v>
          </cell>
          <cell r="O260">
            <v>2880</v>
          </cell>
          <cell r="P260">
            <v>2880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 t="str">
            <v/>
          </cell>
          <cell r="AH260" t="str">
            <v/>
          </cell>
          <cell r="AI260" t="str">
            <v>KR16P14295960</v>
          </cell>
          <cell r="AJ260" t="str">
            <v>HWVW0ANN0B9.ARFQ</v>
          </cell>
          <cell r="AK260" t="str">
            <v>0.095312</v>
          </cell>
          <cell r="AL260" t="str">
            <v>1</v>
          </cell>
          <cell r="AM260" t="str">
            <v>F</v>
          </cell>
          <cell r="AN260" t="str">
            <v>M0</v>
          </cell>
          <cell r="AO260" t="str">
            <v>Active(Model)</v>
          </cell>
          <cell r="AP260" t="str">
            <v/>
          </cell>
          <cell r="AQ260" t="str">
            <v/>
          </cell>
          <cell r="AR260" t="str">
            <v>Y</v>
          </cell>
          <cell r="AS260" t="str">
            <v/>
          </cell>
          <cell r="AT260" t="str">
            <v>IN</v>
          </cell>
          <cell r="AU260" t="str">
            <v>Infotainment</v>
          </cell>
          <cell r="AV260" t="str">
            <v>INDI</v>
          </cell>
          <cell r="AW260" t="str">
            <v>Vehicle Display</v>
          </cell>
          <cell r="AX260" t="str">
            <v>INDIHU</v>
          </cell>
          <cell r="AY260" t="str">
            <v>HUD</v>
          </cell>
          <cell r="AZ260" t="str">
            <v>INDIHUWS</v>
          </cell>
          <cell r="BA260" t="str">
            <v>Wind Shield HUD</v>
          </cell>
        </row>
        <row r="261">
          <cell r="E261" t="str">
            <v>HSW04-VW.BEU14</v>
          </cell>
          <cell r="F261">
            <v>327</v>
          </cell>
          <cell r="G261">
            <v>0</v>
          </cell>
          <cell r="H261">
            <v>0</v>
          </cell>
          <cell r="I261">
            <v>327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 t="str">
            <v/>
          </cell>
          <cell r="AH261" t="str">
            <v/>
          </cell>
          <cell r="AI261" t="str">
            <v>KR16P14295960</v>
          </cell>
          <cell r="AJ261" t="str">
            <v>HWVW0ANN0D9.ARFQ</v>
          </cell>
          <cell r="AK261" t="str">
            <v>0.095312</v>
          </cell>
          <cell r="AL261" t="str">
            <v>1</v>
          </cell>
          <cell r="AM261" t="str">
            <v>F</v>
          </cell>
          <cell r="AN261" t="str">
            <v>M0</v>
          </cell>
          <cell r="AO261" t="str">
            <v>Active(Model)</v>
          </cell>
          <cell r="AP261" t="str">
            <v/>
          </cell>
          <cell r="AQ261" t="str">
            <v/>
          </cell>
          <cell r="AR261" t="str">
            <v>Y</v>
          </cell>
          <cell r="AS261" t="str">
            <v/>
          </cell>
          <cell r="AT261" t="str">
            <v>IN</v>
          </cell>
          <cell r="AU261" t="str">
            <v>Infotainment</v>
          </cell>
          <cell r="AV261" t="str">
            <v>INDI</v>
          </cell>
          <cell r="AW261" t="str">
            <v>Vehicle Display</v>
          </cell>
          <cell r="AX261" t="str">
            <v>INDIHU</v>
          </cell>
          <cell r="AY261" t="str">
            <v>HUD</v>
          </cell>
          <cell r="AZ261" t="str">
            <v>INDIHUWS</v>
          </cell>
          <cell r="BA261" t="str">
            <v>Wind Shield HUD</v>
          </cell>
        </row>
        <row r="262">
          <cell r="E262" t="str">
            <v>HSW05-JV.BEU19</v>
          </cell>
          <cell r="F262">
            <v>569</v>
          </cell>
          <cell r="G262">
            <v>0</v>
          </cell>
          <cell r="H262">
            <v>0</v>
          </cell>
          <cell r="I262">
            <v>569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1152</v>
          </cell>
          <cell r="O262">
            <v>576</v>
          </cell>
          <cell r="P262">
            <v>1152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 t="str">
            <v/>
          </cell>
          <cell r="AH262" t="str">
            <v/>
          </cell>
          <cell r="AI262" t="str">
            <v>KR16P14295960</v>
          </cell>
          <cell r="AJ262" t="str">
            <v>HWVS0ANN000.ARFQ</v>
          </cell>
          <cell r="AK262" t="str">
            <v>0.095312</v>
          </cell>
          <cell r="AL262" t="str">
            <v>1</v>
          </cell>
          <cell r="AM262" t="str">
            <v>F</v>
          </cell>
          <cell r="AN262" t="str">
            <v>M0</v>
          </cell>
          <cell r="AO262" t="str">
            <v>Active(Model)</v>
          </cell>
          <cell r="AP262" t="str">
            <v/>
          </cell>
          <cell r="AQ262" t="str">
            <v/>
          </cell>
          <cell r="AR262" t="str">
            <v>Y</v>
          </cell>
          <cell r="AS262" t="str">
            <v/>
          </cell>
          <cell r="AT262" t="str">
            <v>IN</v>
          </cell>
          <cell r="AU262" t="str">
            <v>Infotainment</v>
          </cell>
          <cell r="AV262" t="str">
            <v>INDI</v>
          </cell>
          <cell r="AW262" t="str">
            <v>Vehicle Display</v>
          </cell>
          <cell r="AX262" t="str">
            <v>INDIHU</v>
          </cell>
          <cell r="AY262" t="str">
            <v>HUD</v>
          </cell>
          <cell r="AZ262" t="str">
            <v>INDIHUWS</v>
          </cell>
          <cell r="BA262" t="str">
            <v>Wind Shield HUD</v>
          </cell>
        </row>
        <row r="263">
          <cell r="E263" t="str">
            <v>HSW07-AU.BEU21</v>
          </cell>
          <cell r="F263">
            <v>256</v>
          </cell>
          <cell r="G263">
            <v>0</v>
          </cell>
          <cell r="H263">
            <v>0</v>
          </cell>
          <cell r="I263">
            <v>256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1152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 t="str">
            <v/>
          </cell>
          <cell r="AH263" t="str">
            <v/>
          </cell>
          <cell r="AI263" t="str">
            <v>KR16P14295960</v>
          </cell>
          <cell r="AJ263" t="str">
            <v>HWVW0ANN09I.ARFQ</v>
          </cell>
          <cell r="AK263" t="str">
            <v>0.095312</v>
          </cell>
          <cell r="AL263" t="str">
            <v>1</v>
          </cell>
          <cell r="AM263" t="str">
            <v>F</v>
          </cell>
          <cell r="AN263" t="str">
            <v>M0</v>
          </cell>
          <cell r="AO263" t="str">
            <v>Active(Model)</v>
          </cell>
          <cell r="AP263" t="str">
            <v/>
          </cell>
          <cell r="AQ263" t="str">
            <v/>
          </cell>
          <cell r="AR263" t="str">
            <v>Y</v>
          </cell>
          <cell r="AS263" t="str">
            <v/>
          </cell>
          <cell r="AT263" t="str">
            <v>IN</v>
          </cell>
          <cell r="AU263" t="str">
            <v>Infotainment</v>
          </cell>
          <cell r="AV263" t="str">
            <v>INDI</v>
          </cell>
          <cell r="AW263" t="str">
            <v>Vehicle Display</v>
          </cell>
          <cell r="AX263" t="str">
            <v>INDIHU</v>
          </cell>
          <cell r="AY263" t="str">
            <v>HUD</v>
          </cell>
          <cell r="AZ263" t="str">
            <v>INDIHUWS</v>
          </cell>
          <cell r="BA263" t="str">
            <v>Wind Shield HUD</v>
          </cell>
        </row>
        <row r="264">
          <cell r="E264" t="str">
            <v>HSW09-VW.BEU5</v>
          </cell>
          <cell r="F264">
            <v>1445</v>
          </cell>
          <cell r="G264">
            <v>0</v>
          </cell>
          <cell r="H264">
            <v>22</v>
          </cell>
          <cell r="I264">
            <v>2619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1728</v>
          </cell>
          <cell r="O264">
            <v>0</v>
          </cell>
          <cell r="P264">
            <v>1728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 t="str">
            <v/>
          </cell>
          <cell r="AH264" t="str">
            <v/>
          </cell>
          <cell r="AI264" t="str">
            <v>KR16P14295960</v>
          </cell>
          <cell r="AJ264" t="str">
            <v>HWVW0ANN0BA.ARFQ</v>
          </cell>
          <cell r="AK264" t="str">
            <v>0.095312</v>
          </cell>
          <cell r="AL264" t="str">
            <v>1</v>
          </cell>
          <cell r="AM264" t="str">
            <v>F</v>
          </cell>
          <cell r="AN264" t="str">
            <v>M0</v>
          </cell>
          <cell r="AO264" t="str">
            <v>Active(Model)</v>
          </cell>
          <cell r="AP264" t="str">
            <v/>
          </cell>
          <cell r="AQ264" t="str">
            <v/>
          </cell>
          <cell r="AR264" t="str">
            <v>Y</v>
          </cell>
          <cell r="AS264" t="str">
            <v/>
          </cell>
          <cell r="AT264" t="str">
            <v>IN</v>
          </cell>
          <cell r="AU264" t="str">
            <v>Infotainment</v>
          </cell>
          <cell r="AV264" t="str">
            <v>INDI</v>
          </cell>
          <cell r="AW264" t="str">
            <v>Vehicle Display</v>
          </cell>
          <cell r="AX264" t="str">
            <v>INDIHU</v>
          </cell>
          <cell r="AY264" t="str">
            <v>HUD</v>
          </cell>
          <cell r="AZ264" t="str">
            <v>INDIHUWS</v>
          </cell>
          <cell r="BA264" t="str">
            <v>Wind Shield HUD</v>
          </cell>
        </row>
        <row r="265">
          <cell r="E265" t="str">
            <v>HSW0A-VW.BEU5</v>
          </cell>
          <cell r="F265">
            <v>7</v>
          </cell>
          <cell r="G265">
            <v>0</v>
          </cell>
          <cell r="H265">
            <v>0</v>
          </cell>
          <cell r="I265">
            <v>7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568</v>
          </cell>
          <cell r="O265">
            <v>0</v>
          </cell>
          <cell r="P265">
            <v>568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str">
            <v/>
          </cell>
          <cell r="AH265" t="str">
            <v/>
          </cell>
          <cell r="AI265" t="str">
            <v>KR16P14295960</v>
          </cell>
          <cell r="AJ265" t="str">
            <v>HWVW0ANN0B1.ARFQ</v>
          </cell>
          <cell r="AK265" t="str">
            <v>0.095312</v>
          </cell>
          <cell r="AL265" t="str">
            <v>1</v>
          </cell>
          <cell r="AM265" t="str">
            <v>F</v>
          </cell>
          <cell r="AN265" t="str">
            <v>M0</v>
          </cell>
          <cell r="AO265" t="str">
            <v>Active(Model)</v>
          </cell>
          <cell r="AP265" t="str">
            <v/>
          </cell>
          <cell r="AQ265" t="str">
            <v/>
          </cell>
          <cell r="AR265" t="str">
            <v>Y</v>
          </cell>
          <cell r="AS265" t="str">
            <v/>
          </cell>
          <cell r="AT265" t="str">
            <v>IN</v>
          </cell>
          <cell r="AU265" t="str">
            <v>Infotainment</v>
          </cell>
          <cell r="AV265" t="str">
            <v>INDI</v>
          </cell>
          <cell r="AW265" t="str">
            <v>Vehicle Display</v>
          </cell>
          <cell r="AX265" t="str">
            <v>INDIHU</v>
          </cell>
          <cell r="AY265" t="str">
            <v>HUD</v>
          </cell>
          <cell r="AZ265" t="str">
            <v>INDIHUWS</v>
          </cell>
          <cell r="BA265" t="str">
            <v>Wind Shield HUD</v>
          </cell>
        </row>
        <row r="266">
          <cell r="E266" t="str">
            <v>IGCJ2PHE.BJVJ380</v>
          </cell>
          <cell r="F266">
            <v>120</v>
          </cell>
          <cell r="G266">
            <v>0</v>
          </cell>
          <cell r="H266">
            <v>0</v>
          </cell>
          <cell r="I266">
            <v>120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240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 t="str">
            <v/>
          </cell>
          <cell r="AH266" t="str">
            <v/>
          </cell>
          <cell r="AI266" t="str">
            <v>KR16P11486340</v>
          </cell>
          <cell r="AJ266" t="str">
            <v>NSJLABNGO07.ARFQ</v>
          </cell>
          <cell r="AK266" t="str">
            <v>0.008400</v>
          </cell>
          <cell r="AL266" t="str">
            <v>1</v>
          </cell>
          <cell r="AM266" t="str">
            <v>F</v>
          </cell>
          <cell r="AN266" t="str">
            <v>M0</v>
          </cell>
          <cell r="AO266" t="str">
            <v>Active(Model)</v>
          </cell>
          <cell r="AP266" t="str">
            <v/>
          </cell>
          <cell r="AQ266" t="str">
            <v/>
          </cell>
          <cell r="AR266" t="str">
            <v>Y</v>
          </cell>
          <cell r="AS266" t="str">
            <v/>
          </cell>
          <cell r="AT266" t="str">
            <v>IN</v>
          </cell>
          <cell r="AU266" t="str">
            <v>Infotainment</v>
          </cell>
          <cell r="AV266" t="str">
            <v>INAV</v>
          </cell>
          <cell r="AW266" t="str">
            <v>AV/AVN</v>
          </cell>
          <cell r="AX266" t="str">
            <v>INAVAN</v>
          </cell>
          <cell r="AY266" t="str">
            <v>AVN</v>
          </cell>
          <cell r="AZ266" t="str">
            <v>INAVANNS</v>
          </cell>
          <cell r="BA266" t="str">
            <v>AVN Silver Box</v>
          </cell>
        </row>
        <row r="267">
          <cell r="E267" t="str">
            <v>IGCJ2PHE.BRBJ380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1000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 t="str">
            <v/>
          </cell>
          <cell r="AH267" t="str">
            <v/>
          </cell>
          <cell r="AI267" t="str">
            <v>KR16P11486340</v>
          </cell>
          <cell r="AJ267" t="str">
            <v>NSJLADNG105.ARFQ</v>
          </cell>
          <cell r="AK267" t="str">
            <v>0.008400</v>
          </cell>
          <cell r="AL267" t="str">
            <v>1</v>
          </cell>
          <cell r="AM267" t="str">
            <v>F</v>
          </cell>
          <cell r="AN267" t="str">
            <v>M0</v>
          </cell>
          <cell r="AO267" t="str">
            <v>Active(Model)</v>
          </cell>
          <cell r="AP267" t="str">
            <v/>
          </cell>
          <cell r="AQ267" t="str">
            <v/>
          </cell>
          <cell r="AR267" t="str">
            <v>Y</v>
          </cell>
          <cell r="AS267" t="str">
            <v/>
          </cell>
          <cell r="AT267" t="str">
            <v>IN</v>
          </cell>
          <cell r="AU267" t="str">
            <v>Infotainment</v>
          </cell>
          <cell r="AV267" t="str">
            <v>INAV</v>
          </cell>
          <cell r="AW267" t="str">
            <v>AV/AVN</v>
          </cell>
          <cell r="AX267" t="str">
            <v>INAVAN</v>
          </cell>
          <cell r="AY267" t="str">
            <v>AVN</v>
          </cell>
          <cell r="AZ267" t="str">
            <v>INAVANNS</v>
          </cell>
          <cell r="BA267" t="str">
            <v>AVN Silver Box</v>
          </cell>
        </row>
        <row r="268">
          <cell r="E268" t="str">
            <v>IGCJ2PHE.BRDJ380</v>
          </cell>
          <cell r="F268">
            <v>2195</v>
          </cell>
          <cell r="G268">
            <v>0</v>
          </cell>
          <cell r="H268">
            <v>0</v>
          </cell>
          <cell r="I268">
            <v>2195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3780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 t="str">
            <v/>
          </cell>
          <cell r="AH268" t="str">
            <v/>
          </cell>
          <cell r="AI268" t="str">
            <v>KR16P11486340</v>
          </cell>
          <cell r="AJ268" t="str">
            <v>NSJLABNGO06.ARFQ</v>
          </cell>
          <cell r="AK268" t="str">
            <v>0.008400</v>
          </cell>
          <cell r="AL268" t="str">
            <v>1</v>
          </cell>
          <cell r="AM268" t="str">
            <v>F</v>
          </cell>
          <cell r="AN268" t="str">
            <v>M0</v>
          </cell>
          <cell r="AO268" t="str">
            <v>Active(Model)</v>
          </cell>
          <cell r="AP268" t="str">
            <v/>
          </cell>
          <cell r="AQ268" t="str">
            <v/>
          </cell>
          <cell r="AR268" t="str">
            <v>Y</v>
          </cell>
          <cell r="AS268" t="str">
            <v/>
          </cell>
          <cell r="AT268" t="str">
            <v>IN</v>
          </cell>
          <cell r="AU268" t="str">
            <v>Infotainment</v>
          </cell>
          <cell r="AV268" t="str">
            <v>INAV</v>
          </cell>
          <cell r="AW268" t="str">
            <v>AV/AVN</v>
          </cell>
          <cell r="AX268" t="str">
            <v>INAVAN</v>
          </cell>
          <cell r="AY268" t="str">
            <v>AVN</v>
          </cell>
          <cell r="AZ268" t="str">
            <v>INAVANNS</v>
          </cell>
          <cell r="BA268" t="str">
            <v>AVN Silver Box</v>
          </cell>
        </row>
        <row r="269">
          <cell r="E269" t="str">
            <v>IGCJ2PHN.BNSJ380</v>
          </cell>
          <cell r="F269">
            <v>2420</v>
          </cell>
          <cell r="G269">
            <v>0</v>
          </cell>
          <cell r="H269">
            <v>0</v>
          </cell>
          <cell r="I269">
            <v>2420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2540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 t="str">
            <v/>
          </cell>
          <cell r="AH269" t="str">
            <v/>
          </cell>
          <cell r="AI269" t="str">
            <v>KR16P11486340</v>
          </cell>
          <cell r="AJ269" t="str">
            <v>NSJLACNG105.ARFQ</v>
          </cell>
          <cell r="AK269" t="str">
            <v>0.008400</v>
          </cell>
          <cell r="AL269" t="str">
            <v>1</v>
          </cell>
          <cell r="AM269" t="str">
            <v>F</v>
          </cell>
          <cell r="AN269" t="str">
            <v>M0</v>
          </cell>
          <cell r="AO269" t="str">
            <v>Active(Model)</v>
          </cell>
          <cell r="AP269" t="str">
            <v/>
          </cell>
          <cell r="AQ269" t="str">
            <v/>
          </cell>
          <cell r="AR269" t="str">
            <v>Y</v>
          </cell>
          <cell r="AS269" t="str">
            <v/>
          </cell>
          <cell r="AT269" t="str">
            <v>IN</v>
          </cell>
          <cell r="AU269" t="str">
            <v>Infotainment</v>
          </cell>
          <cell r="AV269" t="str">
            <v>INAV</v>
          </cell>
          <cell r="AW269" t="str">
            <v>AV/AVN</v>
          </cell>
          <cell r="AX269" t="str">
            <v>INAVAN</v>
          </cell>
          <cell r="AY269" t="str">
            <v>AVN</v>
          </cell>
          <cell r="AZ269" t="str">
            <v>INAVANNS</v>
          </cell>
          <cell r="BA269" t="str">
            <v>AVN Silver Box</v>
          </cell>
        </row>
        <row r="270">
          <cell r="E270" t="str">
            <v>IL7FF-NCBCG.BNALD10</v>
          </cell>
          <cell r="F270">
            <v>2</v>
          </cell>
          <cell r="G270">
            <v>0</v>
          </cell>
          <cell r="H270">
            <v>0</v>
          </cell>
          <cell r="I270">
            <v>2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 t="str">
            <v/>
          </cell>
          <cell r="AH270" t="str">
            <v/>
          </cell>
          <cell r="AI270" t="str">
            <v>KR16P09490450</v>
          </cell>
          <cell r="AJ270" t="str">
            <v>AVGM7CRG192.ARFQ</v>
          </cell>
          <cell r="AK270" t="str">
            <v>0.000504</v>
          </cell>
          <cell r="AL270" t="str">
            <v>0</v>
          </cell>
          <cell r="AM270" t="str">
            <v>F</v>
          </cell>
          <cell r="AN270" t="str">
            <v>M0</v>
          </cell>
          <cell r="AO270" t="str">
            <v>Active(Model)</v>
          </cell>
          <cell r="AP270" t="str">
            <v/>
          </cell>
          <cell r="AQ270" t="str">
            <v/>
          </cell>
          <cell r="AR270" t="str">
            <v>Y</v>
          </cell>
          <cell r="AS270" t="str">
            <v/>
          </cell>
          <cell r="AT270" t="str">
            <v>IN</v>
          </cell>
          <cell r="AU270" t="str">
            <v>Infotainment</v>
          </cell>
          <cell r="AV270" t="str">
            <v>INAV</v>
          </cell>
          <cell r="AW270" t="str">
            <v>AV/AVN</v>
          </cell>
          <cell r="AX270" t="str">
            <v>INAVAV</v>
          </cell>
          <cell r="AY270" t="str">
            <v>AV</v>
          </cell>
          <cell r="AZ270" t="str">
            <v>INAVAVVV</v>
          </cell>
          <cell r="BA270" t="str">
            <v>AV with Display</v>
          </cell>
        </row>
        <row r="271">
          <cell r="E271" t="str">
            <v>IL7SB-5A6G1.BUZKR03</v>
          </cell>
          <cell r="F271">
            <v>0</v>
          </cell>
          <cell r="G271">
            <v>0</v>
          </cell>
          <cell r="H271">
            <v>2334</v>
          </cell>
          <cell r="I271">
            <v>2334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 t="str">
            <v/>
          </cell>
          <cell r="AH271" t="str">
            <v/>
          </cell>
          <cell r="AI271" t="str">
            <v>KR16P09490450</v>
          </cell>
          <cell r="AJ271" t="str">
            <v>ASGU3NNG3E1.ARFQ</v>
          </cell>
          <cell r="AK271" t="str">
            <v>0.005414</v>
          </cell>
          <cell r="AL271" t="str">
            <v>1</v>
          </cell>
          <cell r="AM271" t="str">
            <v>F</v>
          </cell>
          <cell r="AN271" t="str">
            <v>M0</v>
          </cell>
          <cell r="AO271" t="str">
            <v>Active(Model)</v>
          </cell>
          <cell r="AP271" t="str">
            <v/>
          </cell>
          <cell r="AQ271" t="str">
            <v/>
          </cell>
          <cell r="AR271" t="str">
            <v>Y</v>
          </cell>
          <cell r="AS271" t="str">
            <v/>
          </cell>
          <cell r="AT271" t="str">
            <v>IN</v>
          </cell>
          <cell r="AU271" t="str">
            <v>Infotainment</v>
          </cell>
          <cell r="AV271" t="str">
            <v>INAV</v>
          </cell>
          <cell r="AW271" t="str">
            <v>AV/AVN</v>
          </cell>
          <cell r="AX271" t="str">
            <v>INAVAV</v>
          </cell>
          <cell r="AY271" t="str">
            <v>AV</v>
          </cell>
          <cell r="AZ271" t="str">
            <v>INAVAVVS</v>
          </cell>
          <cell r="BA271" t="str">
            <v>AV Silver Box</v>
          </cell>
        </row>
        <row r="272">
          <cell r="E272" t="str">
            <v>IL7SB-5A6G1.BUZKR04</v>
          </cell>
          <cell r="F272">
            <v>371</v>
          </cell>
          <cell r="G272">
            <v>0</v>
          </cell>
          <cell r="H272">
            <v>114</v>
          </cell>
          <cell r="I272">
            <v>485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 t="str">
            <v/>
          </cell>
          <cell r="AH272" t="str">
            <v/>
          </cell>
          <cell r="AI272" t="str">
            <v>KR16P09490450</v>
          </cell>
          <cell r="AJ272" t="str">
            <v>ASGU3NNG3E1.ARFQ</v>
          </cell>
          <cell r="AK272" t="str">
            <v>0.000838</v>
          </cell>
          <cell r="AL272" t="str">
            <v>1</v>
          </cell>
          <cell r="AM272" t="str">
            <v>F</v>
          </cell>
          <cell r="AN272" t="str">
            <v>M0</v>
          </cell>
          <cell r="AO272" t="str">
            <v>Active(Model)</v>
          </cell>
          <cell r="AP272" t="str">
            <v/>
          </cell>
          <cell r="AQ272" t="str">
            <v/>
          </cell>
          <cell r="AR272" t="str">
            <v>Y</v>
          </cell>
          <cell r="AS272" t="str">
            <v/>
          </cell>
          <cell r="AT272" t="str">
            <v>IN</v>
          </cell>
          <cell r="AU272" t="str">
            <v>Infotainment</v>
          </cell>
          <cell r="AV272" t="str">
            <v>INAV</v>
          </cell>
          <cell r="AW272" t="str">
            <v>AV/AVN</v>
          </cell>
          <cell r="AX272" t="str">
            <v>INAVAV</v>
          </cell>
          <cell r="AY272" t="str">
            <v>AV</v>
          </cell>
          <cell r="AZ272" t="str">
            <v>INAVAVVS</v>
          </cell>
          <cell r="BA272" t="str">
            <v>AV Silver Box</v>
          </cell>
        </row>
        <row r="273">
          <cell r="E273" t="str">
            <v>IL7SB-5M7G6.BNAWV01</v>
          </cell>
          <cell r="F273">
            <v>4224</v>
          </cell>
          <cell r="G273">
            <v>0</v>
          </cell>
          <cell r="H273">
            <v>0</v>
          </cell>
          <cell r="I273">
            <v>4224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 t="str">
            <v/>
          </cell>
          <cell r="AH273" t="str">
            <v/>
          </cell>
          <cell r="AI273" t="str">
            <v>KR16P09490450</v>
          </cell>
          <cell r="AJ273" t="str">
            <v>ASGM7BNG0CA.ARFQ</v>
          </cell>
          <cell r="AK273" t="str">
            <v>0.005414</v>
          </cell>
          <cell r="AL273" t="str">
            <v>1</v>
          </cell>
          <cell r="AM273" t="str">
            <v>F</v>
          </cell>
          <cell r="AN273" t="str">
            <v>M0</v>
          </cell>
          <cell r="AO273" t="str">
            <v>Active(Model)</v>
          </cell>
          <cell r="AP273" t="str">
            <v/>
          </cell>
          <cell r="AQ273" t="str">
            <v/>
          </cell>
          <cell r="AR273" t="str">
            <v>Y</v>
          </cell>
          <cell r="AS273" t="str">
            <v/>
          </cell>
          <cell r="AT273" t="str">
            <v>IN</v>
          </cell>
          <cell r="AU273" t="str">
            <v>Infotainment</v>
          </cell>
          <cell r="AV273" t="str">
            <v>INAV</v>
          </cell>
          <cell r="AW273" t="str">
            <v>AV/AVN</v>
          </cell>
          <cell r="AX273" t="str">
            <v>INAVAV</v>
          </cell>
          <cell r="AY273" t="str">
            <v>AV</v>
          </cell>
          <cell r="AZ273" t="str">
            <v>INAVAVVS</v>
          </cell>
          <cell r="BA273" t="str">
            <v>AV Silver Box</v>
          </cell>
        </row>
        <row r="274">
          <cell r="E274" t="str">
            <v>IL7SB-5M7G6.BNAWV51</v>
          </cell>
          <cell r="F274">
            <v>766</v>
          </cell>
          <cell r="G274">
            <v>0</v>
          </cell>
          <cell r="H274">
            <v>0</v>
          </cell>
          <cell r="I274">
            <v>766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 t="str">
            <v/>
          </cell>
          <cell r="AH274" t="str">
            <v/>
          </cell>
          <cell r="AI274" t="str">
            <v>KR16P09490450</v>
          </cell>
          <cell r="AJ274" t="str">
            <v>ASGM7BNG0CA.ARFQ</v>
          </cell>
          <cell r="AK274" t="str">
            <v>0.005414</v>
          </cell>
          <cell r="AL274" t="str">
            <v>1</v>
          </cell>
          <cell r="AM274" t="str">
            <v>F</v>
          </cell>
          <cell r="AN274" t="str">
            <v>M0</v>
          </cell>
          <cell r="AO274" t="str">
            <v>Active(Model)</v>
          </cell>
          <cell r="AP274" t="str">
            <v/>
          </cell>
          <cell r="AQ274" t="str">
            <v/>
          </cell>
          <cell r="AR274" t="str">
            <v>Y</v>
          </cell>
          <cell r="AS274" t="str">
            <v/>
          </cell>
          <cell r="AT274" t="str">
            <v>IN</v>
          </cell>
          <cell r="AU274" t="str">
            <v>Infotainment</v>
          </cell>
          <cell r="AV274" t="str">
            <v>INAV</v>
          </cell>
          <cell r="AW274" t="str">
            <v>AV/AVN</v>
          </cell>
          <cell r="AX274" t="str">
            <v>INAVAV</v>
          </cell>
          <cell r="AY274" t="str">
            <v>AV</v>
          </cell>
          <cell r="AZ274" t="str">
            <v>INAVAVVS</v>
          </cell>
          <cell r="BA274" t="str">
            <v>AV Silver Box</v>
          </cell>
        </row>
        <row r="275">
          <cell r="E275" t="str">
            <v>IL7SB-5M7G6.BNAWV61</v>
          </cell>
          <cell r="F275">
            <v>192</v>
          </cell>
          <cell r="G275">
            <v>0</v>
          </cell>
          <cell r="H275">
            <v>0</v>
          </cell>
          <cell r="I275">
            <v>192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 t="str">
            <v/>
          </cell>
          <cell r="AH275" t="str">
            <v/>
          </cell>
          <cell r="AI275" t="str">
            <v>KR16P09490450</v>
          </cell>
          <cell r="AJ275" t="str">
            <v>ASGM7BNG0CA.ARFQ</v>
          </cell>
          <cell r="AK275" t="str">
            <v>0.005414</v>
          </cell>
          <cell r="AL275" t="str">
            <v>1</v>
          </cell>
          <cell r="AM275" t="str">
            <v>F</v>
          </cell>
          <cell r="AN275" t="str">
            <v>M0</v>
          </cell>
          <cell r="AO275" t="str">
            <v>Active(Model)</v>
          </cell>
          <cell r="AP275" t="str">
            <v/>
          </cell>
          <cell r="AQ275" t="str">
            <v/>
          </cell>
          <cell r="AR275" t="str">
            <v>Y</v>
          </cell>
          <cell r="AS275" t="str">
            <v/>
          </cell>
          <cell r="AT275" t="str">
            <v>IN</v>
          </cell>
          <cell r="AU275" t="str">
            <v>Infotainment</v>
          </cell>
          <cell r="AV275" t="str">
            <v>INAV</v>
          </cell>
          <cell r="AW275" t="str">
            <v>AV/AVN</v>
          </cell>
          <cell r="AX275" t="str">
            <v>INAVAV</v>
          </cell>
          <cell r="AY275" t="str">
            <v>AV</v>
          </cell>
          <cell r="AZ275" t="str">
            <v>INAVAVVS</v>
          </cell>
          <cell r="BA275" t="str">
            <v>AV Silver Box</v>
          </cell>
        </row>
        <row r="276">
          <cell r="E276" t="str">
            <v>IL7SB-5M7G6.BNAWV71</v>
          </cell>
          <cell r="F276">
            <v>192</v>
          </cell>
          <cell r="G276">
            <v>0</v>
          </cell>
          <cell r="H276">
            <v>0</v>
          </cell>
          <cell r="I276">
            <v>192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 t="str">
            <v/>
          </cell>
          <cell r="AH276" t="str">
            <v/>
          </cell>
          <cell r="AI276" t="str">
            <v>KR16P09490450</v>
          </cell>
          <cell r="AJ276" t="str">
            <v>ASGM7BNG0CA.ARFQ</v>
          </cell>
          <cell r="AK276" t="str">
            <v>0.005414</v>
          </cell>
          <cell r="AL276" t="str">
            <v>1</v>
          </cell>
          <cell r="AM276" t="str">
            <v>F</v>
          </cell>
          <cell r="AN276" t="str">
            <v>M0</v>
          </cell>
          <cell r="AO276" t="str">
            <v>Active(Model)</v>
          </cell>
          <cell r="AP276" t="str">
            <v/>
          </cell>
          <cell r="AQ276" t="str">
            <v/>
          </cell>
          <cell r="AR276" t="str">
            <v>Y</v>
          </cell>
          <cell r="AS276" t="str">
            <v/>
          </cell>
          <cell r="AT276" t="str">
            <v>IN</v>
          </cell>
          <cell r="AU276" t="str">
            <v>Infotainment</v>
          </cell>
          <cell r="AV276" t="str">
            <v>INAV</v>
          </cell>
          <cell r="AW276" t="str">
            <v>AV/AVN</v>
          </cell>
          <cell r="AX276" t="str">
            <v>INAVAV</v>
          </cell>
          <cell r="AY276" t="str">
            <v>AV</v>
          </cell>
          <cell r="AZ276" t="str">
            <v>INAVAVVS</v>
          </cell>
          <cell r="BA276" t="str">
            <v>AV Silver Box</v>
          </cell>
        </row>
        <row r="277">
          <cell r="E277" t="str">
            <v>IL7SB-6O5TX.BNASL01</v>
          </cell>
          <cell r="F277">
            <v>4</v>
          </cell>
          <cell r="G277">
            <v>0</v>
          </cell>
          <cell r="H277">
            <v>0</v>
          </cell>
          <cell r="I277">
            <v>4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 t="str">
            <v/>
          </cell>
          <cell r="AH277" t="str">
            <v/>
          </cell>
          <cell r="AI277" t="str">
            <v>KR16P09490450</v>
          </cell>
          <cell r="AJ277" t="str">
            <v>ASGM7DRG2C1.ARFQ</v>
          </cell>
          <cell r="AK277" t="str">
            <v>0.005414</v>
          </cell>
          <cell r="AL277" t="str">
            <v>0</v>
          </cell>
          <cell r="AM277" t="str">
            <v>F</v>
          </cell>
          <cell r="AN277" t="str">
            <v>M0</v>
          </cell>
          <cell r="AO277" t="str">
            <v>Active(Model)</v>
          </cell>
          <cell r="AP277" t="str">
            <v/>
          </cell>
          <cell r="AQ277" t="str">
            <v/>
          </cell>
          <cell r="AR277" t="str">
            <v>Y</v>
          </cell>
          <cell r="AS277" t="str">
            <v/>
          </cell>
          <cell r="AT277" t="str">
            <v>IN</v>
          </cell>
          <cell r="AU277" t="str">
            <v>Infotainment</v>
          </cell>
          <cell r="AV277" t="str">
            <v>INAV</v>
          </cell>
          <cell r="AW277" t="str">
            <v>AV/AVN</v>
          </cell>
          <cell r="AX277" t="str">
            <v>INAVAV</v>
          </cell>
          <cell r="AY277" t="str">
            <v>AV</v>
          </cell>
          <cell r="AZ277" t="str">
            <v>INAVAVVS</v>
          </cell>
          <cell r="BA277" t="str">
            <v>AV Silver Box</v>
          </cell>
        </row>
        <row r="278">
          <cell r="E278" t="str">
            <v>IL7SB-8G4JC.BUZBR01</v>
          </cell>
          <cell r="F278">
            <v>8</v>
          </cell>
          <cell r="G278">
            <v>0</v>
          </cell>
          <cell r="H278">
            <v>993</v>
          </cell>
          <cell r="I278">
            <v>1001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 t="str">
            <v/>
          </cell>
          <cell r="AH278" t="str">
            <v/>
          </cell>
          <cell r="AI278" t="str">
            <v>KR16P09490450</v>
          </cell>
          <cell r="AJ278" t="str">
            <v>ASGM7BAG2E1.ARFQ</v>
          </cell>
          <cell r="AK278" t="str">
            <v>0.005414</v>
          </cell>
          <cell r="AL278" t="str">
            <v>0</v>
          </cell>
          <cell r="AM278" t="str">
            <v>F</v>
          </cell>
          <cell r="AN278" t="str">
            <v>M0</v>
          </cell>
          <cell r="AO278" t="str">
            <v>Active(Model)</v>
          </cell>
          <cell r="AP278" t="str">
            <v/>
          </cell>
          <cell r="AQ278" t="str">
            <v/>
          </cell>
          <cell r="AR278" t="str">
            <v>Y</v>
          </cell>
          <cell r="AS278" t="str">
            <v/>
          </cell>
          <cell r="AT278" t="str">
            <v>IN</v>
          </cell>
          <cell r="AU278" t="str">
            <v>Infotainment</v>
          </cell>
          <cell r="AV278" t="str">
            <v>INAV</v>
          </cell>
          <cell r="AW278" t="str">
            <v>AV/AVN</v>
          </cell>
          <cell r="AX278" t="str">
            <v>INAVAV</v>
          </cell>
          <cell r="AY278" t="str">
            <v>AV</v>
          </cell>
          <cell r="AZ278" t="str">
            <v>INAVAVVS</v>
          </cell>
          <cell r="BA278" t="str">
            <v>AV Silver Box</v>
          </cell>
        </row>
        <row r="279">
          <cell r="E279" t="str">
            <v>IL7SF-4O5TX.BNAFL01</v>
          </cell>
          <cell r="F279">
            <v>1130</v>
          </cell>
          <cell r="G279">
            <v>0</v>
          </cell>
          <cell r="H279">
            <v>0</v>
          </cell>
          <cell r="I279">
            <v>1130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 t="str">
            <v/>
          </cell>
          <cell r="AH279" t="str">
            <v/>
          </cell>
          <cell r="AI279" t="str">
            <v>KR16P09490450</v>
          </cell>
          <cell r="AJ279" t="str">
            <v>ASGM7CDG2F3.ARFQ</v>
          </cell>
          <cell r="AK279" t="str">
            <v>0.005414</v>
          </cell>
          <cell r="AL279" t="str">
            <v>0</v>
          </cell>
          <cell r="AM279" t="str">
            <v>F</v>
          </cell>
          <cell r="AN279" t="str">
            <v>M0</v>
          </cell>
          <cell r="AO279" t="str">
            <v>Active(Model)</v>
          </cell>
          <cell r="AP279" t="str">
            <v/>
          </cell>
          <cell r="AQ279" t="str">
            <v/>
          </cell>
          <cell r="AR279" t="str">
            <v>Y</v>
          </cell>
          <cell r="AS279" t="str">
            <v/>
          </cell>
          <cell r="AT279" t="str">
            <v>IN</v>
          </cell>
          <cell r="AU279" t="str">
            <v>Infotainment</v>
          </cell>
          <cell r="AV279" t="str">
            <v>INAV</v>
          </cell>
          <cell r="AW279" t="str">
            <v>AV/AVN</v>
          </cell>
          <cell r="AX279" t="str">
            <v>INAVAV</v>
          </cell>
          <cell r="AY279" t="str">
            <v>AV</v>
          </cell>
          <cell r="AZ279" t="str">
            <v>INAVAVVS</v>
          </cell>
          <cell r="BA279" t="str">
            <v>AV Silver Box</v>
          </cell>
        </row>
        <row r="280">
          <cell r="E280" t="str">
            <v>IL7SF-4O5TX.BNAFW01</v>
          </cell>
          <cell r="F280">
            <v>530</v>
          </cell>
          <cell r="G280">
            <v>0</v>
          </cell>
          <cell r="H280">
            <v>0</v>
          </cell>
          <cell r="I280">
            <v>530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 t="str">
            <v/>
          </cell>
          <cell r="AH280" t="str">
            <v/>
          </cell>
          <cell r="AI280" t="str">
            <v>KR16P09490450</v>
          </cell>
          <cell r="AJ280" t="str">
            <v>ASGM7CDG2F3.ARFQ</v>
          </cell>
          <cell r="AK280" t="str">
            <v>0.005414</v>
          </cell>
          <cell r="AL280" t="str">
            <v>0</v>
          </cell>
          <cell r="AM280" t="str">
            <v>F</v>
          </cell>
          <cell r="AN280" t="str">
            <v>M0</v>
          </cell>
          <cell r="AO280" t="str">
            <v>Active(Model)</v>
          </cell>
          <cell r="AP280" t="str">
            <v/>
          </cell>
          <cell r="AQ280" t="str">
            <v/>
          </cell>
          <cell r="AR280" t="str">
            <v>Y</v>
          </cell>
          <cell r="AS280" t="str">
            <v/>
          </cell>
          <cell r="AT280" t="str">
            <v>IN</v>
          </cell>
          <cell r="AU280" t="str">
            <v>Infotainment</v>
          </cell>
          <cell r="AV280" t="str">
            <v>INAV</v>
          </cell>
          <cell r="AW280" t="str">
            <v>AV/AVN</v>
          </cell>
          <cell r="AX280" t="str">
            <v>INAVAV</v>
          </cell>
          <cell r="AY280" t="str">
            <v>AV</v>
          </cell>
          <cell r="AZ280" t="str">
            <v>INAVAVVS</v>
          </cell>
          <cell r="BA280" t="str">
            <v>AV Silver Box</v>
          </cell>
        </row>
        <row r="281">
          <cell r="E281" t="str">
            <v>IL7SF-4O5TX.BNAOH01</v>
          </cell>
          <cell r="F281">
            <v>1</v>
          </cell>
          <cell r="G281">
            <v>0</v>
          </cell>
          <cell r="H281">
            <v>0</v>
          </cell>
          <cell r="I281">
            <v>1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 t="str">
            <v/>
          </cell>
          <cell r="AH281" t="str">
            <v/>
          </cell>
          <cell r="AI281" t="str">
            <v>KR16P09490450</v>
          </cell>
          <cell r="AJ281" t="str">
            <v>ASGM7CDG2F3.ARFQ</v>
          </cell>
          <cell r="AK281" t="str">
            <v>0.005414</v>
          </cell>
          <cell r="AL281" t="str">
            <v>0</v>
          </cell>
          <cell r="AM281" t="str">
            <v>F</v>
          </cell>
          <cell r="AN281" t="str">
            <v>M0</v>
          </cell>
          <cell r="AO281" t="str">
            <v>Active(Model)</v>
          </cell>
          <cell r="AP281" t="str">
            <v/>
          </cell>
          <cell r="AQ281" t="str">
            <v/>
          </cell>
          <cell r="AR281" t="str">
            <v>Y</v>
          </cell>
          <cell r="AS281" t="str">
            <v/>
          </cell>
          <cell r="AT281" t="str">
            <v>IN</v>
          </cell>
          <cell r="AU281" t="str">
            <v>Infotainment</v>
          </cell>
          <cell r="AV281" t="str">
            <v>INAV</v>
          </cell>
          <cell r="AW281" t="str">
            <v>AV/AVN</v>
          </cell>
          <cell r="AX281" t="str">
            <v>INAVAV</v>
          </cell>
          <cell r="AY281" t="str">
            <v>AV</v>
          </cell>
          <cell r="AZ281" t="str">
            <v>INAVAVVS</v>
          </cell>
          <cell r="BA281" t="str">
            <v>AV Silver Box</v>
          </cell>
        </row>
        <row r="282">
          <cell r="E282" t="str">
            <v>IL7SF-5L59B.BKRCW03</v>
          </cell>
          <cell r="F282">
            <v>10</v>
          </cell>
          <cell r="G282">
            <v>0</v>
          </cell>
          <cell r="H282">
            <v>0</v>
          </cell>
          <cell r="I282">
            <v>10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37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 t="str">
            <v/>
          </cell>
          <cell r="AH282" t="str">
            <v/>
          </cell>
          <cell r="AI282" t="str">
            <v>KR16P09490450</v>
          </cell>
          <cell r="AJ282" t="str">
            <v>ASGM7BDG2E2.ARFQ</v>
          </cell>
          <cell r="AK282" t="str">
            <v>0.005414</v>
          </cell>
          <cell r="AL282" t="str">
            <v>1</v>
          </cell>
          <cell r="AM282" t="str">
            <v>F</v>
          </cell>
          <cell r="AN282" t="str">
            <v>M0</v>
          </cell>
          <cell r="AO282" t="str">
            <v>Active(Model)</v>
          </cell>
          <cell r="AP282" t="str">
            <v/>
          </cell>
          <cell r="AQ282" t="str">
            <v/>
          </cell>
          <cell r="AR282" t="str">
            <v>Y</v>
          </cell>
          <cell r="AS282" t="str">
            <v/>
          </cell>
          <cell r="AT282" t="str">
            <v>IN</v>
          </cell>
          <cell r="AU282" t="str">
            <v>Infotainment</v>
          </cell>
          <cell r="AV282" t="str">
            <v>INAV</v>
          </cell>
          <cell r="AW282" t="str">
            <v>AV/AVN</v>
          </cell>
          <cell r="AX282" t="str">
            <v>INAVAV</v>
          </cell>
          <cell r="AY282" t="str">
            <v>AV</v>
          </cell>
          <cell r="AZ282" t="str">
            <v>INAVAVVS</v>
          </cell>
          <cell r="BA282" t="str">
            <v>AV Silver Box</v>
          </cell>
        </row>
        <row r="283">
          <cell r="E283" t="str">
            <v>IL7SF-5O5TX.BNAFL01</v>
          </cell>
          <cell r="F283">
            <v>1376</v>
          </cell>
          <cell r="G283">
            <v>0</v>
          </cell>
          <cell r="H283">
            <v>0</v>
          </cell>
          <cell r="I283">
            <v>1376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 t="str">
            <v/>
          </cell>
          <cell r="AH283" t="str">
            <v/>
          </cell>
          <cell r="AI283" t="str">
            <v>KR16P09490450</v>
          </cell>
          <cell r="AJ283" t="str">
            <v>ASGM7BDG2F1.ARFQ</v>
          </cell>
          <cell r="AK283" t="str">
            <v>0.005414</v>
          </cell>
          <cell r="AL283" t="str">
            <v>0</v>
          </cell>
          <cell r="AM283" t="str">
            <v>F</v>
          </cell>
          <cell r="AN283" t="str">
            <v>M0</v>
          </cell>
          <cell r="AO283" t="str">
            <v>Active(Model)</v>
          </cell>
          <cell r="AP283" t="str">
            <v/>
          </cell>
          <cell r="AQ283" t="str">
            <v/>
          </cell>
          <cell r="AR283" t="str">
            <v>Y</v>
          </cell>
          <cell r="AS283" t="str">
            <v/>
          </cell>
          <cell r="AT283" t="str">
            <v>IN</v>
          </cell>
          <cell r="AU283" t="str">
            <v>Infotainment</v>
          </cell>
          <cell r="AV283" t="str">
            <v>INAV</v>
          </cell>
          <cell r="AW283" t="str">
            <v>AV/AVN</v>
          </cell>
          <cell r="AX283" t="str">
            <v>INAVAV</v>
          </cell>
          <cell r="AY283" t="str">
            <v>AV</v>
          </cell>
          <cell r="AZ283" t="str">
            <v>INAVAVVS</v>
          </cell>
          <cell r="BA283" t="str">
            <v>AV Silver Box</v>
          </cell>
        </row>
        <row r="284">
          <cell r="E284" t="str">
            <v>IL7SF-5O5TX.BNAFW01</v>
          </cell>
          <cell r="F284">
            <v>1909</v>
          </cell>
          <cell r="G284">
            <v>0</v>
          </cell>
          <cell r="H284">
            <v>0</v>
          </cell>
          <cell r="I284">
            <v>1909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str">
            <v/>
          </cell>
          <cell r="AH284" t="str">
            <v/>
          </cell>
          <cell r="AI284" t="str">
            <v>KR16P09490450</v>
          </cell>
          <cell r="AJ284" t="str">
            <v>ASGM7BDG2F1.ARFQ</v>
          </cell>
          <cell r="AK284" t="str">
            <v>0.005414</v>
          </cell>
          <cell r="AL284" t="str">
            <v>0</v>
          </cell>
          <cell r="AM284" t="str">
            <v>F</v>
          </cell>
          <cell r="AN284" t="str">
            <v>M0</v>
          </cell>
          <cell r="AO284" t="str">
            <v>Active(Model)</v>
          </cell>
          <cell r="AP284" t="str">
            <v/>
          </cell>
          <cell r="AQ284" t="str">
            <v/>
          </cell>
          <cell r="AR284" t="str">
            <v>Y</v>
          </cell>
          <cell r="AS284" t="str">
            <v/>
          </cell>
          <cell r="AT284" t="str">
            <v>IN</v>
          </cell>
          <cell r="AU284" t="str">
            <v>Infotainment</v>
          </cell>
          <cell r="AV284" t="str">
            <v>INAV</v>
          </cell>
          <cell r="AW284" t="str">
            <v>AV/AVN</v>
          </cell>
          <cell r="AX284" t="str">
            <v>INAVAV</v>
          </cell>
          <cell r="AY284" t="str">
            <v>AV</v>
          </cell>
          <cell r="AZ284" t="str">
            <v>INAVAVVS</v>
          </cell>
          <cell r="BA284" t="str">
            <v>AV Silver Box</v>
          </cell>
        </row>
        <row r="285">
          <cell r="E285" t="str">
            <v>IL7SS-KCWG1.BUZKR02</v>
          </cell>
          <cell r="F285">
            <v>10723</v>
          </cell>
          <cell r="G285">
            <v>0</v>
          </cell>
          <cell r="H285">
            <v>0</v>
          </cell>
          <cell r="I285">
            <v>10723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 t="str">
            <v/>
          </cell>
          <cell r="AH285" t="str">
            <v/>
          </cell>
          <cell r="AI285" t="str">
            <v>KR16P09490450</v>
          </cell>
          <cell r="AJ285" t="str">
            <v>AKGUANNN2F1.ARFQ</v>
          </cell>
          <cell r="AK285" t="str">
            <v>0.000838</v>
          </cell>
          <cell r="AL285" t="str">
            <v>1</v>
          </cell>
          <cell r="AM285" t="str">
            <v>F</v>
          </cell>
          <cell r="AN285" t="str">
            <v>M0</v>
          </cell>
          <cell r="AO285" t="str">
            <v>Active(Model)</v>
          </cell>
          <cell r="AP285" t="str">
            <v/>
          </cell>
          <cell r="AQ285" t="str">
            <v/>
          </cell>
          <cell r="AR285" t="str">
            <v>Y</v>
          </cell>
          <cell r="AS285" t="str">
            <v/>
          </cell>
          <cell r="AT285" t="str">
            <v>IN</v>
          </cell>
          <cell r="AU285" t="str">
            <v>Infotainment</v>
          </cell>
          <cell r="AV285" t="str">
            <v>INAV</v>
          </cell>
          <cell r="AW285" t="str">
            <v>AV/AVN</v>
          </cell>
          <cell r="AX285" t="str">
            <v>INAVAV</v>
          </cell>
          <cell r="AY285" t="str">
            <v>AV</v>
          </cell>
          <cell r="AZ285" t="str">
            <v>INAVAVVK</v>
          </cell>
          <cell r="BA285" t="str">
            <v>AV Keyboard</v>
          </cell>
        </row>
        <row r="286">
          <cell r="E286" t="str">
            <v>IL7SS-KCWG6.BNAWV01</v>
          </cell>
          <cell r="F286">
            <v>8612</v>
          </cell>
          <cell r="G286">
            <v>0</v>
          </cell>
          <cell r="H286">
            <v>0</v>
          </cell>
          <cell r="I286">
            <v>8612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str">
            <v/>
          </cell>
          <cell r="AH286" t="str">
            <v/>
          </cell>
          <cell r="AI286" t="str">
            <v>KR16P09490450</v>
          </cell>
          <cell r="AJ286" t="str">
            <v>AKGMCNNN0CA.ARFQ</v>
          </cell>
          <cell r="AK286" t="str">
            <v>0.000838</v>
          </cell>
          <cell r="AL286" t="str">
            <v>1</v>
          </cell>
          <cell r="AM286" t="str">
            <v>F</v>
          </cell>
          <cell r="AN286" t="str">
            <v>M0</v>
          </cell>
          <cell r="AO286" t="str">
            <v>Active(Model)</v>
          </cell>
          <cell r="AP286" t="str">
            <v/>
          </cell>
          <cell r="AQ286" t="str">
            <v/>
          </cell>
          <cell r="AR286" t="str">
            <v>Y</v>
          </cell>
          <cell r="AS286" t="str">
            <v/>
          </cell>
          <cell r="AT286" t="str">
            <v>IN</v>
          </cell>
          <cell r="AU286" t="str">
            <v>Infotainment</v>
          </cell>
          <cell r="AV286" t="str">
            <v>INAV</v>
          </cell>
          <cell r="AW286" t="str">
            <v>AV/AVN</v>
          </cell>
          <cell r="AX286" t="str">
            <v>INAVAV</v>
          </cell>
          <cell r="AY286" t="str">
            <v>AV</v>
          </cell>
          <cell r="AZ286" t="str">
            <v>INAVAVVK</v>
          </cell>
          <cell r="BA286" t="str">
            <v>AV Keyboard</v>
          </cell>
        </row>
        <row r="287">
          <cell r="E287" t="str">
            <v>IL7SS-MNNG1.BUZKR02</v>
          </cell>
          <cell r="F287">
            <v>6788</v>
          </cell>
          <cell r="G287">
            <v>0</v>
          </cell>
          <cell r="H287">
            <v>0</v>
          </cell>
          <cell r="I287">
            <v>6788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 t="str">
            <v/>
          </cell>
          <cell r="AH287" t="str">
            <v/>
          </cell>
          <cell r="AI287" t="str">
            <v>KR16P09490450</v>
          </cell>
          <cell r="AJ287" t="str">
            <v>ADGM7NFN1F0.ARFQ</v>
          </cell>
          <cell r="AK287" t="str">
            <v>0.006451</v>
          </cell>
          <cell r="AL287" t="str">
            <v>1</v>
          </cell>
          <cell r="AM287" t="str">
            <v>F</v>
          </cell>
          <cell r="AN287" t="str">
            <v>M0</v>
          </cell>
          <cell r="AO287" t="str">
            <v>Active(Model)</v>
          </cell>
          <cell r="AP287" t="str">
            <v/>
          </cell>
          <cell r="AQ287" t="str">
            <v/>
          </cell>
          <cell r="AR287" t="str">
            <v>Y</v>
          </cell>
          <cell r="AS287" t="str">
            <v/>
          </cell>
          <cell r="AT287" t="str">
            <v>IN</v>
          </cell>
          <cell r="AU287" t="str">
            <v>Infotainment</v>
          </cell>
          <cell r="AV287" t="str">
            <v>INAV</v>
          </cell>
          <cell r="AW287" t="str">
            <v>AV/AVN</v>
          </cell>
          <cell r="AX287" t="str">
            <v>INAVAV</v>
          </cell>
          <cell r="AY287" t="str">
            <v>AV</v>
          </cell>
          <cell r="AZ287" t="str">
            <v>INAVAVVD</v>
          </cell>
          <cell r="BA287" t="str">
            <v>AV Display Only</v>
          </cell>
        </row>
        <row r="288">
          <cell r="E288" t="str">
            <v>IL7SS-MNNG6.BNAWV01</v>
          </cell>
          <cell r="F288">
            <v>6539</v>
          </cell>
          <cell r="G288">
            <v>0</v>
          </cell>
          <cell r="H288">
            <v>0</v>
          </cell>
          <cell r="I288">
            <v>6539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 t="str">
            <v/>
          </cell>
          <cell r="AH288" t="str">
            <v/>
          </cell>
          <cell r="AI288" t="str">
            <v>KR16P09490450</v>
          </cell>
          <cell r="AJ288" t="str">
            <v>ADGM7NFN0CA.ARFQ</v>
          </cell>
          <cell r="AK288" t="str">
            <v>0.006451</v>
          </cell>
          <cell r="AL288" t="str">
            <v>1</v>
          </cell>
          <cell r="AM288" t="str">
            <v>F</v>
          </cell>
          <cell r="AN288" t="str">
            <v>M0</v>
          </cell>
          <cell r="AO288" t="str">
            <v>Active(Model)</v>
          </cell>
          <cell r="AP288" t="str">
            <v/>
          </cell>
          <cell r="AQ288" t="str">
            <v/>
          </cell>
          <cell r="AR288" t="str">
            <v>Y</v>
          </cell>
          <cell r="AS288" t="str">
            <v/>
          </cell>
          <cell r="AT288" t="str">
            <v>IN</v>
          </cell>
          <cell r="AU288" t="str">
            <v>Infotainment</v>
          </cell>
          <cell r="AV288" t="str">
            <v>INAV</v>
          </cell>
          <cell r="AW288" t="str">
            <v>AV/AVN</v>
          </cell>
          <cell r="AX288" t="str">
            <v>INAVAV</v>
          </cell>
          <cell r="AY288" t="str">
            <v>AV</v>
          </cell>
          <cell r="AZ288" t="str">
            <v>INAVAVVD</v>
          </cell>
          <cell r="BA288" t="str">
            <v>AV Display Only</v>
          </cell>
        </row>
        <row r="289">
          <cell r="E289" t="str">
            <v>IL7SS-MNNTX.BNAFL02</v>
          </cell>
          <cell r="F289">
            <v>3055</v>
          </cell>
          <cell r="G289">
            <v>0</v>
          </cell>
          <cell r="H289">
            <v>0</v>
          </cell>
          <cell r="I289">
            <v>3055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 t="str">
            <v/>
          </cell>
          <cell r="AH289" t="str">
            <v/>
          </cell>
          <cell r="AI289" t="str">
            <v>KR16P09490450</v>
          </cell>
          <cell r="AJ289" t="str">
            <v>ADGM7NFN1F0.ARFQ</v>
          </cell>
          <cell r="AK289" t="str">
            <v>0.006451</v>
          </cell>
          <cell r="AL289" t="str">
            <v>0</v>
          </cell>
          <cell r="AM289" t="str">
            <v>F</v>
          </cell>
          <cell r="AN289" t="str">
            <v>M0</v>
          </cell>
          <cell r="AO289" t="str">
            <v>Active(Model)</v>
          </cell>
          <cell r="AP289" t="str">
            <v/>
          </cell>
          <cell r="AQ289" t="str">
            <v/>
          </cell>
          <cell r="AR289" t="str">
            <v>Y</v>
          </cell>
          <cell r="AS289" t="str">
            <v/>
          </cell>
          <cell r="AT289" t="str">
            <v>IN</v>
          </cell>
          <cell r="AU289" t="str">
            <v>Infotainment</v>
          </cell>
          <cell r="AV289" t="str">
            <v>INAV</v>
          </cell>
          <cell r="AW289" t="str">
            <v>AV/AVN</v>
          </cell>
          <cell r="AX289" t="str">
            <v>INAVAV</v>
          </cell>
          <cell r="AY289" t="str">
            <v>AV</v>
          </cell>
          <cell r="AZ289" t="str">
            <v>INAVAVVD</v>
          </cell>
          <cell r="BA289" t="str">
            <v>AV Display Only</v>
          </cell>
        </row>
        <row r="290">
          <cell r="E290" t="str">
            <v>IL7SS-MNNTX.BNAFW04</v>
          </cell>
          <cell r="F290">
            <v>1900</v>
          </cell>
          <cell r="G290">
            <v>0</v>
          </cell>
          <cell r="H290">
            <v>0</v>
          </cell>
          <cell r="I290">
            <v>1900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 t="str">
            <v/>
          </cell>
          <cell r="AH290" t="str">
            <v/>
          </cell>
          <cell r="AI290" t="str">
            <v>KR16P09490450</v>
          </cell>
          <cell r="AJ290" t="str">
            <v>ADGM7NFN1F0.ARFQ</v>
          </cell>
          <cell r="AK290" t="str">
            <v>0.006451</v>
          </cell>
          <cell r="AL290" t="str">
            <v>0</v>
          </cell>
          <cell r="AM290" t="str">
            <v>F</v>
          </cell>
          <cell r="AN290" t="str">
            <v>M0</v>
          </cell>
          <cell r="AO290" t="str">
            <v>Active(Model)</v>
          </cell>
          <cell r="AP290" t="str">
            <v/>
          </cell>
          <cell r="AQ290" t="str">
            <v/>
          </cell>
          <cell r="AR290" t="str">
            <v>Y</v>
          </cell>
          <cell r="AS290" t="str">
            <v/>
          </cell>
          <cell r="AT290" t="str">
            <v>IN</v>
          </cell>
          <cell r="AU290" t="str">
            <v>Infotainment</v>
          </cell>
          <cell r="AV290" t="str">
            <v>INAV</v>
          </cell>
          <cell r="AW290" t="str">
            <v>AV/AVN</v>
          </cell>
          <cell r="AX290" t="str">
            <v>INAVAV</v>
          </cell>
          <cell r="AY290" t="str">
            <v>AV</v>
          </cell>
          <cell r="AZ290" t="str">
            <v>INAVAVVD</v>
          </cell>
          <cell r="BA290" t="str">
            <v>AV Display Only</v>
          </cell>
        </row>
        <row r="291">
          <cell r="E291" t="str">
            <v>IL7SS-MNNTX.BNAOH04</v>
          </cell>
          <cell r="F291">
            <v>417</v>
          </cell>
          <cell r="G291">
            <v>0</v>
          </cell>
          <cell r="H291">
            <v>0</v>
          </cell>
          <cell r="I291">
            <v>417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 t="str">
            <v/>
          </cell>
          <cell r="AH291" t="str">
            <v/>
          </cell>
          <cell r="AI291" t="str">
            <v>KR16P09490450</v>
          </cell>
          <cell r="AJ291" t="str">
            <v>ADGM7NFN1F0.ARFQ</v>
          </cell>
          <cell r="AK291" t="str">
            <v>0.006451</v>
          </cell>
          <cell r="AL291" t="str">
            <v>0</v>
          </cell>
          <cell r="AM291" t="str">
            <v>F</v>
          </cell>
          <cell r="AN291" t="str">
            <v>M0</v>
          </cell>
          <cell r="AO291" t="str">
            <v>Active(Model)</v>
          </cell>
          <cell r="AP291" t="str">
            <v/>
          </cell>
          <cell r="AQ291" t="str">
            <v/>
          </cell>
          <cell r="AR291" t="str">
            <v>Y</v>
          </cell>
          <cell r="AS291" t="str">
            <v/>
          </cell>
          <cell r="AT291" t="str">
            <v>IN</v>
          </cell>
          <cell r="AU291" t="str">
            <v>Infotainment</v>
          </cell>
          <cell r="AV291" t="str">
            <v>INAV</v>
          </cell>
          <cell r="AW291" t="str">
            <v>AV/AVN</v>
          </cell>
          <cell r="AX291" t="str">
            <v>INAVAV</v>
          </cell>
          <cell r="AY291" t="str">
            <v>AV</v>
          </cell>
          <cell r="AZ291" t="str">
            <v>INAVAVVD</v>
          </cell>
          <cell r="BA291" t="str">
            <v>AV Display Only</v>
          </cell>
        </row>
        <row r="292">
          <cell r="E292" t="str">
            <v>IL7SS-MNNTX.BNASL04</v>
          </cell>
          <cell r="F292">
            <v>14</v>
          </cell>
          <cell r="G292">
            <v>0</v>
          </cell>
          <cell r="H292">
            <v>0</v>
          </cell>
          <cell r="I292">
            <v>14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str">
            <v/>
          </cell>
          <cell r="AH292" t="str">
            <v/>
          </cell>
          <cell r="AI292" t="str">
            <v>KR16P09490450</v>
          </cell>
          <cell r="AJ292" t="str">
            <v>ADGM7NFN1F0.ARFQ</v>
          </cell>
          <cell r="AK292" t="str">
            <v>0.006451</v>
          </cell>
          <cell r="AL292" t="str">
            <v>0</v>
          </cell>
          <cell r="AM292" t="str">
            <v>F</v>
          </cell>
          <cell r="AN292" t="str">
            <v>M0</v>
          </cell>
          <cell r="AO292" t="str">
            <v>Active(Model)</v>
          </cell>
          <cell r="AP292" t="str">
            <v/>
          </cell>
          <cell r="AQ292" t="str">
            <v/>
          </cell>
          <cell r="AR292" t="str">
            <v>Y</v>
          </cell>
          <cell r="AS292" t="str">
            <v/>
          </cell>
          <cell r="AT292" t="str">
            <v>IN</v>
          </cell>
          <cell r="AU292" t="str">
            <v>Infotainment</v>
          </cell>
          <cell r="AV292" t="str">
            <v>INAV</v>
          </cell>
          <cell r="AW292" t="str">
            <v>AV/AVN</v>
          </cell>
          <cell r="AX292" t="str">
            <v>INAVAV</v>
          </cell>
          <cell r="AY292" t="str">
            <v>AV</v>
          </cell>
          <cell r="AZ292" t="str">
            <v>INAVAVVD</v>
          </cell>
          <cell r="BA292" t="str">
            <v>AV Display Only</v>
          </cell>
        </row>
        <row r="293">
          <cell r="E293" t="str">
            <v>IL7SS-TNWTX.BNAFW01</v>
          </cell>
          <cell r="F293">
            <v>338</v>
          </cell>
          <cell r="G293">
            <v>0</v>
          </cell>
          <cell r="H293">
            <v>0</v>
          </cell>
          <cell r="I293">
            <v>338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 t="str">
            <v/>
          </cell>
          <cell r="AH293" t="str">
            <v/>
          </cell>
          <cell r="AI293" t="str">
            <v>KR16P09490450</v>
          </cell>
          <cell r="AJ293" t="str">
            <v>AKGMCNNN2F0.ARFQ</v>
          </cell>
          <cell r="AK293" t="str">
            <v>0.000838</v>
          </cell>
          <cell r="AL293" t="str">
            <v>0</v>
          </cell>
          <cell r="AM293" t="str">
            <v>F</v>
          </cell>
          <cell r="AN293" t="str">
            <v>M0</v>
          </cell>
          <cell r="AO293" t="str">
            <v>Active(Model)</v>
          </cell>
          <cell r="AP293" t="str">
            <v/>
          </cell>
          <cell r="AQ293" t="str">
            <v/>
          </cell>
          <cell r="AR293" t="str">
            <v>Y</v>
          </cell>
          <cell r="AS293" t="str">
            <v/>
          </cell>
          <cell r="AT293" t="str">
            <v>IN</v>
          </cell>
          <cell r="AU293" t="str">
            <v>Infotainment</v>
          </cell>
          <cell r="AV293" t="str">
            <v>INAV</v>
          </cell>
          <cell r="AW293" t="str">
            <v>AV/AVN</v>
          </cell>
          <cell r="AX293" t="str">
            <v>INAVAV</v>
          </cell>
          <cell r="AY293" t="str">
            <v>AV</v>
          </cell>
          <cell r="AZ293" t="str">
            <v>INAVAVVK</v>
          </cell>
          <cell r="BA293" t="str">
            <v>AV Keyboard</v>
          </cell>
        </row>
        <row r="294">
          <cell r="E294" t="str">
            <v>K83IGY.AKOR1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419</v>
          </cell>
          <cell r="O294">
            <v>420</v>
          </cell>
          <cell r="P294">
            <v>419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 t="str">
            <v/>
          </cell>
          <cell r="AH294" t="str">
            <v/>
          </cell>
          <cell r="AI294" t="str">
            <v/>
          </cell>
          <cell r="AJ294" t="str">
            <v/>
          </cell>
          <cell r="AK294" t="str">
            <v>0.059535</v>
          </cell>
          <cell r="AL294" t="str">
            <v>1</v>
          </cell>
          <cell r="AM294" t="str">
            <v>F</v>
          </cell>
          <cell r="AN294" t="str">
            <v>M0</v>
          </cell>
          <cell r="AO294" t="str">
            <v>Active(Model)</v>
          </cell>
          <cell r="AP294" t="str">
            <v/>
          </cell>
          <cell r="AQ294" t="str">
            <v/>
          </cell>
          <cell r="AR294" t="str">
            <v>Y</v>
          </cell>
          <cell r="AS294" t="str">
            <v/>
          </cell>
          <cell r="AT294" t="str">
            <v>VC</v>
          </cell>
          <cell r="AU294" t="str">
            <v>Vacuum Cleaner</v>
          </cell>
          <cell r="AV294" t="str">
            <v>VCVC</v>
          </cell>
          <cell r="AW294" t="str">
            <v>Vacuum Cleaner</v>
          </cell>
          <cell r="AX294" t="str">
            <v>VCVCCR</v>
          </cell>
          <cell r="AY294" t="str">
            <v>Canister</v>
          </cell>
          <cell r="AZ294" t="str">
            <v>VCVCCRMC</v>
          </cell>
          <cell r="BA294" t="str">
            <v>Multi Cyclone(Canister)</v>
          </cell>
        </row>
        <row r="295">
          <cell r="E295" t="str">
            <v>K83IGYQ.BKOR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202</v>
          </cell>
          <cell r="O295">
            <v>62</v>
          </cell>
          <cell r="P295">
            <v>202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 t="str">
            <v/>
          </cell>
          <cell r="AH295" t="str">
            <v/>
          </cell>
          <cell r="AI295" t="str">
            <v/>
          </cell>
          <cell r="AJ295" t="str">
            <v/>
          </cell>
          <cell r="AK295" t="str">
            <v>0.059535</v>
          </cell>
          <cell r="AL295" t="str">
            <v>1</v>
          </cell>
          <cell r="AM295" t="str">
            <v>F</v>
          </cell>
          <cell r="AN295" t="str">
            <v>M0</v>
          </cell>
          <cell r="AO295" t="str">
            <v>Active(Model)</v>
          </cell>
          <cell r="AP295" t="str">
            <v/>
          </cell>
          <cell r="AQ295" t="str">
            <v/>
          </cell>
          <cell r="AR295" t="str">
            <v>Y</v>
          </cell>
          <cell r="AS295" t="str">
            <v/>
          </cell>
          <cell r="AT295" t="str">
            <v>VC</v>
          </cell>
          <cell r="AU295" t="str">
            <v>Vacuum Cleaner</v>
          </cell>
          <cell r="AV295" t="str">
            <v>VCVC</v>
          </cell>
          <cell r="AW295" t="str">
            <v>Vacuum Cleaner</v>
          </cell>
          <cell r="AX295" t="str">
            <v>VCVCCR</v>
          </cell>
          <cell r="AY295" t="str">
            <v>Canister</v>
          </cell>
          <cell r="AZ295" t="str">
            <v>VCVCCRMC</v>
          </cell>
          <cell r="BA295" t="str">
            <v>Multi Cyclone(Canister)</v>
          </cell>
        </row>
        <row r="296">
          <cell r="E296" t="str">
            <v>K83WGY.BKOR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523</v>
          </cell>
          <cell r="O296">
            <v>0</v>
          </cell>
          <cell r="P296">
            <v>523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 t="str">
            <v/>
          </cell>
          <cell r="AH296" t="str">
            <v/>
          </cell>
          <cell r="AI296" t="str">
            <v/>
          </cell>
          <cell r="AJ296" t="str">
            <v/>
          </cell>
          <cell r="AK296" t="str">
            <v>0.059724</v>
          </cell>
          <cell r="AL296" t="str">
            <v>1</v>
          </cell>
          <cell r="AM296" t="str">
            <v>F</v>
          </cell>
          <cell r="AN296" t="str">
            <v>M0</v>
          </cell>
          <cell r="AO296" t="str">
            <v>Active(Model)</v>
          </cell>
          <cell r="AP296" t="str">
            <v/>
          </cell>
          <cell r="AQ296" t="str">
            <v/>
          </cell>
          <cell r="AR296" t="str">
            <v>Y</v>
          </cell>
          <cell r="AS296" t="str">
            <v/>
          </cell>
          <cell r="AT296" t="str">
            <v>VC</v>
          </cell>
          <cell r="AU296" t="str">
            <v>Vacuum Cleaner</v>
          </cell>
          <cell r="AV296" t="str">
            <v>VCVC</v>
          </cell>
          <cell r="AW296" t="str">
            <v>Vacuum Cleaner</v>
          </cell>
          <cell r="AX296" t="str">
            <v>VCVCCR</v>
          </cell>
          <cell r="AY296" t="str">
            <v>Canister</v>
          </cell>
          <cell r="AZ296" t="str">
            <v>VCVCCRMC</v>
          </cell>
          <cell r="BA296" t="str">
            <v>Multi Cyclone(Canister)</v>
          </cell>
        </row>
        <row r="297">
          <cell r="E297" t="str">
            <v>KIHKE0MN001.BKOSX12</v>
          </cell>
          <cell r="F297">
            <v>2</v>
          </cell>
          <cell r="G297">
            <v>0</v>
          </cell>
          <cell r="H297">
            <v>0</v>
          </cell>
          <cell r="I297">
            <v>2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 t="str">
            <v/>
          </cell>
          <cell r="AH297" t="str">
            <v/>
          </cell>
          <cell r="AI297" t="str">
            <v>KR21P09134230</v>
          </cell>
          <cell r="AJ297" t="str">
            <v>KIHKE0MN001.ARFQ</v>
          </cell>
          <cell r="AK297" t="str">
            <v>0.002992</v>
          </cell>
          <cell r="AL297" t="str">
            <v>1</v>
          </cell>
          <cell r="AM297" t="str">
            <v>F</v>
          </cell>
          <cell r="AN297" t="str">
            <v>M0</v>
          </cell>
          <cell r="AO297" t="str">
            <v>Active(Model)</v>
          </cell>
          <cell r="AP297" t="str">
            <v/>
          </cell>
          <cell r="AQ297" t="str">
            <v/>
          </cell>
          <cell r="AR297" t="str">
            <v>Y</v>
          </cell>
          <cell r="AS297" t="str">
            <v/>
          </cell>
          <cell r="AT297" t="str">
            <v>SA</v>
          </cell>
          <cell r="AU297" t="str">
            <v>Vehicle Safety</v>
          </cell>
          <cell r="AV297" t="str">
            <v>SAAD</v>
          </cell>
          <cell r="AW297" t="str">
            <v>ADAS</v>
          </cell>
          <cell r="AX297" t="str">
            <v>SAADCA</v>
          </cell>
          <cell r="AY297" t="str">
            <v>Vehicle Camera</v>
          </cell>
          <cell r="AZ297" t="str">
            <v>SAADCAIC</v>
          </cell>
          <cell r="BA297" t="str">
            <v>Internal View Camera</v>
          </cell>
        </row>
        <row r="298">
          <cell r="E298" t="str">
            <v>KIHKE0MN1D2.BKOME11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320</v>
          </cell>
          <cell r="O298">
            <v>0</v>
          </cell>
          <cell r="P298">
            <v>320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 t="str">
            <v/>
          </cell>
          <cell r="AH298" t="str">
            <v/>
          </cell>
          <cell r="AI298" t="str">
            <v>KR21P09134230</v>
          </cell>
          <cell r="AJ298" t="str">
            <v>KIHKE0MN1D2.ARFQ</v>
          </cell>
          <cell r="AK298" t="str">
            <v>0.002992</v>
          </cell>
          <cell r="AL298" t="str">
            <v>1</v>
          </cell>
          <cell r="AM298" t="str">
            <v>F</v>
          </cell>
          <cell r="AN298" t="str">
            <v>M0</v>
          </cell>
          <cell r="AO298" t="str">
            <v>Active(Model)</v>
          </cell>
          <cell r="AP298" t="str">
            <v/>
          </cell>
          <cell r="AQ298" t="str">
            <v/>
          </cell>
          <cell r="AR298" t="str">
            <v>Y</v>
          </cell>
          <cell r="AS298" t="str">
            <v/>
          </cell>
          <cell r="AT298" t="str">
            <v>SA</v>
          </cell>
          <cell r="AU298" t="str">
            <v>Vehicle Safety</v>
          </cell>
          <cell r="AV298" t="str">
            <v>SAAD</v>
          </cell>
          <cell r="AW298" t="str">
            <v>ADAS</v>
          </cell>
          <cell r="AX298" t="str">
            <v>SAADCA</v>
          </cell>
          <cell r="AY298" t="str">
            <v>Vehicle Camera</v>
          </cell>
          <cell r="AZ298" t="str">
            <v>SAADCAIC</v>
          </cell>
          <cell r="BA298" t="str">
            <v>Internal View Camera</v>
          </cell>
        </row>
        <row r="299">
          <cell r="E299" t="str">
            <v>KIHKE0MN1D2.BKOME14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16</v>
          </cell>
          <cell r="O299">
            <v>0</v>
          </cell>
          <cell r="P299">
            <v>16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 t="str">
            <v/>
          </cell>
          <cell r="AH299" t="str">
            <v/>
          </cell>
          <cell r="AI299" t="str">
            <v>KR21P09134230</v>
          </cell>
          <cell r="AJ299" t="str">
            <v>KIHKE0MN1D2.ARFQ</v>
          </cell>
          <cell r="AK299" t="str">
            <v>0.002992</v>
          </cell>
          <cell r="AL299" t="str">
            <v>1</v>
          </cell>
          <cell r="AM299" t="str">
            <v>F</v>
          </cell>
          <cell r="AN299" t="str">
            <v>M0</v>
          </cell>
          <cell r="AO299" t="str">
            <v>Active(Model)</v>
          </cell>
          <cell r="AP299" t="str">
            <v/>
          </cell>
          <cell r="AQ299" t="str">
            <v/>
          </cell>
          <cell r="AR299" t="str">
            <v>Y</v>
          </cell>
          <cell r="AS299" t="str">
            <v/>
          </cell>
          <cell r="AT299" t="str">
            <v>SA</v>
          </cell>
          <cell r="AU299" t="str">
            <v>Vehicle Safety</v>
          </cell>
          <cell r="AV299" t="str">
            <v>SAAD</v>
          </cell>
          <cell r="AW299" t="str">
            <v>ADAS</v>
          </cell>
          <cell r="AX299" t="str">
            <v>SAADCA</v>
          </cell>
          <cell r="AY299" t="str">
            <v>Vehicle Camera</v>
          </cell>
          <cell r="AZ299" t="str">
            <v>SAADCAIC</v>
          </cell>
          <cell r="BA299" t="str">
            <v>Internal View Camera</v>
          </cell>
        </row>
        <row r="300">
          <cell r="E300" t="str">
            <v>KIHKE0MN1D3.BMXCL22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9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 t="str">
            <v/>
          </cell>
          <cell r="AH300" t="str">
            <v/>
          </cell>
          <cell r="AI300" t="str">
            <v>KR21P09134230</v>
          </cell>
          <cell r="AJ300" t="str">
            <v>KIHKE0MN1D6.ARFQ</v>
          </cell>
          <cell r="AK300" t="str">
            <v>0.003740</v>
          </cell>
          <cell r="AL300" t="str">
            <v>1</v>
          </cell>
          <cell r="AM300" t="str">
            <v>F</v>
          </cell>
          <cell r="AN300" t="str">
            <v>M0</v>
          </cell>
          <cell r="AO300" t="str">
            <v>Active(Model)</v>
          </cell>
          <cell r="AP300" t="str">
            <v/>
          </cell>
          <cell r="AQ300" t="str">
            <v/>
          </cell>
          <cell r="AR300" t="str">
            <v>Y</v>
          </cell>
          <cell r="AS300" t="str">
            <v/>
          </cell>
          <cell r="AT300" t="str">
            <v>SA</v>
          </cell>
          <cell r="AU300" t="str">
            <v>Vehicle Safety</v>
          </cell>
          <cell r="AV300" t="str">
            <v>SAAD</v>
          </cell>
          <cell r="AW300" t="str">
            <v>ADAS</v>
          </cell>
          <cell r="AX300" t="str">
            <v>SAADCA</v>
          </cell>
          <cell r="AY300" t="str">
            <v>Vehicle Camera</v>
          </cell>
          <cell r="AZ300" t="str">
            <v>SAADCAIC</v>
          </cell>
          <cell r="BA300" t="str">
            <v>Internal View Camera</v>
          </cell>
        </row>
        <row r="301">
          <cell r="E301" t="str">
            <v>KIHKE0MN1D3.BMXCL23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254</v>
          </cell>
          <cell r="O301">
            <v>0</v>
          </cell>
          <cell r="P301">
            <v>254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 t="str">
            <v/>
          </cell>
          <cell r="AH301" t="str">
            <v/>
          </cell>
          <cell r="AI301" t="str">
            <v>KR21P09134230</v>
          </cell>
          <cell r="AJ301" t="str">
            <v>KIHKE0MN1D6.ARFQ</v>
          </cell>
          <cell r="AK301" t="str">
            <v>0.003740</v>
          </cell>
          <cell r="AL301" t="str">
            <v>1</v>
          </cell>
          <cell r="AM301" t="str">
            <v>F</v>
          </cell>
          <cell r="AN301" t="str">
            <v>M0</v>
          </cell>
          <cell r="AO301" t="str">
            <v>Active(Model)</v>
          </cell>
          <cell r="AP301" t="str">
            <v/>
          </cell>
          <cell r="AQ301" t="str">
            <v/>
          </cell>
          <cell r="AR301" t="str">
            <v>Y</v>
          </cell>
          <cell r="AS301" t="str">
            <v/>
          </cell>
          <cell r="AT301" t="str">
            <v>SA</v>
          </cell>
          <cell r="AU301" t="str">
            <v>Vehicle Safety</v>
          </cell>
          <cell r="AV301" t="str">
            <v>SAAD</v>
          </cell>
          <cell r="AW301" t="str">
            <v>ADAS</v>
          </cell>
          <cell r="AX301" t="str">
            <v>SAADCA</v>
          </cell>
          <cell r="AY301" t="str">
            <v>Vehicle Camera</v>
          </cell>
          <cell r="AZ301" t="str">
            <v>SAADCAIC</v>
          </cell>
          <cell r="BA301" t="str">
            <v>Internal View Camera</v>
          </cell>
        </row>
        <row r="302">
          <cell r="E302" t="str">
            <v>KIHKE0MN1D3.BMXCL26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517</v>
          </cell>
          <cell r="O302">
            <v>0</v>
          </cell>
          <cell r="P302">
            <v>517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 t="str">
            <v/>
          </cell>
          <cell r="AH302" t="str">
            <v/>
          </cell>
          <cell r="AI302" t="str">
            <v>KR21P09134230</v>
          </cell>
          <cell r="AJ302" t="str">
            <v>KIHKE0MN1D6.ARFQ</v>
          </cell>
          <cell r="AK302" t="str">
            <v>0.004488</v>
          </cell>
          <cell r="AL302" t="str">
            <v>1</v>
          </cell>
          <cell r="AM302" t="str">
            <v>F</v>
          </cell>
          <cell r="AN302" t="str">
            <v>M0</v>
          </cell>
          <cell r="AO302" t="str">
            <v>Active(Model)</v>
          </cell>
          <cell r="AP302" t="str">
            <v/>
          </cell>
          <cell r="AQ302" t="str">
            <v/>
          </cell>
          <cell r="AR302" t="str">
            <v>Y</v>
          </cell>
          <cell r="AS302" t="str">
            <v/>
          </cell>
          <cell r="AT302" t="str">
            <v>SA</v>
          </cell>
          <cell r="AU302" t="str">
            <v>Vehicle Safety</v>
          </cell>
          <cell r="AV302" t="str">
            <v>SAAD</v>
          </cell>
          <cell r="AW302" t="str">
            <v>ADAS</v>
          </cell>
          <cell r="AX302" t="str">
            <v>SAADCA</v>
          </cell>
          <cell r="AY302" t="str">
            <v>Vehicle Camera</v>
          </cell>
          <cell r="AZ302" t="str">
            <v>SAADCAIC</v>
          </cell>
          <cell r="BA302" t="str">
            <v>Internal View Camera</v>
          </cell>
        </row>
        <row r="303">
          <cell r="E303" t="str">
            <v>KIHKE0MN1D3.BMXCL28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468</v>
          </cell>
          <cell r="O303">
            <v>0</v>
          </cell>
          <cell r="P303">
            <v>468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 t="str">
            <v/>
          </cell>
          <cell r="AH303" t="str">
            <v/>
          </cell>
          <cell r="AI303" t="str">
            <v>KR21P09134230</v>
          </cell>
          <cell r="AJ303" t="str">
            <v>KIHKE0MN1D6.ARFQ</v>
          </cell>
          <cell r="AK303" t="str">
            <v>0.004488</v>
          </cell>
          <cell r="AL303" t="str">
            <v>1</v>
          </cell>
          <cell r="AM303" t="str">
            <v>F</v>
          </cell>
          <cell r="AN303" t="str">
            <v>M0</v>
          </cell>
          <cell r="AO303" t="str">
            <v>Active(Model)</v>
          </cell>
          <cell r="AP303" t="str">
            <v/>
          </cell>
          <cell r="AQ303" t="str">
            <v/>
          </cell>
          <cell r="AR303" t="str">
            <v>Y</v>
          </cell>
          <cell r="AS303" t="str">
            <v/>
          </cell>
          <cell r="AT303" t="str">
            <v>SA</v>
          </cell>
          <cell r="AU303" t="str">
            <v>Vehicle Safety</v>
          </cell>
          <cell r="AV303" t="str">
            <v>SAAD</v>
          </cell>
          <cell r="AW303" t="str">
            <v>ADAS</v>
          </cell>
          <cell r="AX303" t="str">
            <v>SAADCA</v>
          </cell>
          <cell r="AY303" t="str">
            <v>Vehicle Camera</v>
          </cell>
          <cell r="AZ303" t="str">
            <v>SAADCAIC</v>
          </cell>
          <cell r="BA303" t="str">
            <v>Internal View Camera</v>
          </cell>
        </row>
        <row r="304">
          <cell r="E304" t="str">
            <v>KIHKE0MN1D3.BMXCL31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260</v>
          </cell>
          <cell r="O304">
            <v>0</v>
          </cell>
          <cell r="P304">
            <v>260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str">
            <v/>
          </cell>
          <cell r="AH304" t="str">
            <v/>
          </cell>
          <cell r="AI304" t="str">
            <v>KR21P09134230</v>
          </cell>
          <cell r="AJ304" t="str">
            <v>KIHKE0MN1D6.ARFQ</v>
          </cell>
          <cell r="AK304" t="str">
            <v>0.004488</v>
          </cell>
          <cell r="AL304" t="str">
            <v>1</v>
          </cell>
          <cell r="AM304" t="str">
            <v>F</v>
          </cell>
          <cell r="AN304" t="str">
            <v>M0</v>
          </cell>
          <cell r="AO304" t="str">
            <v>Active(Model)</v>
          </cell>
          <cell r="AP304" t="str">
            <v/>
          </cell>
          <cell r="AQ304" t="str">
            <v/>
          </cell>
          <cell r="AR304" t="str">
            <v>Y</v>
          </cell>
          <cell r="AS304" t="str">
            <v/>
          </cell>
          <cell r="AT304" t="str">
            <v>SA</v>
          </cell>
          <cell r="AU304" t="str">
            <v>Vehicle Safety</v>
          </cell>
          <cell r="AV304" t="str">
            <v>SAAD</v>
          </cell>
          <cell r="AW304" t="str">
            <v>ADAS</v>
          </cell>
          <cell r="AX304" t="str">
            <v>SAADCA</v>
          </cell>
          <cell r="AY304" t="str">
            <v>Vehicle Camera</v>
          </cell>
          <cell r="AZ304" t="str">
            <v>SAADCAIC</v>
          </cell>
          <cell r="BA304" t="str">
            <v>Internal View Camera</v>
          </cell>
        </row>
        <row r="305">
          <cell r="E305" t="str">
            <v>KIHKE0MN1D4.BCNOV11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314</v>
          </cell>
          <cell r="O305">
            <v>0</v>
          </cell>
          <cell r="P305">
            <v>314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 t="str">
            <v/>
          </cell>
          <cell r="AH305" t="str">
            <v/>
          </cell>
          <cell r="AI305" t="str">
            <v>KR21P09134230</v>
          </cell>
          <cell r="AJ305" t="str">
            <v>KIHKE0MN1D4.ARFQ</v>
          </cell>
          <cell r="AK305" t="str">
            <v>0.003740</v>
          </cell>
          <cell r="AL305" t="str">
            <v>1</v>
          </cell>
          <cell r="AM305" t="str">
            <v>F</v>
          </cell>
          <cell r="AN305" t="str">
            <v>M0</v>
          </cell>
          <cell r="AO305" t="str">
            <v>Active(Model)</v>
          </cell>
          <cell r="AP305" t="str">
            <v/>
          </cell>
          <cell r="AQ305" t="str">
            <v/>
          </cell>
          <cell r="AR305" t="str">
            <v>Y</v>
          </cell>
          <cell r="AS305" t="str">
            <v/>
          </cell>
          <cell r="AT305" t="str">
            <v>SA</v>
          </cell>
          <cell r="AU305" t="str">
            <v>Vehicle Safety</v>
          </cell>
          <cell r="AV305" t="str">
            <v>SAAD</v>
          </cell>
          <cell r="AW305" t="str">
            <v>ADAS</v>
          </cell>
          <cell r="AX305" t="str">
            <v>SAADCA</v>
          </cell>
          <cell r="AY305" t="str">
            <v>Vehicle Camera</v>
          </cell>
          <cell r="AZ305" t="str">
            <v>SAADCAIC</v>
          </cell>
          <cell r="BA305" t="str">
            <v>Internal View Camera</v>
          </cell>
        </row>
        <row r="306">
          <cell r="E306" t="str">
            <v>KIHKE0MN1D5.BKOCT21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476</v>
          </cell>
          <cell r="O306">
            <v>0</v>
          </cell>
          <cell r="P306">
            <v>476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 t="str">
            <v/>
          </cell>
          <cell r="AH306" t="str">
            <v/>
          </cell>
          <cell r="AI306" t="str">
            <v>KR21P09134230</v>
          </cell>
          <cell r="AJ306" t="str">
            <v>KIHKE0MN1D5.ARFQ</v>
          </cell>
          <cell r="AK306" t="str">
            <v>0.003201</v>
          </cell>
          <cell r="AL306" t="str">
            <v>1</v>
          </cell>
          <cell r="AM306" t="str">
            <v>F</v>
          </cell>
          <cell r="AN306" t="str">
            <v>M0</v>
          </cell>
          <cell r="AO306" t="str">
            <v>Active(Model)</v>
          </cell>
          <cell r="AP306" t="str">
            <v/>
          </cell>
          <cell r="AQ306" t="str">
            <v/>
          </cell>
          <cell r="AR306" t="str">
            <v>Y</v>
          </cell>
          <cell r="AS306" t="str">
            <v/>
          </cell>
          <cell r="AT306" t="str">
            <v>SA</v>
          </cell>
          <cell r="AU306" t="str">
            <v>Vehicle Safety</v>
          </cell>
          <cell r="AV306" t="str">
            <v>SAAD</v>
          </cell>
          <cell r="AW306" t="str">
            <v>ADAS</v>
          </cell>
          <cell r="AX306" t="str">
            <v>SAADCA</v>
          </cell>
          <cell r="AY306" t="str">
            <v>Vehicle Camera</v>
          </cell>
          <cell r="AZ306" t="str">
            <v>SAADCAIC</v>
          </cell>
          <cell r="BA306" t="str">
            <v>Internal View Camera</v>
          </cell>
        </row>
        <row r="307">
          <cell r="E307" t="str">
            <v>KIHKE0MN1D5.BKOCT22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14</v>
          </cell>
          <cell r="O307">
            <v>0</v>
          </cell>
          <cell r="P307">
            <v>14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str">
            <v/>
          </cell>
          <cell r="AH307" t="str">
            <v/>
          </cell>
          <cell r="AI307" t="str">
            <v>KR21P09134230</v>
          </cell>
          <cell r="AJ307" t="str">
            <v>KIHKE0MN1D5.ARFQ</v>
          </cell>
          <cell r="AK307" t="str">
            <v>0.003201</v>
          </cell>
          <cell r="AL307" t="str">
            <v>1</v>
          </cell>
          <cell r="AM307" t="str">
            <v>F</v>
          </cell>
          <cell r="AN307" t="str">
            <v>M0</v>
          </cell>
          <cell r="AO307" t="str">
            <v>Active(Model)</v>
          </cell>
          <cell r="AP307" t="str">
            <v/>
          </cell>
          <cell r="AQ307" t="str">
            <v/>
          </cell>
          <cell r="AR307" t="str">
            <v>Y</v>
          </cell>
          <cell r="AS307" t="str">
            <v/>
          </cell>
          <cell r="AT307" t="str">
            <v>SA</v>
          </cell>
          <cell r="AU307" t="str">
            <v>Vehicle Safety</v>
          </cell>
          <cell r="AV307" t="str">
            <v>SAAD</v>
          </cell>
          <cell r="AW307" t="str">
            <v>ADAS</v>
          </cell>
          <cell r="AX307" t="str">
            <v>SAADCA</v>
          </cell>
          <cell r="AY307" t="str">
            <v>Vehicle Camera</v>
          </cell>
          <cell r="AZ307" t="str">
            <v>SAADCAIC</v>
          </cell>
          <cell r="BA307" t="str">
            <v>Internal View Camera</v>
          </cell>
        </row>
        <row r="308">
          <cell r="E308" t="str">
            <v>KIHKE0MN1E1.BKOBC11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120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 t="str">
            <v/>
          </cell>
          <cell r="AH308" t="str">
            <v/>
          </cell>
          <cell r="AI308" t="str">
            <v>KR23P00019370</v>
          </cell>
          <cell r="AJ308" t="str">
            <v>KIHKE0MN1F0.ARFQ</v>
          </cell>
          <cell r="AK308" t="str">
            <v>0.002992</v>
          </cell>
          <cell r="AL308" t="str">
            <v>1</v>
          </cell>
          <cell r="AM308" t="str">
            <v>F</v>
          </cell>
          <cell r="AN308" t="str">
            <v>M0</v>
          </cell>
          <cell r="AO308" t="str">
            <v>Active(Model)</v>
          </cell>
          <cell r="AP308" t="str">
            <v/>
          </cell>
          <cell r="AQ308" t="str">
            <v/>
          </cell>
          <cell r="AR308" t="str">
            <v>Y</v>
          </cell>
          <cell r="AS308" t="str">
            <v/>
          </cell>
          <cell r="AT308" t="str">
            <v>SA</v>
          </cell>
          <cell r="AU308" t="str">
            <v>Vehicle Safety</v>
          </cell>
          <cell r="AV308" t="str">
            <v>SAAD</v>
          </cell>
          <cell r="AW308" t="str">
            <v>ADAS</v>
          </cell>
          <cell r="AX308" t="str">
            <v>SAADCA</v>
          </cell>
          <cell r="AY308" t="str">
            <v>Vehicle Camera</v>
          </cell>
          <cell r="AZ308" t="str">
            <v>SAADCAIC</v>
          </cell>
          <cell r="BA308" t="str">
            <v>Internal View Camera</v>
          </cell>
        </row>
        <row r="309">
          <cell r="E309" t="str">
            <v>KIHKE0MN1E1.BKOBC12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10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 t="str">
            <v/>
          </cell>
          <cell r="AH309" t="str">
            <v/>
          </cell>
          <cell r="AI309" t="str">
            <v>KR23P00019370</v>
          </cell>
          <cell r="AJ309" t="str">
            <v>KIHKE0MN1F0.ARFQ</v>
          </cell>
          <cell r="AK309" t="str">
            <v>0.002992</v>
          </cell>
          <cell r="AL309" t="str">
            <v>1</v>
          </cell>
          <cell r="AM309" t="str">
            <v>F</v>
          </cell>
          <cell r="AN309" t="str">
            <v>M0</v>
          </cell>
          <cell r="AO309" t="str">
            <v>Active(Model)</v>
          </cell>
          <cell r="AP309" t="str">
            <v/>
          </cell>
          <cell r="AQ309" t="str">
            <v/>
          </cell>
          <cell r="AR309" t="str">
            <v>Y</v>
          </cell>
          <cell r="AS309" t="str">
            <v/>
          </cell>
          <cell r="AT309" t="str">
            <v>SA</v>
          </cell>
          <cell r="AU309" t="str">
            <v>Vehicle Safety</v>
          </cell>
          <cell r="AV309" t="str">
            <v>SAAD</v>
          </cell>
          <cell r="AW309" t="str">
            <v>ADAS</v>
          </cell>
          <cell r="AX309" t="str">
            <v>SAADCA</v>
          </cell>
          <cell r="AY309" t="str">
            <v>Vehicle Camera</v>
          </cell>
          <cell r="AZ309" t="str">
            <v>SAADCAIC</v>
          </cell>
          <cell r="BA309" t="str">
            <v>Internal View Camera</v>
          </cell>
        </row>
        <row r="310">
          <cell r="E310" t="str">
            <v>KIHKE0MN1E1.BKOBJ11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2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 t="str">
            <v/>
          </cell>
          <cell r="AH310" t="str">
            <v/>
          </cell>
          <cell r="AI310" t="str">
            <v>KR23P00019370</v>
          </cell>
          <cell r="AJ310" t="str">
            <v>KIHKE0MN1F3.ARFQ</v>
          </cell>
          <cell r="AK310" t="str">
            <v>0.002992</v>
          </cell>
          <cell r="AL310" t="str">
            <v>1</v>
          </cell>
          <cell r="AM310" t="str">
            <v>F</v>
          </cell>
          <cell r="AN310" t="str">
            <v>M0</v>
          </cell>
          <cell r="AO310" t="str">
            <v>Active(Model)</v>
          </cell>
          <cell r="AP310" t="str">
            <v/>
          </cell>
          <cell r="AQ310" t="str">
            <v/>
          </cell>
          <cell r="AR310" t="str">
            <v>Y</v>
          </cell>
          <cell r="AS310" t="str">
            <v/>
          </cell>
          <cell r="AT310" t="str">
            <v>SA</v>
          </cell>
          <cell r="AU310" t="str">
            <v>Vehicle Safety</v>
          </cell>
          <cell r="AV310" t="str">
            <v>SAAD</v>
          </cell>
          <cell r="AW310" t="str">
            <v>ADAS</v>
          </cell>
          <cell r="AX310" t="str">
            <v>SAADCA</v>
          </cell>
          <cell r="AY310" t="str">
            <v>Vehicle Camera</v>
          </cell>
          <cell r="AZ310" t="str">
            <v>SAADCAIC</v>
          </cell>
          <cell r="BA310" t="str">
            <v>Internal View Camera</v>
          </cell>
        </row>
        <row r="311">
          <cell r="E311" t="str">
            <v>KIHKE0MN1E1.BKOBJ12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2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 t="str">
            <v/>
          </cell>
          <cell r="AH311" t="str">
            <v/>
          </cell>
          <cell r="AI311" t="str">
            <v>KR23P00019370</v>
          </cell>
          <cell r="AJ311" t="str">
            <v>KIHKE0MN1F3.ARFQ</v>
          </cell>
          <cell r="AK311" t="str">
            <v>0.002992</v>
          </cell>
          <cell r="AL311" t="str">
            <v>1</v>
          </cell>
          <cell r="AM311" t="str">
            <v>F</v>
          </cell>
          <cell r="AN311" t="str">
            <v>M0</v>
          </cell>
          <cell r="AO311" t="str">
            <v>Active(Model)</v>
          </cell>
          <cell r="AP311" t="str">
            <v/>
          </cell>
          <cell r="AQ311" t="str">
            <v/>
          </cell>
          <cell r="AR311" t="str">
            <v>Y</v>
          </cell>
          <cell r="AS311" t="str">
            <v/>
          </cell>
          <cell r="AT311" t="str">
            <v>SA</v>
          </cell>
          <cell r="AU311" t="str">
            <v>Vehicle Safety</v>
          </cell>
          <cell r="AV311" t="str">
            <v>SAAD</v>
          </cell>
          <cell r="AW311" t="str">
            <v>ADAS</v>
          </cell>
          <cell r="AX311" t="str">
            <v>SAADCA</v>
          </cell>
          <cell r="AY311" t="str">
            <v>Vehicle Camera</v>
          </cell>
          <cell r="AZ311" t="str">
            <v>SAADCAIC</v>
          </cell>
          <cell r="BA311" t="str">
            <v>Internal View Camera</v>
          </cell>
        </row>
        <row r="312">
          <cell r="E312" t="str">
            <v>KIHKE0MN1E1.BKOGN11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1470</v>
          </cell>
          <cell r="O312">
            <v>920</v>
          </cell>
          <cell r="P312">
            <v>1470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 t="str">
            <v/>
          </cell>
          <cell r="AH312" t="str">
            <v/>
          </cell>
          <cell r="AI312" t="str">
            <v>KR23P00019370</v>
          </cell>
          <cell r="AJ312" t="str">
            <v>KIHKE0MN1E4.ARFQ</v>
          </cell>
          <cell r="AK312" t="str">
            <v>0.002992</v>
          </cell>
          <cell r="AL312" t="str">
            <v>1</v>
          </cell>
          <cell r="AM312" t="str">
            <v>F</v>
          </cell>
          <cell r="AN312" t="str">
            <v>M0</v>
          </cell>
          <cell r="AO312" t="str">
            <v>Active(Model)</v>
          </cell>
          <cell r="AP312" t="str">
            <v/>
          </cell>
          <cell r="AQ312" t="str">
            <v/>
          </cell>
          <cell r="AR312" t="str">
            <v>Y</v>
          </cell>
          <cell r="AS312" t="str">
            <v/>
          </cell>
          <cell r="AT312" t="str">
            <v>SA</v>
          </cell>
          <cell r="AU312" t="str">
            <v>Vehicle Safety</v>
          </cell>
          <cell r="AV312" t="str">
            <v>SAAD</v>
          </cell>
          <cell r="AW312" t="str">
            <v>ADAS</v>
          </cell>
          <cell r="AX312" t="str">
            <v>SAADCA</v>
          </cell>
          <cell r="AY312" t="str">
            <v>Vehicle Camera</v>
          </cell>
          <cell r="AZ312" t="str">
            <v>SAADCAIC</v>
          </cell>
          <cell r="BA312" t="str">
            <v>Internal View Camera</v>
          </cell>
        </row>
        <row r="313">
          <cell r="E313" t="str">
            <v>KIHKE0MN1E1.BKOQV11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2536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 t="str">
            <v/>
          </cell>
          <cell r="AH313" t="str">
            <v/>
          </cell>
          <cell r="AI313" t="str">
            <v>KR23P00019370</v>
          </cell>
          <cell r="AJ313" t="str">
            <v>KIHKE0MN1E6.ARFQ</v>
          </cell>
          <cell r="AK313" t="str">
            <v>0.005610</v>
          </cell>
          <cell r="AL313" t="str">
            <v>1</v>
          </cell>
          <cell r="AM313" t="str">
            <v>F</v>
          </cell>
          <cell r="AN313" t="str">
            <v>M0</v>
          </cell>
          <cell r="AO313" t="str">
            <v>Active(Model)</v>
          </cell>
          <cell r="AP313" t="str">
            <v/>
          </cell>
          <cell r="AQ313" t="str">
            <v/>
          </cell>
          <cell r="AR313" t="str">
            <v>Y</v>
          </cell>
          <cell r="AS313" t="str">
            <v/>
          </cell>
          <cell r="AT313" t="str">
            <v>SA</v>
          </cell>
          <cell r="AU313" t="str">
            <v>Vehicle Safety</v>
          </cell>
          <cell r="AV313" t="str">
            <v>SAAD</v>
          </cell>
          <cell r="AW313" t="str">
            <v>ADAS</v>
          </cell>
          <cell r="AX313" t="str">
            <v>SAADCA</v>
          </cell>
          <cell r="AY313" t="str">
            <v>Vehicle Camera</v>
          </cell>
          <cell r="AZ313" t="str">
            <v>SAADCAIC</v>
          </cell>
          <cell r="BA313" t="str">
            <v>Internal View Camera</v>
          </cell>
        </row>
        <row r="314">
          <cell r="E314" t="str">
            <v>KIHKE0MN1E1.BKOQV12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464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 t="str">
            <v/>
          </cell>
          <cell r="AH314" t="str">
            <v/>
          </cell>
          <cell r="AI314" t="str">
            <v>KR23P00019370</v>
          </cell>
          <cell r="AJ314" t="str">
            <v>KIHKE0MN1E6.ARFQ</v>
          </cell>
          <cell r="AK314" t="str">
            <v>0.005610</v>
          </cell>
          <cell r="AL314" t="str">
            <v>1</v>
          </cell>
          <cell r="AM314" t="str">
            <v>F</v>
          </cell>
          <cell r="AN314" t="str">
            <v>M0</v>
          </cell>
          <cell r="AO314" t="str">
            <v>Active(Model)</v>
          </cell>
          <cell r="AP314" t="str">
            <v/>
          </cell>
          <cell r="AQ314" t="str">
            <v/>
          </cell>
          <cell r="AR314" t="str">
            <v>Y</v>
          </cell>
          <cell r="AS314" t="str">
            <v/>
          </cell>
          <cell r="AT314" t="str">
            <v>SA</v>
          </cell>
          <cell r="AU314" t="str">
            <v>Vehicle Safety</v>
          </cell>
          <cell r="AV314" t="str">
            <v>SAAD</v>
          </cell>
          <cell r="AW314" t="str">
            <v>ADAS</v>
          </cell>
          <cell r="AX314" t="str">
            <v>SAADCA</v>
          </cell>
          <cell r="AY314" t="str">
            <v>Vehicle Camera</v>
          </cell>
          <cell r="AZ314" t="str">
            <v>SAADCAIC</v>
          </cell>
          <cell r="BA314" t="str">
            <v>Internal View Camera</v>
          </cell>
        </row>
        <row r="315">
          <cell r="E315" t="str">
            <v>KIHKE0MN2E0.BKOSG01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920</v>
          </cell>
          <cell r="O315">
            <v>480</v>
          </cell>
          <cell r="P315">
            <v>920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 t="str">
            <v/>
          </cell>
          <cell r="AH315" t="str">
            <v/>
          </cell>
          <cell r="AI315" t="str">
            <v>KR21P09134230</v>
          </cell>
          <cell r="AJ315" t="str">
            <v>KIHKE0MN2F3.ARFQ</v>
          </cell>
          <cell r="AK315" t="str">
            <v>0.002992</v>
          </cell>
          <cell r="AL315" t="str">
            <v>1</v>
          </cell>
          <cell r="AM315" t="str">
            <v>F</v>
          </cell>
          <cell r="AN315" t="str">
            <v>M0</v>
          </cell>
          <cell r="AO315" t="str">
            <v>Active(Model)</v>
          </cell>
          <cell r="AP315" t="str">
            <v/>
          </cell>
          <cell r="AQ315" t="str">
            <v/>
          </cell>
          <cell r="AR315" t="str">
            <v>Y</v>
          </cell>
          <cell r="AS315" t="str">
            <v/>
          </cell>
          <cell r="AT315" t="str">
            <v>SA</v>
          </cell>
          <cell r="AU315" t="str">
            <v>Vehicle Safety</v>
          </cell>
          <cell r="AV315" t="str">
            <v>SAAD</v>
          </cell>
          <cell r="AW315" t="str">
            <v>ADAS</v>
          </cell>
          <cell r="AX315" t="str">
            <v>SAADCA</v>
          </cell>
          <cell r="AY315" t="str">
            <v>Vehicle Camera</v>
          </cell>
          <cell r="AZ315" t="str">
            <v>SAADCAIC</v>
          </cell>
          <cell r="BA315" t="str">
            <v>Internal View Camera</v>
          </cell>
        </row>
        <row r="316">
          <cell r="E316" t="str">
            <v>KIHKE0MN2E0.BKOSW02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15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 t="str">
            <v/>
          </cell>
          <cell r="AH316" t="str">
            <v/>
          </cell>
          <cell r="AI316" t="str">
            <v>KR21P09134230</v>
          </cell>
          <cell r="AJ316" t="str">
            <v>KIHKE0MN2E6.ARFQ</v>
          </cell>
          <cell r="AK316" t="str">
            <v>0.002992</v>
          </cell>
          <cell r="AL316" t="str">
            <v>1</v>
          </cell>
          <cell r="AM316" t="str">
            <v>F</v>
          </cell>
          <cell r="AN316" t="str">
            <v>M0</v>
          </cell>
          <cell r="AO316" t="str">
            <v>Active(Model)</v>
          </cell>
          <cell r="AP316" t="str">
            <v/>
          </cell>
          <cell r="AQ316" t="str">
            <v/>
          </cell>
          <cell r="AR316" t="str">
            <v>Y</v>
          </cell>
          <cell r="AS316" t="str">
            <v/>
          </cell>
          <cell r="AT316" t="str">
            <v>SA</v>
          </cell>
          <cell r="AU316" t="str">
            <v>Vehicle Safety</v>
          </cell>
          <cell r="AV316" t="str">
            <v>SAAD</v>
          </cell>
          <cell r="AW316" t="str">
            <v>ADAS</v>
          </cell>
          <cell r="AX316" t="str">
            <v>SAADCA</v>
          </cell>
          <cell r="AY316" t="str">
            <v>Vehicle Camera</v>
          </cell>
          <cell r="AZ316" t="str">
            <v>SAADCAIC</v>
          </cell>
          <cell r="BA316" t="str">
            <v>Internal View Camera</v>
          </cell>
        </row>
        <row r="317">
          <cell r="E317" t="str">
            <v>KIHKE0MN2E0.BKOSW21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881</v>
          </cell>
          <cell r="O317">
            <v>409</v>
          </cell>
          <cell r="P317">
            <v>881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 t="str">
            <v/>
          </cell>
          <cell r="AH317" t="str">
            <v/>
          </cell>
          <cell r="AI317" t="str">
            <v>KR21P09134230</v>
          </cell>
          <cell r="AJ317" t="str">
            <v>KIHKE0MN2E6.ARFQ</v>
          </cell>
          <cell r="AK317" t="str">
            <v>0.002992</v>
          </cell>
          <cell r="AL317" t="str">
            <v>1</v>
          </cell>
          <cell r="AM317" t="str">
            <v>F</v>
          </cell>
          <cell r="AN317" t="str">
            <v>M0</v>
          </cell>
          <cell r="AO317" t="str">
            <v>Active(Model)</v>
          </cell>
          <cell r="AP317" t="str">
            <v/>
          </cell>
          <cell r="AQ317" t="str">
            <v/>
          </cell>
          <cell r="AR317" t="str">
            <v>Y</v>
          </cell>
          <cell r="AS317" t="str">
            <v/>
          </cell>
          <cell r="AT317" t="str">
            <v>SA</v>
          </cell>
          <cell r="AU317" t="str">
            <v>Vehicle Safety</v>
          </cell>
          <cell r="AV317" t="str">
            <v>SAAD</v>
          </cell>
          <cell r="AW317" t="str">
            <v>ADAS</v>
          </cell>
          <cell r="AX317" t="str">
            <v>SAADCA</v>
          </cell>
          <cell r="AY317" t="str">
            <v>Vehicle Camera</v>
          </cell>
          <cell r="AZ317" t="str">
            <v>SAADCAIC</v>
          </cell>
          <cell r="BA317" t="str">
            <v>Internal View Camera</v>
          </cell>
        </row>
        <row r="318">
          <cell r="E318" t="str">
            <v>KIHKE0MN2E0.BKOSW22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360</v>
          </cell>
          <cell r="O318">
            <v>0</v>
          </cell>
          <cell r="P318">
            <v>360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 t="str">
            <v/>
          </cell>
          <cell r="AH318" t="str">
            <v/>
          </cell>
          <cell r="AI318" t="str">
            <v>KR21P09134230</v>
          </cell>
          <cell r="AJ318" t="str">
            <v>KIHKE0MN2E6.ARFQ</v>
          </cell>
          <cell r="AK318" t="str">
            <v>0.002992</v>
          </cell>
          <cell r="AL318" t="str">
            <v>1</v>
          </cell>
          <cell r="AM318" t="str">
            <v>F</v>
          </cell>
          <cell r="AN318" t="str">
            <v>M0</v>
          </cell>
          <cell r="AO318" t="str">
            <v>Active(Model)</v>
          </cell>
          <cell r="AP318" t="str">
            <v/>
          </cell>
          <cell r="AQ318" t="str">
            <v/>
          </cell>
          <cell r="AR318" t="str">
            <v>Y</v>
          </cell>
          <cell r="AS318" t="str">
            <v/>
          </cell>
          <cell r="AT318" t="str">
            <v>SA</v>
          </cell>
          <cell r="AU318" t="str">
            <v>Vehicle Safety</v>
          </cell>
          <cell r="AV318" t="str">
            <v>SAAD</v>
          </cell>
          <cell r="AW318" t="str">
            <v>ADAS</v>
          </cell>
          <cell r="AX318" t="str">
            <v>SAADCA</v>
          </cell>
          <cell r="AY318" t="str">
            <v>Vehicle Camera</v>
          </cell>
          <cell r="AZ318" t="str">
            <v>SAADCAIC</v>
          </cell>
          <cell r="BA318" t="str">
            <v>Internal View Camera</v>
          </cell>
        </row>
        <row r="319">
          <cell r="E319" t="str">
            <v>KIHKE0MN2E0.BKOUS01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60</v>
          </cell>
          <cell r="O319">
            <v>0</v>
          </cell>
          <cell r="P319">
            <v>60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 t="str">
            <v/>
          </cell>
          <cell r="AH319" t="str">
            <v/>
          </cell>
          <cell r="AI319" t="str">
            <v>KR21P09134230</v>
          </cell>
          <cell r="AJ319" t="str">
            <v>KIHKE0MN2F2.ARFQ</v>
          </cell>
          <cell r="AK319" t="str">
            <v>0.002992</v>
          </cell>
          <cell r="AL319" t="str">
            <v>1</v>
          </cell>
          <cell r="AM319" t="str">
            <v>F</v>
          </cell>
          <cell r="AN319" t="str">
            <v>M0</v>
          </cell>
          <cell r="AO319" t="str">
            <v>Active(Model)</v>
          </cell>
          <cell r="AP319" t="str">
            <v/>
          </cell>
          <cell r="AQ319" t="str">
            <v/>
          </cell>
          <cell r="AR319" t="str">
            <v>Y</v>
          </cell>
          <cell r="AS319" t="str">
            <v/>
          </cell>
          <cell r="AT319" t="str">
            <v>SA</v>
          </cell>
          <cell r="AU319" t="str">
            <v>Vehicle Safety</v>
          </cell>
          <cell r="AV319" t="str">
            <v>SAAD</v>
          </cell>
          <cell r="AW319" t="str">
            <v>ADAS</v>
          </cell>
          <cell r="AX319" t="str">
            <v>SAADCA</v>
          </cell>
          <cell r="AY319" t="str">
            <v>Vehicle Camera</v>
          </cell>
          <cell r="AZ319" t="str">
            <v>SAADCAIC</v>
          </cell>
          <cell r="BA319" t="str">
            <v>Internal View Camera</v>
          </cell>
        </row>
        <row r="320">
          <cell r="E320" t="str">
            <v>LAN5800WR0.B0ARWB</v>
          </cell>
          <cell r="F320">
            <v>159</v>
          </cell>
          <cell r="G320">
            <v>0</v>
          </cell>
          <cell r="H320">
            <v>0</v>
          </cell>
          <cell r="I320">
            <v>159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 t="str">
            <v/>
          </cell>
          <cell r="AH320" t="str">
            <v/>
          </cell>
          <cell r="AI320" t="str">
            <v>KR16P01445250</v>
          </cell>
          <cell r="AJ320" t="str">
            <v>AVRN7NNG0D3.ARFQ</v>
          </cell>
          <cell r="AK320" t="str">
            <v>0.004548</v>
          </cell>
          <cell r="AL320" t="str">
            <v>1</v>
          </cell>
          <cell r="AM320" t="str">
            <v>F</v>
          </cell>
          <cell r="AN320" t="str">
            <v>M0</v>
          </cell>
          <cell r="AO320" t="str">
            <v>Active(Model)</v>
          </cell>
          <cell r="AP320" t="str">
            <v/>
          </cell>
          <cell r="AQ320" t="str">
            <v/>
          </cell>
          <cell r="AR320" t="str">
            <v>Y</v>
          </cell>
          <cell r="AS320" t="str">
            <v/>
          </cell>
          <cell r="AT320" t="str">
            <v>IN</v>
          </cell>
          <cell r="AU320" t="str">
            <v>Infotainment</v>
          </cell>
          <cell r="AV320" t="str">
            <v>INAV</v>
          </cell>
          <cell r="AW320" t="str">
            <v>AV/AVN</v>
          </cell>
          <cell r="AX320" t="str">
            <v>INAVAN</v>
          </cell>
          <cell r="AY320" t="str">
            <v>AVN</v>
          </cell>
          <cell r="AZ320" t="str">
            <v>INAVANNN</v>
          </cell>
          <cell r="BA320" t="str">
            <v>AVN with Display</v>
          </cell>
        </row>
        <row r="321">
          <cell r="E321" t="str">
            <v>LAN5800WR3.B06RWB</v>
          </cell>
          <cell r="F321">
            <v>1</v>
          </cell>
          <cell r="G321">
            <v>0</v>
          </cell>
          <cell r="H321">
            <v>0</v>
          </cell>
          <cell r="I321">
            <v>1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8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 t="str">
            <v/>
          </cell>
          <cell r="AH321" t="str">
            <v/>
          </cell>
          <cell r="AI321" t="str">
            <v>KR16P01445250</v>
          </cell>
          <cell r="AJ321" t="str">
            <v>AVRN8NNG0D2.ARFQ</v>
          </cell>
          <cell r="AK321" t="str">
            <v>0.002000</v>
          </cell>
          <cell r="AL321" t="str">
            <v>1</v>
          </cell>
          <cell r="AM321" t="str">
            <v>F</v>
          </cell>
          <cell r="AN321" t="str">
            <v>M0</v>
          </cell>
          <cell r="AO321" t="str">
            <v>Active(Model)</v>
          </cell>
          <cell r="AP321" t="str">
            <v/>
          </cell>
          <cell r="AQ321" t="str">
            <v/>
          </cell>
          <cell r="AR321" t="str">
            <v>Y</v>
          </cell>
          <cell r="AS321" t="str">
            <v/>
          </cell>
          <cell r="AT321" t="str">
            <v>IN</v>
          </cell>
          <cell r="AU321" t="str">
            <v>Infotainment</v>
          </cell>
          <cell r="AV321" t="str">
            <v>INAV</v>
          </cell>
          <cell r="AW321" t="str">
            <v>AV/AVN</v>
          </cell>
          <cell r="AX321" t="str">
            <v>INAVAN</v>
          </cell>
          <cell r="AY321" t="str">
            <v>AVN</v>
          </cell>
          <cell r="AZ321" t="str">
            <v>INAVANNN</v>
          </cell>
          <cell r="BA321" t="str">
            <v>AVN with Display</v>
          </cell>
        </row>
        <row r="322">
          <cell r="E322" t="str">
            <v>LAN5800WR3.B07RWB</v>
          </cell>
          <cell r="F322">
            <v>97</v>
          </cell>
          <cell r="G322">
            <v>0</v>
          </cell>
          <cell r="H322">
            <v>0</v>
          </cell>
          <cell r="I322">
            <v>97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180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 t="str">
            <v/>
          </cell>
          <cell r="AH322" t="str">
            <v/>
          </cell>
          <cell r="AI322" t="str">
            <v>KR16P01445250</v>
          </cell>
          <cell r="AJ322" t="str">
            <v>AVRN8NNG0D2.ARFQ</v>
          </cell>
          <cell r="AK322" t="str">
            <v>0.002000</v>
          </cell>
          <cell r="AL322" t="str">
            <v>1</v>
          </cell>
          <cell r="AM322" t="str">
            <v>F</v>
          </cell>
          <cell r="AN322" t="str">
            <v>M0</v>
          </cell>
          <cell r="AO322" t="str">
            <v>Active(Model)</v>
          </cell>
          <cell r="AP322" t="str">
            <v/>
          </cell>
          <cell r="AQ322" t="str">
            <v/>
          </cell>
          <cell r="AR322" t="str">
            <v>Y</v>
          </cell>
          <cell r="AS322" t="str">
            <v/>
          </cell>
          <cell r="AT322" t="str">
            <v>IN</v>
          </cell>
          <cell r="AU322" t="str">
            <v>Infotainment</v>
          </cell>
          <cell r="AV322" t="str">
            <v>INAV</v>
          </cell>
          <cell r="AW322" t="str">
            <v>AV/AVN</v>
          </cell>
          <cell r="AX322" t="str">
            <v>INAVAN</v>
          </cell>
          <cell r="AY322" t="str">
            <v>AVN</v>
          </cell>
          <cell r="AZ322" t="str">
            <v>INAVANNN</v>
          </cell>
          <cell r="BA322" t="str">
            <v>AVN with Display</v>
          </cell>
        </row>
        <row r="323">
          <cell r="E323" t="str">
            <v>LAN5900WR1B.B0FRWB</v>
          </cell>
          <cell r="F323">
            <v>267</v>
          </cell>
          <cell r="G323">
            <v>0</v>
          </cell>
          <cell r="H323">
            <v>0</v>
          </cell>
          <cell r="I323">
            <v>267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1710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 t="str">
            <v/>
          </cell>
          <cell r="AH323" t="str">
            <v/>
          </cell>
          <cell r="AI323" t="str">
            <v>KR17P06980190</v>
          </cell>
          <cell r="AJ323" t="str">
            <v>AVRN8NNG1D7.ARFQ</v>
          </cell>
          <cell r="AK323" t="str">
            <v>0.012800</v>
          </cell>
          <cell r="AL323" t="str">
            <v>1</v>
          </cell>
          <cell r="AM323" t="str">
            <v>F</v>
          </cell>
          <cell r="AN323" t="str">
            <v>M0</v>
          </cell>
          <cell r="AO323" t="str">
            <v>Active(Model)</v>
          </cell>
          <cell r="AP323" t="str">
            <v/>
          </cell>
          <cell r="AQ323" t="str">
            <v/>
          </cell>
          <cell r="AR323" t="str">
            <v>Y</v>
          </cell>
          <cell r="AS323" t="str">
            <v/>
          </cell>
          <cell r="AT323" t="str">
            <v>IN</v>
          </cell>
          <cell r="AU323" t="str">
            <v>Infotainment</v>
          </cell>
          <cell r="AV323" t="str">
            <v>INAV</v>
          </cell>
          <cell r="AW323" t="str">
            <v>AV/AVN</v>
          </cell>
          <cell r="AX323" t="str">
            <v>INAVAV</v>
          </cell>
          <cell r="AY323" t="str">
            <v>AV</v>
          </cell>
          <cell r="AZ323" t="str">
            <v>INAVAVVV</v>
          </cell>
          <cell r="BA323" t="str">
            <v>AV with Display</v>
          </cell>
        </row>
        <row r="324">
          <cell r="E324" t="str">
            <v>LAN5900WR1D.B0FRWB</v>
          </cell>
          <cell r="F324">
            <v>3</v>
          </cell>
          <cell r="G324">
            <v>0</v>
          </cell>
          <cell r="H324">
            <v>0</v>
          </cell>
          <cell r="I324">
            <v>3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90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 t="str">
            <v/>
          </cell>
          <cell r="AH324" t="str">
            <v/>
          </cell>
          <cell r="AI324" t="str">
            <v>KR17P06980190</v>
          </cell>
          <cell r="AJ324" t="str">
            <v>AVRN8DNG0D8.ARFQ</v>
          </cell>
          <cell r="AK324" t="str">
            <v>0.009600</v>
          </cell>
          <cell r="AL324" t="str">
            <v>1</v>
          </cell>
          <cell r="AM324" t="str">
            <v>F</v>
          </cell>
          <cell r="AN324" t="str">
            <v>M0</v>
          </cell>
          <cell r="AO324" t="str">
            <v>Active(Model)</v>
          </cell>
          <cell r="AP324" t="str">
            <v/>
          </cell>
          <cell r="AQ324" t="str">
            <v/>
          </cell>
          <cell r="AR324" t="str">
            <v>Y</v>
          </cell>
          <cell r="AS324" t="str">
            <v/>
          </cell>
          <cell r="AT324" t="str">
            <v>IN</v>
          </cell>
          <cell r="AU324" t="str">
            <v>Infotainment</v>
          </cell>
          <cell r="AV324" t="str">
            <v>INAV</v>
          </cell>
          <cell r="AW324" t="str">
            <v>AV/AVN</v>
          </cell>
          <cell r="AX324" t="str">
            <v>INAVAV</v>
          </cell>
          <cell r="AY324" t="str">
            <v>AV</v>
          </cell>
          <cell r="AZ324" t="str">
            <v>INAVAVVV</v>
          </cell>
          <cell r="BA324" t="str">
            <v>AV with Display</v>
          </cell>
        </row>
        <row r="325">
          <cell r="E325" t="str">
            <v>LAN5900WR2B.B0DRWB</v>
          </cell>
          <cell r="F325">
            <v>553</v>
          </cell>
          <cell r="G325">
            <v>0</v>
          </cell>
          <cell r="H325">
            <v>0</v>
          </cell>
          <cell r="I325">
            <v>553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 t="str">
            <v/>
          </cell>
          <cell r="AH325" t="str">
            <v/>
          </cell>
          <cell r="AI325" t="str">
            <v>KR17P06980190</v>
          </cell>
          <cell r="AJ325" t="str">
            <v>AVRN8NNG1E1.ARFQ</v>
          </cell>
          <cell r="AK325" t="str">
            <v>0.012800</v>
          </cell>
          <cell r="AL325" t="str">
            <v>1</v>
          </cell>
          <cell r="AM325" t="str">
            <v>F</v>
          </cell>
          <cell r="AN325" t="str">
            <v>M0</v>
          </cell>
          <cell r="AO325" t="str">
            <v>Active(Model)</v>
          </cell>
          <cell r="AP325" t="str">
            <v/>
          </cell>
          <cell r="AQ325" t="str">
            <v/>
          </cell>
          <cell r="AR325" t="str">
            <v>Y</v>
          </cell>
          <cell r="AS325" t="str">
            <v/>
          </cell>
          <cell r="AT325" t="str">
            <v>IN</v>
          </cell>
          <cell r="AU325" t="str">
            <v>Infotainment</v>
          </cell>
          <cell r="AV325" t="str">
            <v>INAV</v>
          </cell>
          <cell r="AW325" t="str">
            <v>AV/AVN</v>
          </cell>
          <cell r="AX325" t="str">
            <v>INAVAV</v>
          </cell>
          <cell r="AY325" t="str">
            <v>AV</v>
          </cell>
          <cell r="AZ325" t="str">
            <v>INAVAVVV</v>
          </cell>
          <cell r="BA325" t="str">
            <v>AV with Display</v>
          </cell>
        </row>
        <row r="326">
          <cell r="E326" t="str">
            <v>LAN5900WR4B.B0DRWP</v>
          </cell>
          <cell r="F326">
            <v>11</v>
          </cell>
          <cell r="G326">
            <v>0</v>
          </cell>
          <cell r="H326">
            <v>0</v>
          </cell>
          <cell r="I326">
            <v>11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 t="str">
            <v/>
          </cell>
          <cell r="AH326" t="str">
            <v/>
          </cell>
          <cell r="AI326" t="str">
            <v>KR17P06980190</v>
          </cell>
          <cell r="AJ326" t="str">
            <v>AVRN8NNG1E0.ARFQ</v>
          </cell>
          <cell r="AK326" t="str">
            <v>0.012800</v>
          </cell>
          <cell r="AL326" t="str">
            <v>1</v>
          </cell>
          <cell r="AM326" t="str">
            <v>F</v>
          </cell>
          <cell r="AN326" t="str">
            <v>M0</v>
          </cell>
          <cell r="AO326" t="str">
            <v>Active(Model)</v>
          </cell>
          <cell r="AP326" t="str">
            <v/>
          </cell>
          <cell r="AQ326" t="str">
            <v/>
          </cell>
          <cell r="AR326" t="str">
            <v>Y</v>
          </cell>
          <cell r="AS326" t="str">
            <v/>
          </cell>
          <cell r="AT326" t="str">
            <v>IN</v>
          </cell>
          <cell r="AU326" t="str">
            <v>Infotainment</v>
          </cell>
          <cell r="AV326" t="str">
            <v>INAV</v>
          </cell>
          <cell r="AW326" t="str">
            <v>AV/AVN</v>
          </cell>
          <cell r="AX326" t="str">
            <v>INAVAV</v>
          </cell>
          <cell r="AY326" t="str">
            <v>AV</v>
          </cell>
          <cell r="AZ326" t="str">
            <v>INAVAVVV</v>
          </cell>
          <cell r="BA326" t="str">
            <v>AV with Display</v>
          </cell>
        </row>
        <row r="327">
          <cell r="E327" t="str">
            <v>LAN5900WR5B.B0DRWB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 t="str">
            <v/>
          </cell>
          <cell r="AH327" t="str">
            <v/>
          </cell>
          <cell r="AI327" t="str">
            <v>KR17P06980190</v>
          </cell>
          <cell r="AJ327" t="str">
            <v>AVRN8NNG1E5.ARFQ</v>
          </cell>
          <cell r="AK327" t="str">
            <v>0.012800</v>
          </cell>
          <cell r="AL327" t="str">
            <v>1</v>
          </cell>
          <cell r="AM327" t="str">
            <v>F</v>
          </cell>
          <cell r="AN327" t="str">
            <v>M0</v>
          </cell>
          <cell r="AO327" t="str">
            <v>Active(Model)</v>
          </cell>
          <cell r="AP327" t="str">
            <v/>
          </cell>
          <cell r="AQ327" t="str">
            <v/>
          </cell>
          <cell r="AR327" t="str">
            <v>Y</v>
          </cell>
          <cell r="AS327" t="str">
            <v/>
          </cell>
          <cell r="AT327" t="str">
            <v>IN</v>
          </cell>
          <cell r="AU327" t="str">
            <v>Infotainment</v>
          </cell>
          <cell r="AV327" t="str">
            <v>INAV</v>
          </cell>
          <cell r="AW327" t="str">
            <v>AV/AVN</v>
          </cell>
          <cell r="AX327" t="str">
            <v>INAVAV</v>
          </cell>
          <cell r="AY327" t="str">
            <v>AV</v>
          </cell>
          <cell r="AZ327" t="str">
            <v>INAVAVVV</v>
          </cell>
          <cell r="BA327" t="str">
            <v>AV with Display</v>
          </cell>
        </row>
        <row r="328">
          <cell r="E328" t="str">
            <v>LAN5910WR2B.B0DRWB</v>
          </cell>
          <cell r="F328">
            <v>107</v>
          </cell>
          <cell r="G328">
            <v>0</v>
          </cell>
          <cell r="H328">
            <v>0</v>
          </cell>
          <cell r="I328">
            <v>107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450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 t="str">
            <v/>
          </cell>
          <cell r="AH328" t="str">
            <v/>
          </cell>
          <cell r="AI328" t="str">
            <v>KR17P06980190</v>
          </cell>
          <cell r="AJ328" t="str">
            <v>AVRN8NNG1D2.ARFQ</v>
          </cell>
          <cell r="AK328" t="str">
            <v>0.012800</v>
          </cell>
          <cell r="AL328" t="str">
            <v>1</v>
          </cell>
          <cell r="AM328" t="str">
            <v>F</v>
          </cell>
          <cell r="AN328" t="str">
            <v>M0</v>
          </cell>
          <cell r="AO328" t="str">
            <v>Active(Model)</v>
          </cell>
          <cell r="AP328" t="str">
            <v/>
          </cell>
          <cell r="AQ328" t="str">
            <v/>
          </cell>
          <cell r="AR328" t="str">
            <v>Y</v>
          </cell>
          <cell r="AS328" t="str">
            <v/>
          </cell>
          <cell r="AT328" t="str">
            <v>IN</v>
          </cell>
          <cell r="AU328" t="str">
            <v>Infotainment</v>
          </cell>
          <cell r="AV328" t="str">
            <v>INAV</v>
          </cell>
          <cell r="AW328" t="str">
            <v>AV/AVN</v>
          </cell>
          <cell r="AX328" t="str">
            <v>INAVAV</v>
          </cell>
          <cell r="AY328" t="str">
            <v>AV</v>
          </cell>
          <cell r="AZ328" t="str">
            <v>INAVAVVV</v>
          </cell>
          <cell r="BA328" t="str">
            <v>AV with Display</v>
          </cell>
        </row>
        <row r="329">
          <cell r="E329" t="str">
            <v>LB26H2200D.ASBCNA1</v>
          </cell>
          <cell r="F329">
            <v>22</v>
          </cell>
          <cell r="G329">
            <v>0</v>
          </cell>
          <cell r="H329">
            <v>0</v>
          </cell>
          <cell r="I329">
            <v>22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 t="str">
            <v/>
          </cell>
          <cell r="AH329" t="str">
            <v/>
          </cell>
          <cell r="AI329" t="str">
            <v/>
          </cell>
          <cell r="AJ329" t="str">
            <v/>
          </cell>
          <cell r="AK329" t="str">
            <v>1.543638</v>
          </cell>
          <cell r="AL329" t="str">
            <v>1</v>
          </cell>
          <cell r="AM329" t="str">
            <v>F</v>
          </cell>
          <cell r="AN329" t="str">
            <v>M0</v>
          </cell>
          <cell r="AO329" t="str">
            <v>Active(Model)</v>
          </cell>
          <cell r="AP329" t="str">
            <v/>
          </cell>
          <cell r="AQ329" t="str">
            <v/>
          </cell>
          <cell r="AR329" t="str">
            <v>Y</v>
          </cell>
          <cell r="AS329" t="str">
            <v/>
          </cell>
          <cell r="AT329" t="str">
            <v>RF</v>
          </cell>
          <cell r="AU329" t="str">
            <v>Refrigerator</v>
          </cell>
          <cell r="AV329" t="str">
            <v>RFBF</v>
          </cell>
          <cell r="AW329" t="str">
            <v>Bottom Freezer</v>
          </cell>
          <cell r="AX329" t="str">
            <v>RFBFBF</v>
          </cell>
          <cell r="AY329" t="str">
            <v>Bottom Freezer</v>
          </cell>
          <cell r="AZ329" t="str">
            <v>RFBFBF2D</v>
          </cell>
          <cell r="BA329" t="str">
            <v>2D Bottom Freezer</v>
          </cell>
        </row>
        <row r="330">
          <cell r="E330" t="str">
            <v>LB26H2200S.ASTCNA1</v>
          </cell>
          <cell r="F330">
            <v>586</v>
          </cell>
          <cell r="G330">
            <v>0</v>
          </cell>
          <cell r="H330">
            <v>1</v>
          </cell>
          <cell r="I330">
            <v>591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351</v>
          </cell>
          <cell r="O330">
            <v>144</v>
          </cell>
          <cell r="P330">
            <v>351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 t="str">
            <v/>
          </cell>
          <cell r="AH330" t="str">
            <v/>
          </cell>
          <cell r="AI330" t="str">
            <v/>
          </cell>
          <cell r="AJ330" t="str">
            <v/>
          </cell>
          <cell r="AK330" t="str">
            <v>1.543638</v>
          </cell>
          <cell r="AL330" t="str">
            <v>1</v>
          </cell>
          <cell r="AM330" t="str">
            <v>F</v>
          </cell>
          <cell r="AN330" t="str">
            <v>M0</v>
          </cell>
          <cell r="AO330" t="str">
            <v>Active(Model)</v>
          </cell>
          <cell r="AP330" t="str">
            <v/>
          </cell>
          <cell r="AQ330" t="str">
            <v/>
          </cell>
          <cell r="AR330" t="str">
            <v>Y</v>
          </cell>
          <cell r="AS330" t="str">
            <v/>
          </cell>
          <cell r="AT330" t="str">
            <v>RF</v>
          </cell>
          <cell r="AU330" t="str">
            <v>Refrigerator</v>
          </cell>
          <cell r="AV330" t="str">
            <v>RFBF</v>
          </cell>
          <cell r="AW330" t="str">
            <v>Bottom Freezer</v>
          </cell>
          <cell r="AX330" t="str">
            <v>RFBFBF</v>
          </cell>
          <cell r="AY330" t="str">
            <v>Bottom Freezer</v>
          </cell>
          <cell r="AZ330" t="str">
            <v>RFBFBF2D</v>
          </cell>
          <cell r="BA330" t="str">
            <v>2D Bottom Freezer</v>
          </cell>
        </row>
        <row r="331">
          <cell r="E331" t="str">
            <v>LC7S-BSDE.BNARA12</v>
          </cell>
          <cell r="F331">
            <v>6</v>
          </cell>
          <cell r="G331">
            <v>0</v>
          </cell>
          <cell r="H331">
            <v>0</v>
          </cell>
          <cell r="I331">
            <v>6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 t="str">
            <v/>
          </cell>
          <cell r="AH331" t="str">
            <v/>
          </cell>
          <cell r="AI331" t="str">
            <v>KR13P32195300</v>
          </cell>
          <cell r="AJ331" t="str">
            <v>ASGM7AAG250.ARFQ</v>
          </cell>
          <cell r="AK331" t="str">
            <v>0.000684</v>
          </cell>
          <cell r="AL331" t="str">
            <v>1</v>
          </cell>
          <cell r="AM331" t="str">
            <v>F</v>
          </cell>
          <cell r="AN331" t="str">
            <v>M0</v>
          </cell>
          <cell r="AO331" t="str">
            <v>Active(Model)</v>
          </cell>
          <cell r="AP331" t="str">
            <v/>
          </cell>
          <cell r="AQ331" t="str">
            <v/>
          </cell>
          <cell r="AR331" t="str">
            <v>Y</v>
          </cell>
          <cell r="AS331" t="str">
            <v/>
          </cell>
          <cell r="AT331" t="str">
            <v>IN</v>
          </cell>
          <cell r="AU331" t="str">
            <v>Infotainment</v>
          </cell>
          <cell r="AV331" t="str">
            <v>INAV</v>
          </cell>
          <cell r="AW331" t="str">
            <v>AV/AVN</v>
          </cell>
          <cell r="AX331" t="str">
            <v>INAVAV</v>
          </cell>
          <cell r="AY331" t="str">
            <v>AV</v>
          </cell>
          <cell r="AZ331" t="str">
            <v>INAVAVVS</v>
          </cell>
          <cell r="BA331" t="str">
            <v>AV Silver Box</v>
          </cell>
        </row>
        <row r="332">
          <cell r="E332" t="str">
            <v>LC7S-MNCG.BNASH06</v>
          </cell>
          <cell r="F332">
            <v>1</v>
          </cell>
          <cell r="G332">
            <v>0</v>
          </cell>
          <cell r="H332">
            <v>0</v>
          </cell>
          <cell r="I332">
            <v>1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 t="str">
            <v/>
          </cell>
          <cell r="AH332" t="str">
            <v/>
          </cell>
          <cell r="AI332" t="str">
            <v>KR13P32195300</v>
          </cell>
          <cell r="AJ332" t="str">
            <v>ADGM7NFN250.ARFQ</v>
          </cell>
          <cell r="AK332" t="str">
            <v>0.000325</v>
          </cell>
          <cell r="AL332" t="str">
            <v>1</v>
          </cell>
          <cell r="AM332" t="str">
            <v>F</v>
          </cell>
          <cell r="AN332" t="str">
            <v>M0</v>
          </cell>
          <cell r="AO332" t="str">
            <v>Active(Model)</v>
          </cell>
          <cell r="AP332" t="str">
            <v/>
          </cell>
          <cell r="AQ332" t="str">
            <v/>
          </cell>
          <cell r="AR332" t="str">
            <v>Y</v>
          </cell>
          <cell r="AS332" t="str">
            <v/>
          </cell>
          <cell r="AT332" t="str">
            <v>IN</v>
          </cell>
          <cell r="AU332" t="str">
            <v>Infotainment</v>
          </cell>
          <cell r="AV332" t="str">
            <v>INAV</v>
          </cell>
          <cell r="AW332" t="str">
            <v>AV/AVN</v>
          </cell>
          <cell r="AX332" t="str">
            <v>INAVAV</v>
          </cell>
          <cell r="AY332" t="str">
            <v>AV</v>
          </cell>
          <cell r="AZ332" t="str">
            <v>INAVAVVD</v>
          </cell>
          <cell r="BA332" t="str">
            <v>AV Display Only</v>
          </cell>
        </row>
        <row r="333">
          <cell r="E333" t="str">
            <v>LCF12N-P9P2.BRDWAS</v>
          </cell>
          <cell r="F333">
            <v>288</v>
          </cell>
          <cell r="G333">
            <v>0</v>
          </cell>
          <cell r="H333">
            <v>0</v>
          </cell>
          <cell r="I333">
            <v>288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1439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str">
            <v/>
          </cell>
          <cell r="AH333" t="str">
            <v/>
          </cell>
          <cell r="AI333" t="str">
            <v>KR19P02751620</v>
          </cell>
          <cell r="AJ333" t="str">
            <v>CLVO11GG0C0.ARFQ</v>
          </cell>
          <cell r="AK333" t="str">
            <v>0.012540</v>
          </cell>
          <cell r="AL333" t="str">
            <v>1</v>
          </cell>
          <cell r="AM333" t="str">
            <v>F</v>
          </cell>
          <cell r="AN333" t="str">
            <v>M0</v>
          </cell>
          <cell r="AO333" t="str">
            <v>Active(Model)</v>
          </cell>
          <cell r="AP333" t="str">
            <v/>
          </cell>
          <cell r="AQ333" t="str">
            <v/>
          </cell>
          <cell r="AR333" t="str">
            <v>Y</v>
          </cell>
          <cell r="AS333" t="str">
            <v/>
          </cell>
          <cell r="AT333" t="str">
            <v>IN</v>
          </cell>
          <cell r="AU333" t="str">
            <v>Infotainment</v>
          </cell>
          <cell r="AV333" t="str">
            <v>INDI</v>
          </cell>
          <cell r="AW333" t="str">
            <v>Vehicle Display</v>
          </cell>
          <cell r="AX333" t="str">
            <v>INDICL</v>
          </cell>
          <cell r="AY333" t="str">
            <v>Cluster</v>
          </cell>
          <cell r="AZ333" t="str">
            <v>INDICLLC</v>
          </cell>
          <cell r="BA333" t="str">
            <v>LCD Cluster</v>
          </cell>
        </row>
        <row r="334">
          <cell r="E334" t="str">
            <v>LCF12N-PE32.BRDWBL</v>
          </cell>
          <cell r="F334">
            <v>360</v>
          </cell>
          <cell r="G334">
            <v>0</v>
          </cell>
          <cell r="H334">
            <v>0</v>
          </cell>
          <cell r="I334">
            <v>360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1080</v>
          </cell>
          <cell r="O334">
            <v>1296</v>
          </cell>
          <cell r="P334">
            <v>1080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 t="str">
            <v/>
          </cell>
          <cell r="AH334" t="str">
            <v/>
          </cell>
          <cell r="AI334" t="str">
            <v>KR19P02751620</v>
          </cell>
          <cell r="AJ334" t="str">
            <v>CLVO11GG0B0.ARFQ</v>
          </cell>
          <cell r="AK334" t="str">
            <v>0.012540</v>
          </cell>
          <cell r="AL334" t="str">
            <v>1</v>
          </cell>
          <cell r="AM334" t="str">
            <v>F</v>
          </cell>
          <cell r="AN334" t="str">
            <v>M0</v>
          </cell>
          <cell r="AO334" t="str">
            <v>Active(Model)</v>
          </cell>
          <cell r="AP334" t="str">
            <v/>
          </cell>
          <cell r="AQ334" t="str">
            <v/>
          </cell>
          <cell r="AR334" t="str">
            <v>Y</v>
          </cell>
          <cell r="AS334" t="str">
            <v/>
          </cell>
          <cell r="AT334" t="str">
            <v>IN</v>
          </cell>
          <cell r="AU334" t="str">
            <v>Infotainment</v>
          </cell>
          <cell r="AV334" t="str">
            <v>INDI</v>
          </cell>
          <cell r="AW334" t="str">
            <v>Vehicle Display</v>
          </cell>
          <cell r="AX334" t="str">
            <v>INDICL</v>
          </cell>
          <cell r="AY334" t="str">
            <v>Cluster</v>
          </cell>
          <cell r="AZ334" t="str">
            <v>INDICLLC</v>
          </cell>
          <cell r="BA334" t="str">
            <v>LCD Cluster</v>
          </cell>
        </row>
        <row r="335">
          <cell r="E335" t="str">
            <v>LCQ17B-PJ12.BEU2PAM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23</v>
          </cell>
          <cell r="O335">
            <v>111</v>
          </cell>
          <cell r="P335">
            <v>23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 t="str">
            <v/>
          </cell>
          <cell r="AH335" t="str">
            <v/>
          </cell>
          <cell r="AI335" t="str">
            <v>KR15P08413470</v>
          </cell>
          <cell r="AJ335" t="str">
            <v>CLVO17QE193.ARFQ</v>
          </cell>
          <cell r="AK335" t="str">
            <v>0.028800</v>
          </cell>
          <cell r="AL335" t="str">
            <v>1</v>
          </cell>
          <cell r="AM335" t="str">
            <v>F</v>
          </cell>
          <cell r="AN335" t="str">
            <v>M0</v>
          </cell>
          <cell r="AO335" t="str">
            <v>Active(Model)</v>
          </cell>
          <cell r="AP335" t="str">
            <v/>
          </cell>
          <cell r="AQ335" t="str">
            <v/>
          </cell>
          <cell r="AR335" t="str">
            <v>Y</v>
          </cell>
          <cell r="AS335" t="str">
            <v/>
          </cell>
          <cell r="AT335" t="str">
            <v>IN</v>
          </cell>
          <cell r="AU335" t="str">
            <v>Infotainment</v>
          </cell>
          <cell r="AV335" t="str">
            <v>INDI</v>
          </cell>
          <cell r="AW335" t="str">
            <v>Vehicle Display</v>
          </cell>
          <cell r="AX335" t="str">
            <v>INDICL</v>
          </cell>
          <cell r="AY335" t="str">
            <v>Cluster</v>
          </cell>
          <cell r="AZ335" t="str">
            <v>INDICLLC</v>
          </cell>
          <cell r="BA335" t="str">
            <v>LCD Cluster</v>
          </cell>
        </row>
        <row r="336">
          <cell r="E336" t="str">
            <v>LCW05-SKE5.BE2F</v>
          </cell>
          <cell r="F336">
            <v>1789</v>
          </cell>
          <cell r="G336">
            <v>0</v>
          </cell>
          <cell r="H336">
            <v>0</v>
          </cell>
          <cell r="I336">
            <v>1789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2400</v>
          </cell>
          <cell r="O336">
            <v>3000</v>
          </cell>
          <cell r="P336">
            <v>2400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 t="str">
            <v/>
          </cell>
          <cell r="AH336" t="str">
            <v/>
          </cell>
          <cell r="AI336" t="str">
            <v>KR16P14219760</v>
          </cell>
          <cell r="AJ336" t="str">
            <v>CLVK01WE190.ARFQ</v>
          </cell>
          <cell r="AK336" t="str">
            <v>0.002250</v>
          </cell>
          <cell r="AL336" t="str">
            <v>1</v>
          </cell>
          <cell r="AM336" t="str">
            <v>F</v>
          </cell>
          <cell r="AN336" t="str">
            <v>M0</v>
          </cell>
          <cell r="AO336" t="str">
            <v>Active(Model)</v>
          </cell>
          <cell r="AP336" t="str">
            <v/>
          </cell>
          <cell r="AQ336" t="str">
            <v/>
          </cell>
          <cell r="AR336" t="str">
            <v>Y</v>
          </cell>
          <cell r="AS336" t="str">
            <v/>
          </cell>
          <cell r="AT336" t="str">
            <v>IN</v>
          </cell>
          <cell r="AU336" t="str">
            <v>Infotainment</v>
          </cell>
          <cell r="AV336" t="str">
            <v>INDI</v>
          </cell>
          <cell r="AW336" t="str">
            <v>Vehicle Display</v>
          </cell>
          <cell r="AX336" t="str">
            <v>INDICL</v>
          </cell>
          <cell r="AY336" t="str">
            <v>Cluster</v>
          </cell>
          <cell r="AZ336" t="str">
            <v>INDICLLC</v>
          </cell>
          <cell r="BA336" t="str">
            <v>LCD Cluster</v>
          </cell>
        </row>
        <row r="337">
          <cell r="E337" t="str">
            <v>LCW05-VWE5.BE2BF</v>
          </cell>
          <cell r="F337">
            <v>3588</v>
          </cell>
          <cell r="G337">
            <v>0</v>
          </cell>
          <cell r="H337">
            <v>0</v>
          </cell>
          <cell r="I337">
            <v>3588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 t="str">
            <v/>
          </cell>
          <cell r="AH337" t="str">
            <v/>
          </cell>
          <cell r="AI337" t="str">
            <v>KR16P14219760</v>
          </cell>
          <cell r="AJ337" t="str">
            <v>CLVW01WE190.ARFQ</v>
          </cell>
          <cell r="AK337" t="str">
            <v>0.001800</v>
          </cell>
          <cell r="AL337" t="str">
            <v>1</v>
          </cell>
          <cell r="AM337" t="str">
            <v>F</v>
          </cell>
          <cell r="AN337" t="str">
            <v>M0</v>
          </cell>
          <cell r="AO337" t="str">
            <v>Active(Model)</v>
          </cell>
          <cell r="AP337" t="str">
            <v/>
          </cell>
          <cell r="AQ337" t="str">
            <v/>
          </cell>
          <cell r="AR337" t="str">
            <v>Y</v>
          </cell>
          <cell r="AS337" t="str">
            <v/>
          </cell>
          <cell r="AT337" t="str">
            <v>IN</v>
          </cell>
          <cell r="AU337" t="str">
            <v>Infotainment</v>
          </cell>
          <cell r="AV337" t="str">
            <v>INDI</v>
          </cell>
          <cell r="AW337" t="str">
            <v>Vehicle Display</v>
          </cell>
          <cell r="AX337" t="str">
            <v>INDICL</v>
          </cell>
          <cell r="AY337" t="str">
            <v>Cluster</v>
          </cell>
          <cell r="AZ337" t="str">
            <v>INDICLLC</v>
          </cell>
          <cell r="BA337" t="str">
            <v>LCD Cluster</v>
          </cell>
        </row>
        <row r="338">
          <cell r="E338" t="str">
            <v>LF20C6330S.ASTCNA1</v>
          </cell>
          <cell r="F338">
            <v>165</v>
          </cell>
          <cell r="G338">
            <v>0</v>
          </cell>
          <cell r="H338">
            <v>0</v>
          </cell>
          <cell r="I338">
            <v>165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2</v>
          </cell>
          <cell r="O338">
            <v>19</v>
          </cell>
          <cell r="P338">
            <v>2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 t="str">
            <v/>
          </cell>
          <cell r="AH338" t="str">
            <v/>
          </cell>
          <cell r="AI338" t="str">
            <v/>
          </cell>
          <cell r="AJ338" t="str">
            <v/>
          </cell>
          <cell r="AK338" t="str">
            <v>1.289601</v>
          </cell>
          <cell r="AL338" t="str">
            <v>1</v>
          </cell>
          <cell r="AM338" t="str">
            <v>F</v>
          </cell>
          <cell r="AN338" t="str">
            <v>M0</v>
          </cell>
          <cell r="AO338" t="str">
            <v>Active(Model)</v>
          </cell>
          <cell r="AP338" t="str">
            <v/>
          </cell>
          <cell r="AQ338" t="str">
            <v/>
          </cell>
          <cell r="AR338" t="str">
            <v>Y</v>
          </cell>
          <cell r="AS338" t="str">
            <v/>
          </cell>
          <cell r="AT338" t="str">
            <v>RF</v>
          </cell>
          <cell r="AU338" t="str">
            <v>Refrigerator</v>
          </cell>
          <cell r="AV338" t="str">
            <v>RFBF</v>
          </cell>
          <cell r="AW338" t="str">
            <v>Bottom Freezer</v>
          </cell>
          <cell r="AX338" t="str">
            <v>RFBFFD</v>
          </cell>
          <cell r="AY338" t="str">
            <v>French Door Drawer</v>
          </cell>
          <cell r="AZ338" t="str">
            <v>RFBFFD3D</v>
          </cell>
          <cell r="BA338" t="str">
            <v>3D F/D Drawer</v>
          </cell>
        </row>
        <row r="339">
          <cell r="E339" t="str">
            <v>LF20G6331S.ASTCNA1</v>
          </cell>
          <cell r="F339">
            <v>544</v>
          </cell>
          <cell r="G339">
            <v>0</v>
          </cell>
          <cell r="H339">
            <v>14</v>
          </cell>
          <cell r="I339">
            <v>558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353</v>
          </cell>
          <cell r="O339">
            <v>57</v>
          </cell>
          <cell r="P339">
            <v>353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 t="str">
            <v/>
          </cell>
          <cell r="AH339" t="str">
            <v/>
          </cell>
          <cell r="AI339" t="str">
            <v/>
          </cell>
          <cell r="AJ339" t="str">
            <v/>
          </cell>
          <cell r="AK339" t="str">
            <v>1.289601</v>
          </cell>
          <cell r="AL339" t="str">
            <v>1</v>
          </cell>
          <cell r="AM339" t="str">
            <v>F</v>
          </cell>
          <cell r="AN339" t="str">
            <v>M0</v>
          </cell>
          <cell r="AO339" t="str">
            <v>Active(Model)</v>
          </cell>
          <cell r="AP339" t="str">
            <v/>
          </cell>
          <cell r="AQ339" t="str">
            <v/>
          </cell>
          <cell r="AR339" t="str">
            <v>Y</v>
          </cell>
          <cell r="AS339" t="str">
            <v/>
          </cell>
          <cell r="AT339" t="str">
            <v>RF</v>
          </cell>
          <cell r="AU339" t="str">
            <v>Refrigerator</v>
          </cell>
          <cell r="AV339" t="str">
            <v>RFBF</v>
          </cell>
          <cell r="AW339" t="str">
            <v>Bottom Freezer</v>
          </cell>
          <cell r="AX339" t="str">
            <v>RFBFFD</v>
          </cell>
          <cell r="AY339" t="str">
            <v>French Door Drawer</v>
          </cell>
          <cell r="AZ339" t="str">
            <v>RFBFFD3D</v>
          </cell>
          <cell r="BA339" t="str">
            <v>3D F/D Drawer</v>
          </cell>
        </row>
        <row r="340">
          <cell r="E340" t="str">
            <v>LF21C6000V.APYCNA1</v>
          </cell>
          <cell r="F340">
            <v>9</v>
          </cell>
          <cell r="G340">
            <v>0</v>
          </cell>
          <cell r="H340">
            <v>1</v>
          </cell>
          <cell r="I340">
            <v>10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 t="str">
            <v/>
          </cell>
          <cell r="AH340" t="str">
            <v/>
          </cell>
          <cell r="AI340" t="str">
            <v/>
          </cell>
          <cell r="AJ340" t="str">
            <v/>
          </cell>
          <cell r="AK340" t="str">
            <v>1.289601</v>
          </cell>
          <cell r="AL340" t="str">
            <v>1</v>
          </cell>
          <cell r="AM340" t="str">
            <v>F</v>
          </cell>
          <cell r="AN340" t="str">
            <v>M0</v>
          </cell>
          <cell r="AO340" t="str">
            <v>Active(Model)</v>
          </cell>
          <cell r="AP340" t="str">
            <v/>
          </cell>
          <cell r="AQ340" t="str">
            <v/>
          </cell>
          <cell r="AR340" t="str">
            <v>Y</v>
          </cell>
          <cell r="AS340" t="str">
            <v/>
          </cell>
          <cell r="AT340" t="str">
            <v>RF</v>
          </cell>
          <cell r="AU340" t="str">
            <v>Refrigerator</v>
          </cell>
          <cell r="AV340" t="str">
            <v>RFBF</v>
          </cell>
          <cell r="AW340" t="str">
            <v>Bottom Freezer</v>
          </cell>
          <cell r="AX340" t="str">
            <v>RFBFFD</v>
          </cell>
          <cell r="AY340" t="str">
            <v>French Door Drawer</v>
          </cell>
          <cell r="AZ340" t="str">
            <v>RFBFFD3D</v>
          </cell>
          <cell r="BA340" t="str">
            <v>3D F/D Drawer</v>
          </cell>
        </row>
        <row r="341">
          <cell r="E341" t="str">
            <v>LF21C6200S.ASTCNA1</v>
          </cell>
          <cell r="F341">
            <v>256</v>
          </cell>
          <cell r="G341">
            <v>0</v>
          </cell>
          <cell r="H341">
            <v>0</v>
          </cell>
          <cell r="I341">
            <v>256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247</v>
          </cell>
          <cell r="O341">
            <v>59</v>
          </cell>
          <cell r="P341">
            <v>247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 t="str">
            <v/>
          </cell>
          <cell r="AH341" t="str">
            <v/>
          </cell>
          <cell r="AI341" t="str">
            <v/>
          </cell>
          <cell r="AJ341" t="str">
            <v/>
          </cell>
          <cell r="AK341" t="str">
            <v>1.289601</v>
          </cell>
          <cell r="AL341" t="str">
            <v>1</v>
          </cell>
          <cell r="AM341" t="str">
            <v>F</v>
          </cell>
          <cell r="AN341" t="str">
            <v>M0</v>
          </cell>
          <cell r="AO341" t="str">
            <v>Active(Model)</v>
          </cell>
          <cell r="AP341" t="str">
            <v/>
          </cell>
          <cell r="AQ341" t="str">
            <v/>
          </cell>
          <cell r="AR341" t="str">
            <v>Y</v>
          </cell>
          <cell r="AS341" t="str">
            <v/>
          </cell>
          <cell r="AT341" t="str">
            <v>RF</v>
          </cell>
          <cell r="AU341" t="str">
            <v>Refrigerator</v>
          </cell>
          <cell r="AV341" t="str">
            <v>RFBF</v>
          </cell>
          <cell r="AW341" t="str">
            <v>Bottom Freezer</v>
          </cell>
          <cell r="AX341" t="str">
            <v>RFBFFD</v>
          </cell>
          <cell r="AY341" t="str">
            <v>French Door Drawer</v>
          </cell>
          <cell r="AZ341" t="str">
            <v>RFBFFD3D</v>
          </cell>
          <cell r="BA341" t="str">
            <v>3D F/D Drawer</v>
          </cell>
        </row>
        <row r="342">
          <cell r="E342" t="str">
            <v>LF21G6200S.ASTCNA1</v>
          </cell>
          <cell r="F342">
            <v>171</v>
          </cell>
          <cell r="G342">
            <v>0</v>
          </cell>
          <cell r="H342">
            <v>0</v>
          </cell>
          <cell r="I342">
            <v>171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 t="str">
            <v/>
          </cell>
          <cell r="AH342" t="str">
            <v/>
          </cell>
          <cell r="AI342" t="str">
            <v/>
          </cell>
          <cell r="AJ342" t="str">
            <v/>
          </cell>
          <cell r="AK342" t="str">
            <v>1.289601</v>
          </cell>
          <cell r="AL342" t="str">
            <v>1</v>
          </cell>
          <cell r="AM342" t="str">
            <v>F</v>
          </cell>
          <cell r="AN342" t="str">
            <v>M0</v>
          </cell>
          <cell r="AO342" t="str">
            <v>Active(Model)</v>
          </cell>
          <cell r="AP342" t="str">
            <v/>
          </cell>
          <cell r="AQ342" t="str">
            <v/>
          </cell>
          <cell r="AR342" t="str">
            <v>Y</v>
          </cell>
          <cell r="AS342" t="str">
            <v/>
          </cell>
          <cell r="AT342" t="str">
            <v>RF</v>
          </cell>
          <cell r="AU342" t="str">
            <v>Refrigerator</v>
          </cell>
          <cell r="AV342" t="str">
            <v>RFBF</v>
          </cell>
          <cell r="AW342" t="str">
            <v>Bottom Freezer</v>
          </cell>
          <cell r="AX342" t="str">
            <v>RFBFFD</v>
          </cell>
          <cell r="AY342" t="str">
            <v>French Door Drawer</v>
          </cell>
          <cell r="AZ342" t="str">
            <v>RFBFFD3D</v>
          </cell>
          <cell r="BA342" t="str">
            <v>3D F/D Drawer</v>
          </cell>
        </row>
        <row r="343">
          <cell r="E343" t="str">
            <v>LF21G6201S.ASTCNA1</v>
          </cell>
          <cell r="F343">
            <v>1096</v>
          </cell>
          <cell r="G343">
            <v>0</v>
          </cell>
          <cell r="H343">
            <v>0</v>
          </cell>
          <cell r="I343">
            <v>1111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595</v>
          </cell>
          <cell r="O343">
            <v>151</v>
          </cell>
          <cell r="P343">
            <v>595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 t="str">
            <v/>
          </cell>
          <cell r="AH343" t="str">
            <v/>
          </cell>
          <cell r="AI343" t="str">
            <v/>
          </cell>
          <cell r="AJ343" t="str">
            <v/>
          </cell>
          <cell r="AK343" t="str">
            <v>1.289601</v>
          </cell>
          <cell r="AL343" t="str">
            <v>1</v>
          </cell>
          <cell r="AM343" t="str">
            <v>F</v>
          </cell>
          <cell r="AN343" t="str">
            <v>M0</v>
          </cell>
          <cell r="AO343" t="str">
            <v>Active(Model)</v>
          </cell>
          <cell r="AP343" t="str">
            <v/>
          </cell>
          <cell r="AQ343" t="str">
            <v/>
          </cell>
          <cell r="AR343" t="str">
            <v>Y</v>
          </cell>
          <cell r="AS343" t="str">
            <v/>
          </cell>
          <cell r="AT343" t="str">
            <v>RF</v>
          </cell>
          <cell r="AU343" t="str">
            <v>Refrigerator</v>
          </cell>
          <cell r="AV343" t="str">
            <v>RFBF</v>
          </cell>
          <cell r="AW343" t="str">
            <v>Bottom Freezer</v>
          </cell>
          <cell r="AX343" t="str">
            <v>RFBFFD</v>
          </cell>
          <cell r="AY343" t="str">
            <v>French Door Drawer</v>
          </cell>
          <cell r="AZ343" t="str">
            <v>RFBFFD3D</v>
          </cell>
          <cell r="BA343" t="str">
            <v>3D F/D Drawer</v>
          </cell>
        </row>
        <row r="344">
          <cell r="E344" t="str">
            <v>LF25H6200S.ASTCNA1</v>
          </cell>
          <cell r="F344">
            <v>1114</v>
          </cell>
          <cell r="G344">
            <v>0</v>
          </cell>
          <cell r="H344">
            <v>1</v>
          </cell>
          <cell r="I344">
            <v>1151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578</v>
          </cell>
          <cell r="O344">
            <v>506</v>
          </cell>
          <cell r="P344">
            <v>578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 t="str">
            <v/>
          </cell>
          <cell r="AH344" t="str">
            <v/>
          </cell>
          <cell r="AI344" t="str">
            <v/>
          </cell>
          <cell r="AJ344" t="str">
            <v/>
          </cell>
          <cell r="AK344" t="str">
            <v>1.543638</v>
          </cell>
          <cell r="AL344" t="str">
            <v>1</v>
          </cell>
          <cell r="AM344" t="str">
            <v>F</v>
          </cell>
          <cell r="AN344" t="str">
            <v>M0</v>
          </cell>
          <cell r="AO344" t="str">
            <v>Active(Model)</v>
          </cell>
          <cell r="AP344" t="str">
            <v/>
          </cell>
          <cell r="AQ344" t="str">
            <v/>
          </cell>
          <cell r="AR344" t="str">
            <v>Y</v>
          </cell>
          <cell r="AS344" t="str">
            <v/>
          </cell>
          <cell r="AT344" t="str">
            <v>RF</v>
          </cell>
          <cell r="AU344" t="str">
            <v>Refrigerator</v>
          </cell>
          <cell r="AV344" t="str">
            <v>RFBF</v>
          </cell>
          <cell r="AW344" t="str">
            <v>Bottom Freezer</v>
          </cell>
          <cell r="AX344" t="str">
            <v>RFBFFD</v>
          </cell>
          <cell r="AY344" t="str">
            <v>French Door Drawer</v>
          </cell>
          <cell r="AZ344" t="str">
            <v>RFBFFD3D</v>
          </cell>
          <cell r="BA344" t="str">
            <v>3D F/D Drawer</v>
          </cell>
        </row>
        <row r="345">
          <cell r="E345" t="str">
            <v>LF25H6330D.ASBCNA1</v>
          </cell>
          <cell r="F345">
            <v>22</v>
          </cell>
          <cell r="G345">
            <v>0</v>
          </cell>
          <cell r="H345">
            <v>0</v>
          </cell>
          <cell r="I345">
            <v>22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18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 t="str">
            <v/>
          </cell>
          <cell r="AH345" t="str">
            <v/>
          </cell>
          <cell r="AI345" t="str">
            <v/>
          </cell>
          <cell r="AJ345" t="str">
            <v/>
          </cell>
          <cell r="AK345" t="str">
            <v>1.543638</v>
          </cell>
          <cell r="AL345" t="str">
            <v>1</v>
          </cell>
          <cell r="AM345" t="str">
            <v>F</v>
          </cell>
          <cell r="AN345" t="str">
            <v>M0</v>
          </cell>
          <cell r="AO345" t="str">
            <v>Active(Model)</v>
          </cell>
          <cell r="AP345" t="str">
            <v/>
          </cell>
          <cell r="AQ345" t="str">
            <v/>
          </cell>
          <cell r="AR345" t="str">
            <v>Y</v>
          </cell>
          <cell r="AS345" t="str">
            <v/>
          </cell>
          <cell r="AT345" t="str">
            <v>RF</v>
          </cell>
          <cell r="AU345" t="str">
            <v>Refrigerator</v>
          </cell>
          <cell r="AV345" t="str">
            <v>RFBF</v>
          </cell>
          <cell r="AW345" t="str">
            <v>Bottom Freezer</v>
          </cell>
          <cell r="AX345" t="str">
            <v>RFBFFD</v>
          </cell>
          <cell r="AY345" t="str">
            <v>French Door Drawer</v>
          </cell>
          <cell r="AZ345" t="str">
            <v>RFBFFD3D</v>
          </cell>
          <cell r="BA345" t="str">
            <v>3D F/D Drawer</v>
          </cell>
        </row>
        <row r="346">
          <cell r="E346" t="str">
            <v>LF25H6330S.ASTCNA1</v>
          </cell>
          <cell r="F346">
            <v>34</v>
          </cell>
          <cell r="G346">
            <v>0</v>
          </cell>
          <cell r="H346">
            <v>0</v>
          </cell>
          <cell r="I346">
            <v>62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587</v>
          </cell>
          <cell r="O346">
            <v>462</v>
          </cell>
          <cell r="P346">
            <v>587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 t="str">
            <v/>
          </cell>
          <cell r="AH346" t="str">
            <v/>
          </cell>
          <cell r="AI346" t="str">
            <v/>
          </cell>
          <cell r="AJ346" t="str">
            <v/>
          </cell>
          <cell r="AK346" t="str">
            <v>1.543638</v>
          </cell>
          <cell r="AL346" t="str">
            <v>1</v>
          </cell>
          <cell r="AM346" t="str">
            <v>F</v>
          </cell>
          <cell r="AN346" t="str">
            <v>M0</v>
          </cell>
          <cell r="AO346" t="str">
            <v>Active(Model)</v>
          </cell>
          <cell r="AP346" t="str">
            <v/>
          </cell>
          <cell r="AQ346" t="str">
            <v/>
          </cell>
          <cell r="AR346" t="str">
            <v>Y</v>
          </cell>
          <cell r="AS346" t="str">
            <v/>
          </cell>
          <cell r="AT346" t="str">
            <v>RF</v>
          </cell>
          <cell r="AU346" t="str">
            <v>Refrigerator</v>
          </cell>
          <cell r="AV346" t="str">
            <v>RFBF</v>
          </cell>
          <cell r="AW346" t="str">
            <v>Bottom Freezer</v>
          </cell>
          <cell r="AX346" t="str">
            <v>RFBFFD</v>
          </cell>
          <cell r="AY346" t="str">
            <v>French Door Drawer</v>
          </cell>
          <cell r="AZ346" t="str">
            <v>RFBFFD3D</v>
          </cell>
          <cell r="BA346" t="str">
            <v>3D F/D Drawer</v>
          </cell>
        </row>
        <row r="347">
          <cell r="E347" t="str">
            <v>LF25S6000S.ASTCNA1</v>
          </cell>
          <cell r="F347">
            <v>170</v>
          </cell>
          <cell r="G347">
            <v>0</v>
          </cell>
          <cell r="H347">
            <v>0</v>
          </cell>
          <cell r="I347">
            <v>170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 t="str">
            <v/>
          </cell>
          <cell r="AH347" t="str">
            <v/>
          </cell>
          <cell r="AI347" t="str">
            <v/>
          </cell>
          <cell r="AJ347" t="str">
            <v/>
          </cell>
          <cell r="AK347" t="str">
            <v>1.515266</v>
          </cell>
          <cell r="AL347" t="str">
            <v>1</v>
          </cell>
          <cell r="AM347" t="str">
            <v>F</v>
          </cell>
          <cell r="AN347" t="str">
            <v>M0</v>
          </cell>
          <cell r="AO347" t="str">
            <v>Active(Model)</v>
          </cell>
          <cell r="AP347" t="str">
            <v/>
          </cell>
          <cell r="AQ347" t="str">
            <v/>
          </cell>
          <cell r="AR347" t="str">
            <v>Y</v>
          </cell>
          <cell r="AS347" t="str">
            <v/>
          </cell>
          <cell r="AT347" t="str">
            <v>RF</v>
          </cell>
          <cell r="AU347" t="str">
            <v>Refrigerator</v>
          </cell>
          <cell r="AV347" t="str">
            <v>RFBF</v>
          </cell>
          <cell r="AW347" t="str">
            <v>Bottom Freezer</v>
          </cell>
          <cell r="AX347" t="str">
            <v>RFBFFD</v>
          </cell>
          <cell r="AY347" t="str">
            <v>French Door Drawer</v>
          </cell>
          <cell r="AZ347" t="str">
            <v>RFBFFD3D</v>
          </cell>
          <cell r="BA347" t="str">
            <v>3D F/D Drawer</v>
          </cell>
        </row>
        <row r="348">
          <cell r="E348" t="str">
            <v>LF25S6200D.ASBCNA1</v>
          </cell>
          <cell r="F348">
            <v>9</v>
          </cell>
          <cell r="G348">
            <v>0</v>
          </cell>
          <cell r="H348">
            <v>0</v>
          </cell>
          <cell r="I348">
            <v>9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26</v>
          </cell>
          <cell r="O348">
            <v>0</v>
          </cell>
          <cell r="P348">
            <v>26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 t="str">
            <v/>
          </cell>
          <cell r="AH348" t="str">
            <v/>
          </cell>
          <cell r="AI348" t="str">
            <v/>
          </cell>
          <cell r="AJ348" t="str">
            <v/>
          </cell>
          <cell r="AK348" t="str">
            <v>1.543638</v>
          </cell>
          <cell r="AL348" t="str">
            <v>1</v>
          </cell>
          <cell r="AM348" t="str">
            <v>F</v>
          </cell>
          <cell r="AN348" t="str">
            <v>M0</v>
          </cell>
          <cell r="AO348" t="str">
            <v>Active(Model)</v>
          </cell>
          <cell r="AP348" t="str">
            <v/>
          </cell>
          <cell r="AQ348" t="str">
            <v/>
          </cell>
          <cell r="AR348" t="str">
            <v>Y</v>
          </cell>
          <cell r="AS348" t="str">
            <v/>
          </cell>
          <cell r="AT348" t="str">
            <v>RF</v>
          </cell>
          <cell r="AU348" t="str">
            <v>Refrigerator</v>
          </cell>
          <cell r="AV348" t="str">
            <v>RFBF</v>
          </cell>
          <cell r="AW348" t="str">
            <v>Bottom Freezer</v>
          </cell>
          <cell r="AX348" t="str">
            <v>RFBFFD</v>
          </cell>
          <cell r="AY348" t="str">
            <v>French Door Drawer</v>
          </cell>
          <cell r="AZ348" t="str">
            <v>RFBFFD3D</v>
          </cell>
          <cell r="BA348" t="str">
            <v>3D F/D Drawer</v>
          </cell>
        </row>
        <row r="349">
          <cell r="E349" t="str">
            <v>LF25S6200S.ASTCNA1</v>
          </cell>
          <cell r="F349">
            <v>26</v>
          </cell>
          <cell r="G349">
            <v>0</v>
          </cell>
          <cell r="H349">
            <v>0</v>
          </cell>
          <cell r="I349">
            <v>35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51</v>
          </cell>
          <cell r="O349">
            <v>234</v>
          </cell>
          <cell r="P349">
            <v>51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 t="str">
            <v/>
          </cell>
          <cell r="AH349" t="str">
            <v/>
          </cell>
          <cell r="AI349" t="str">
            <v/>
          </cell>
          <cell r="AJ349" t="str">
            <v/>
          </cell>
          <cell r="AK349" t="str">
            <v>1.543638</v>
          </cell>
          <cell r="AL349" t="str">
            <v>1</v>
          </cell>
          <cell r="AM349" t="str">
            <v>F</v>
          </cell>
          <cell r="AN349" t="str">
            <v>M0</v>
          </cell>
          <cell r="AO349" t="str">
            <v>Active(Model)</v>
          </cell>
          <cell r="AP349" t="str">
            <v/>
          </cell>
          <cell r="AQ349" t="str">
            <v/>
          </cell>
          <cell r="AR349" t="str">
            <v>Y</v>
          </cell>
          <cell r="AS349" t="str">
            <v/>
          </cell>
          <cell r="AT349" t="str">
            <v>RF</v>
          </cell>
          <cell r="AU349" t="str">
            <v>Refrigerator</v>
          </cell>
          <cell r="AV349" t="str">
            <v>RFBF</v>
          </cell>
          <cell r="AW349" t="str">
            <v>Bottom Freezer</v>
          </cell>
          <cell r="AX349" t="str">
            <v>RFBFFD</v>
          </cell>
          <cell r="AY349" t="str">
            <v>French Door Drawer</v>
          </cell>
          <cell r="AZ349" t="str">
            <v>RFBFFD3D</v>
          </cell>
          <cell r="BA349" t="str">
            <v>3D F/D Drawer</v>
          </cell>
        </row>
        <row r="350">
          <cell r="E350" t="str">
            <v>LF25S6206S.ASTCNA0</v>
          </cell>
          <cell r="F350">
            <v>52</v>
          </cell>
          <cell r="G350">
            <v>0</v>
          </cell>
          <cell r="H350">
            <v>1</v>
          </cell>
          <cell r="I350">
            <v>53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 t="str">
            <v/>
          </cell>
          <cell r="AH350" t="str">
            <v/>
          </cell>
          <cell r="AI350" t="str">
            <v/>
          </cell>
          <cell r="AJ350" t="str">
            <v/>
          </cell>
          <cell r="AK350" t="str">
            <v>1.543638</v>
          </cell>
          <cell r="AL350" t="str">
            <v>1</v>
          </cell>
          <cell r="AM350" t="str">
            <v>F</v>
          </cell>
          <cell r="AN350" t="str">
            <v>M0</v>
          </cell>
          <cell r="AO350" t="str">
            <v>Active(Model)</v>
          </cell>
          <cell r="AP350" t="str">
            <v/>
          </cell>
          <cell r="AQ350" t="str">
            <v/>
          </cell>
          <cell r="AR350" t="str">
            <v>Y</v>
          </cell>
          <cell r="AS350" t="str">
            <v/>
          </cell>
          <cell r="AT350" t="str">
            <v>RF</v>
          </cell>
          <cell r="AU350" t="str">
            <v>Refrigerator</v>
          </cell>
          <cell r="AV350" t="str">
            <v>RFBF</v>
          </cell>
          <cell r="AW350" t="str">
            <v>Bottom Freezer</v>
          </cell>
          <cell r="AX350" t="str">
            <v>RFBFFD</v>
          </cell>
          <cell r="AY350" t="str">
            <v>French Door Drawer</v>
          </cell>
          <cell r="AZ350" t="str">
            <v>RFBFFD3D</v>
          </cell>
          <cell r="BA350" t="str">
            <v>3D F/D Drawer</v>
          </cell>
        </row>
        <row r="351">
          <cell r="E351" t="str">
            <v>LF25S6330D.ASBCNA1</v>
          </cell>
          <cell r="F351">
            <v>26</v>
          </cell>
          <cell r="G351">
            <v>0</v>
          </cell>
          <cell r="H351">
            <v>0</v>
          </cell>
          <cell r="I351">
            <v>26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 t="str">
            <v/>
          </cell>
          <cell r="AH351" t="str">
            <v/>
          </cell>
          <cell r="AI351" t="str">
            <v/>
          </cell>
          <cell r="AJ351" t="str">
            <v/>
          </cell>
          <cell r="AK351" t="str">
            <v>1.543638</v>
          </cell>
          <cell r="AL351" t="str">
            <v>1</v>
          </cell>
          <cell r="AM351" t="str">
            <v>F</v>
          </cell>
          <cell r="AN351" t="str">
            <v>M0</v>
          </cell>
          <cell r="AO351" t="str">
            <v>Active(Model)</v>
          </cell>
          <cell r="AP351" t="str">
            <v/>
          </cell>
          <cell r="AQ351" t="str">
            <v/>
          </cell>
          <cell r="AR351" t="str">
            <v>Y</v>
          </cell>
          <cell r="AS351" t="str">
            <v/>
          </cell>
          <cell r="AT351" t="str">
            <v>RF</v>
          </cell>
          <cell r="AU351" t="str">
            <v>Refrigerator</v>
          </cell>
          <cell r="AV351" t="str">
            <v>RFBF</v>
          </cell>
          <cell r="AW351" t="str">
            <v>Bottom Freezer</v>
          </cell>
          <cell r="AX351" t="str">
            <v>RFBFFD</v>
          </cell>
          <cell r="AY351" t="str">
            <v>French Door Drawer</v>
          </cell>
          <cell r="AZ351" t="str">
            <v>RFBFFD3D</v>
          </cell>
          <cell r="BA351" t="str">
            <v>3D F/D Drawer</v>
          </cell>
        </row>
        <row r="352">
          <cell r="E352" t="str">
            <v>LF25S6330S.ASTCNA1</v>
          </cell>
          <cell r="F352">
            <v>108</v>
          </cell>
          <cell r="G352">
            <v>0</v>
          </cell>
          <cell r="H352">
            <v>0</v>
          </cell>
          <cell r="I352">
            <v>108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204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str">
            <v/>
          </cell>
          <cell r="AH352" t="str">
            <v/>
          </cell>
          <cell r="AI352" t="str">
            <v/>
          </cell>
          <cell r="AJ352" t="str">
            <v/>
          </cell>
          <cell r="AK352" t="str">
            <v>1.543638</v>
          </cell>
          <cell r="AL352" t="str">
            <v>1</v>
          </cell>
          <cell r="AM352" t="str">
            <v>F</v>
          </cell>
          <cell r="AN352" t="str">
            <v>M0</v>
          </cell>
          <cell r="AO352" t="str">
            <v>Active(Model)</v>
          </cell>
          <cell r="AP352" t="str">
            <v/>
          </cell>
          <cell r="AQ352" t="str">
            <v/>
          </cell>
          <cell r="AR352" t="str">
            <v>Y</v>
          </cell>
          <cell r="AS352" t="str">
            <v/>
          </cell>
          <cell r="AT352" t="str">
            <v>RF</v>
          </cell>
          <cell r="AU352" t="str">
            <v>Refrigerator</v>
          </cell>
          <cell r="AV352" t="str">
            <v>RFBF</v>
          </cell>
          <cell r="AW352" t="str">
            <v>Bottom Freezer</v>
          </cell>
          <cell r="AX352" t="str">
            <v>RFBFFD</v>
          </cell>
          <cell r="AY352" t="str">
            <v>French Door Drawer</v>
          </cell>
          <cell r="AZ352" t="str">
            <v>RFBFFD3D</v>
          </cell>
          <cell r="BA352" t="str">
            <v>3D F/D Drawer</v>
          </cell>
        </row>
        <row r="353">
          <cell r="E353" t="str">
            <v>LF25S6560S.ASTCNA0</v>
          </cell>
          <cell r="F353">
            <v>3</v>
          </cell>
          <cell r="G353">
            <v>0</v>
          </cell>
          <cell r="H353">
            <v>0</v>
          </cell>
          <cell r="I353">
            <v>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136</v>
          </cell>
          <cell r="O353">
            <v>28</v>
          </cell>
          <cell r="P353">
            <v>136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 t="str">
            <v/>
          </cell>
          <cell r="AH353" t="str">
            <v/>
          </cell>
          <cell r="AI353" t="str">
            <v/>
          </cell>
          <cell r="AJ353" t="str">
            <v/>
          </cell>
          <cell r="AK353" t="str">
            <v>1.543638</v>
          </cell>
          <cell r="AL353" t="str">
            <v>1</v>
          </cell>
          <cell r="AM353" t="str">
            <v>F</v>
          </cell>
          <cell r="AN353" t="str">
            <v>M0</v>
          </cell>
          <cell r="AO353" t="str">
            <v>Active(Model)</v>
          </cell>
          <cell r="AP353" t="str">
            <v/>
          </cell>
          <cell r="AQ353" t="str">
            <v/>
          </cell>
          <cell r="AR353" t="str">
            <v>Y</v>
          </cell>
          <cell r="AS353" t="str">
            <v/>
          </cell>
          <cell r="AT353" t="str">
            <v>RF</v>
          </cell>
          <cell r="AU353" t="str">
            <v>Refrigerator</v>
          </cell>
          <cell r="AV353" t="str">
            <v>RFBF</v>
          </cell>
          <cell r="AW353" t="str">
            <v>Bottom Freezer</v>
          </cell>
          <cell r="AX353" t="str">
            <v>RFBFFD</v>
          </cell>
          <cell r="AY353" t="str">
            <v>French Door Drawer</v>
          </cell>
          <cell r="AZ353" t="str">
            <v>RFBFFD3D</v>
          </cell>
          <cell r="BA353" t="str">
            <v>3D F/D Drawer</v>
          </cell>
        </row>
        <row r="354">
          <cell r="E354" t="str">
            <v>LF29H8330D.ASBCNA2</v>
          </cell>
          <cell r="F354">
            <v>9</v>
          </cell>
          <cell r="G354">
            <v>0</v>
          </cell>
          <cell r="H354">
            <v>0</v>
          </cell>
          <cell r="I354">
            <v>9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160</v>
          </cell>
          <cell r="O354">
            <v>32</v>
          </cell>
          <cell r="P354">
            <v>160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 t="str">
            <v/>
          </cell>
          <cell r="AH354" t="str">
            <v/>
          </cell>
          <cell r="AI354" t="str">
            <v/>
          </cell>
          <cell r="AJ354" t="str">
            <v/>
          </cell>
          <cell r="AK354" t="str">
            <v>1.632420</v>
          </cell>
          <cell r="AL354" t="str">
            <v>1</v>
          </cell>
          <cell r="AM354" t="str">
            <v>F</v>
          </cell>
          <cell r="AN354" t="str">
            <v>M0</v>
          </cell>
          <cell r="AO354" t="str">
            <v>Active(Model)</v>
          </cell>
          <cell r="AP354" t="str">
            <v/>
          </cell>
          <cell r="AQ354" t="str">
            <v/>
          </cell>
          <cell r="AR354" t="str">
            <v>Y</v>
          </cell>
          <cell r="AS354" t="str">
            <v/>
          </cell>
          <cell r="AT354" t="str">
            <v>RF</v>
          </cell>
          <cell r="AU354" t="str">
            <v>Refrigerator</v>
          </cell>
          <cell r="AV354" t="str">
            <v>RFBF</v>
          </cell>
          <cell r="AW354" t="str">
            <v>Bottom Freezer</v>
          </cell>
          <cell r="AX354" t="str">
            <v>RFBFFD</v>
          </cell>
          <cell r="AY354" t="str">
            <v>French Door Drawer</v>
          </cell>
          <cell r="AZ354" t="str">
            <v>RFBFFD4D</v>
          </cell>
          <cell r="BA354" t="str">
            <v>4D F/D Drawer</v>
          </cell>
        </row>
        <row r="355">
          <cell r="E355" t="str">
            <v>LF29H8330S.ASTCNA2</v>
          </cell>
          <cell r="F355">
            <v>442</v>
          </cell>
          <cell r="G355">
            <v>0</v>
          </cell>
          <cell r="H355">
            <v>30</v>
          </cell>
          <cell r="I355">
            <v>474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2085</v>
          </cell>
          <cell r="O355">
            <v>432</v>
          </cell>
          <cell r="P355">
            <v>2085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 t="str">
            <v/>
          </cell>
          <cell r="AH355" t="str">
            <v/>
          </cell>
          <cell r="AI355" t="str">
            <v/>
          </cell>
          <cell r="AJ355" t="str">
            <v/>
          </cell>
          <cell r="AK355" t="str">
            <v>1.632420</v>
          </cell>
          <cell r="AL355" t="str">
            <v>1</v>
          </cell>
          <cell r="AM355" t="str">
            <v>F</v>
          </cell>
          <cell r="AN355" t="str">
            <v>M0</v>
          </cell>
          <cell r="AO355" t="str">
            <v>Active(Model)</v>
          </cell>
          <cell r="AP355" t="str">
            <v/>
          </cell>
          <cell r="AQ355" t="str">
            <v/>
          </cell>
          <cell r="AR355" t="str">
            <v>Y</v>
          </cell>
          <cell r="AS355" t="str">
            <v/>
          </cell>
          <cell r="AT355" t="str">
            <v>RF</v>
          </cell>
          <cell r="AU355" t="str">
            <v>Refrigerator</v>
          </cell>
          <cell r="AV355" t="str">
            <v>RFBF</v>
          </cell>
          <cell r="AW355" t="str">
            <v>Bottom Freezer</v>
          </cell>
          <cell r="AX355" t="str">
            <v>RFBFFD</v>
          </cell>
          <cell r="AY355" t="str">
            <v>French Door Drawer</v>
          </cell>
          <cell r="AZ355" t="str">
            <v>RFBFFD4D</v>
          </cell>
          <cell r="BA355" t="str">
            <v>4D F/D Drawer</v>
          </cell>
        </row>
        <row r="356">
          <cell r="E356" t="str">
            <v>LF29N8330S.ASTCNA2</v>
          </cell>
          <cell r="F356">
            <v>308</v>
          </cell>
          <cell r="G356">
            <v>0</v>
          </cell>
          <cell r="H356">
            <v>0</v>
          </cell>
          <cell r="I356">
            <v>308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154</v>
          </cell>
          <cell r="O356">
            <v>0</v>
          </cell>
          <cell r="P356">
            <v>154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str">
            <v/>
          </cell>
          <cell r="AH356" t="str">
            <v/>
          </cell>
          <cell r="AI356" t="str">
            <v/>
          </cell>
          <cell r="AJ356" t="str">
            <v/>
          </cell>
          <cell r="AK356" t="str">
            <v>1.632420</v>
          </cell>
          <cell r="AL356" t="str">
            <v>1</v>
          </cell>
          <cell r="AM356" t="str">
            <v>F</v>
          </cell>
          <cell r="AN356" t="str">
            <v>M0</v>
          </cell>
          <cell r="AO356" t="str">
            <v>Active(Model)</v>
          </cell>
          <cell r="AP356" t="str">
            <v/>
          </cell>
          <cell r="AQ356" t="str">
            <v/>
          </cell>
          <cell r="AR356" t="str">
            <v>Y</v>
          </cell>
          <cell r="AS356" t="str">
            <v/>
          </cell>
          <cell r="AT356" t="str">
            <v>RF</v>
          </cell>
          <cell r="AU356" t="str">
            <v>Refrigerator</v>
          </cell>
          <cell r="AV356" t="str">
            <v>RFBF</v>
          </cell>
          <cell r="AW356" t="str">
            <v>Bottom Freezer</v>
          </cell>
          <cell r="AX356" t="str">
            <v>RFBFFD</v>
          </cell>
          <cell r="AY356" t="str">
            <v>French Door Drawer</v>
          </cell>
          <cell r="AZ356" t="str">
            <v>RFBFFD4D</v>
          </cell>
          <cell r="BA356" t="str">
            <v>4D F/D Drawer</v>
          </cell>
        </row>
        <row r="357">
          <cell r="E357" t="str">
            <v>LF29S8330S.ASTCNA2</v>
          </cell>
          <cell r="F357">
            <v>7</v>
          </cell>
          <cell r="G357">
            <v>0</v>
          </cell>
          <cell r="H357">
            <v>0</v>
          </cell>
          <cell r="I357">
            <v>7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24</v>
          </cell>
          <cell r="O357">
            <v>70</v>
          </cell>
          <cell r="P357">
            <v>24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 t="str">
            <v/>
          </cell>
          <cell r="AH357" t="str">
            <v/>
          </cell>
          <cell r="AI357" t="str">
            <v/>
          </cell>
          <cell r="AJ357" t="str">
            <v/>
          </cell>
          <cell r="AK357" t="str">
            <v>1.632420</v>
          </cell>
          <cell r="AL357" t="str">
            <v>1</v>
          </cell>
          <cell r="AM357" t="str">
            <v>F</v>
          </cell>
          <cell r="AN357" t="str">
            <v>M0</v>
          </cell>
          <cell r="AO357" t="str">
            <v>Active(Model)</v>
          </cell>
          <cell r="AP357" t="str">
            <v/>
          </cell>
          <cell r="AQ357" t="str">
            <v/>
          </cell>
          <cell r="AR357" t="str">
            <v>Y</v>
          </cell>
          <cell r="AS357" t="str">
            <v/>
          </cell>
          <cell r="AT357" t="str">
            <v>RF</v>
          </cell>
          <cell r="AU357" t="str">
            <v>Refrigerator</v>
          </cell>
          <cell r="AV357" t="str">
            <v>RFBF</v>
          </cell>
          <cell r="AW357" t="str">
            <v>Bottom Freezer</v>
          </cell>
          <cell r="AX357" t="str">
            <v>RFBFFD</v>
          </cell>
          <cell r="AY357" t="str">
            <v>French Door Drawer</v>
          </cell>
          <cell r="AZ357" t="str">
            <v>RFBFFD4D</v>
          </cell>
          <cell r="BA357" t="str">
            <v>4D F/D Drawer</v>
          </cell>
        </row>
        <row r="358">
          <cell r="E358" t="str">
            <v>LF29T6000S.ASTCNA3</v>
          </cell>
          <cell r="F358">
            <v>72</v>
          </cell>
          <cell r="G358">
            <v>0</v>
          </cell>
          <cell r="H358">
            <v>2</v>
          </cell>
          <cell r="I358">
            <v>74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26</v>
          </cell>
          <cell r="O358">
            <v>0</v>
          </cell>
          <cell r="P358">
            <v>26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 t="str">
            <v/>
          </cell>
          <cell r="AH358" t="str">
            <v/>
          </cell>
          <cell r="AI358" t="str">
            <v/>
          </cell>
          <cell r="AJ358" t="str">
            <v/>
          </cell>
          <cell r="AK358" t="str">
            <v>1.613606</v>
          </cell>
          <cell r="AL358" t="str">
            <v>1</v>
          </cell>
          <cell r="AM358" t="str">
            <v>F</v>
          </cell>
          <cell r="AN358" t="str">
            <v>M0</v>
          </cell>
          <cell r="AO358" t="str">
            <v>Active(Model)</v>
          </cell>
          <cell r="AP358" t="str">
            <v/>
          </cell>
          <cell r="AQ358" t="str">
            <v/>
          </cell>
          <cell r="AR358" t="str">
            <v>Y</v>
          </cell>
          <cell r="AS358" t="str">
            <v/>
          </cell>
          <cell r="AT358" t="str">
            <v>RF</v>
          </cell>
          <cell r="AU358" t="str">
            <v>Refrigerator</v>
          </cell>
          <cell r="AV358" t="str">
            <v>RFBF</v>
          </cell>
          <cell r="AW358" t="str">
            <v>Bottom Freezer</v>
          </cell>
          <cell r="AX358" t="str">
            <v>RFBFFD</v>
          </cell>
          <cell r="AY358" t="str">
            <v>French Door Drawer</v>
          </cell>
          <cell r="AZ358" t="str">
            <v>RFBFFD3D</v>
          </cell>
          <cell r="BA358" t="str">
            <v>3D F/D Drawer</v>
          </cell>
        </row>
        <row r="359">
          <cell r="E359" t="str">
            <v>LF30S8210S.ASTCNA2</v>
          </cell>
          <cell r="F359">
            <v>87</v>
          </cell>
          <cell r="G359">
            <v>0</v>
          </cell>
          <cell r="H359">
            <v>1</v>
          </cell>
          <cell r="I359">
            <v>103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462</v>
          </cell>
          <cell r="O359">
            <v>170</v>
          </cell>
          <cell r="P359">
            <v>462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 t="str">
            <v/>
          </cell>
          <cell r="AH359" t="str">
            <v/>
          </cell>
          <cell r="AI359" t="str">
            <v/>
          </cell>
          <cell r="AJ359" t="str">
            <v/>
          </cell>
          <cell r="AK359" t="str">
            <v>1.632420</v>
          </cell>
          <cell r="AL359" t="str">
            <v>1</v>
          </cell>
          <cell r="AM359" t="str">
            <v>F</v>
          </cell>
          <cell r="AN359" t="str">
            <v>M0</v>
          </cell>
          <cell r="AO359" t="str">
            <v>Active(Model)</v>
          </cell>
          <cell r="AP359" t="str">
            <v/>
          </cell>
          <cell r="AQ359" t="str">
            <v/>
          </cell>
          <cell r="AR359" t="str">
            <v>Y</v>
          </cell>
          <cell r="AS359" t="str">
            <v/>
          </cell>
          <cell r="AT359" t="str">
            <v>RF</v>
          </cell>
          <cell r="AU359" t="str">
            <v>Refrigerator</v>
          </cell>
          <cell r="AV359" t="str">
            <v>RFBF</v>
          </cell>
          <cell r="AW359" t="str">
            <v>Bottom Freezer</v>
          </cell>
          <cell r="AX359" t="str">
            <v>RFBFFD</v>
          </cell>
          <cell r="AY359" t="str">
            <v>French Door Drawer</v>
          </cell>
          <cell r="AZ359" t="str">
            <v>RFBFFD4D</v>
          </cell>
          <cell r="BA359" t="str">
            <v>4D F/D Drawer</v>
          </cell>
        </row>
        <row r="360">
          <cell r="E360" t="str">
            <v>LFB61BLGAI.ABMPEVN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10</v>
          </cell>
          <cell r="AF360">
            <v>0</v>
          </cell>
          <cell r="AG360" t="str">
            <v>REFPREPLUS</v>
          </cell>
          <cell r="AH360" t="str">
            <v>REF_Premium_Plus</v>
          </cell>
          <cell r="AI360" t="str">
            <v/>
          </cell>
          <cell r="AJ360" t="str">
            <v/>
          </cell>
          <cell r="AK360" t="str">
            <v>1.347179</v>
          </cell>
          <cell r="AL360" t="str">
            <v>2</v>
          </cell>
          <cell r="AM360" t="str">
            <v>F</v>
          </cell>
          <cell r="AN360" t="str">
            <v>M0</v>
          </cell>
          <cell r="AO360" t="str">
            <v>Active(Model)</v>
          </cell>
          <cell r="AP360" t="str">
            <v/>
          </cell>
          <cell r="AQ360" t="str">
            <v/>
          </cell>
          <cell r="AR360" t="str">
            <v>Y</v>
          </cell>
          <cell r="AS360" t="str">
            <v/>
          </cell>
          <cell r="AT360" t="str">
            <v>RF</v>
          </cell>
          <cell r="AU360" t="str">
            <v>Refrigerator</v>
          </cell>
          <cell r="AV360" t="str">
            <v>RFBF</v>
          </cell>
          <cell r="AW360" t="str">
            <v>Bottom Freezer</v>
          </cell>
          <cell r="AX360" t="str">
            <v>RFBFMD</v>
          </cell>
          <cell r="AY360" t="str">
            <v>French Door Swing</v>
          </cell>
          <cell r="AZ360" t="str">
            <v>RFBFMD4D</v>
          </cell>
          <cell r="BA360" t="str">
            <v>4D F/D Swing</v>
          </cell>
        </row>
        <row r="361">
          <cell r="E361" t="str">
            <v>LFD58BLMA.AEPPEVN</v>
          </cell>
          <cell r="F361">
            <v>9</v>
          </cell>
          <cell r="G361">
            <v>0</v>
          </cell>
          <cell r="H361">
            <v>2</v>
          </cell>
          <cell r="I361">
            <v>11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110</v>
          </cell>
          <cell r="AF361">
            <v>0</v>
          </cell>
          <cell r="AG361" t="str">
            <v>REFPREPLUS</v>
          </cell>
          <cell r="AH361" t="str">
            <v>REF_Premium_Plus</v>
          </cell>
          <cell r="AI361" t="str">
            <v/>
          </cell>
          <cell r="AJ361" t="str">
            <v/>
          </cell>
          <cell r="AK361" t="str">
            <v>1.289601</v>
          </cell>
          <cell r="AL361" t="str">
            <v>2</v>
          </cell>
          <cell r="AM361" t="str">
            <v>F</v>
          </cell>
          <cell r="AN361" t="str">
            <v>M0</v>
          </cell>
          <cell r="AO361" t="str">
            <v>Active(Model)</v>
          </cell>
          <cell r="AP361" t="str">
            <v/>
          </cell>
          <cell r="AQ361" t="str">
            <v/>
          </cell>
          <cell r="AR361" t="str">
            <v>Y</v>
          </cell>
          <cell r="AS361" t="str">
            <v/>
          </cell>
          <cell r="AT361" t="str">
            <v>RF</v>
          </cell>
          <cell r="AU361" t="str">
            <v>Refrigerator</v>
          </cell>
          <cell r="AV361" t="str">
            <v>RFBF</v>
          </cell>
          <cell r="AW361" t="str">
            <v>Bottom Freezer</v>
          </cell>
          <cell r="AX361" t="str">
            <v>RFBFMD</v>
          </cell>
          <cell r="AY361" t="str">
            <v>French Door Swing</v>
          </cell>
          <cell r="AZ361" t="str">
            <v>RFBFMD4D</v>
          </cell>
          <cell r="BA361" t="str">
            <v>4D F/D Swing</v>
          </cell>
        </row>
        <row r="362">
          <cell r="E362" t="str">
            <v>LFD58BLMAI.AEPPEVN</v>
          </cell>
          <cell r="F362">
            <v>0</v>
          </cell>
          <cell r="G362">
            <v>0</v>
          </cell>
          <cell r="H362">
            <v>2</v>
          </cell>
          <cell r="I362">
            <v>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13</v>
          </cell>
          <cell r="AF362">
            <v>0</v>
          </cell>
          <cell r="AG362" t="str">
            <v>REFPREPLUS</v>
          </cell>
          <cell r="AH362" t="str">
            <v>REF_Premium_Plus</v>
          </cell>
          <cell r="AI362" t="str">
            <v/>
          </cell>
          <cell r="AJ362" t="str">
            <v/>
          </cell>
          <cell r="AK362" t="str">
            <v>1.289601</v>
          </cell>
          <cell r="AL362" t="str">
            <v>2</v>
          </cell>
          <cell r="AM362" t="str">
            <v>F</v>
          </cell>
          <cell r="AN362" t="str">
            <v>M0</v>
          </cell>
          <cell r="AO362" t="str">
            <v>Active(Model)</v>
          </cell>
          <cell r="AP362" t="str">
            <v/>
          </cell>
          <cell r="AQ362" t="str">
            <v/>
          </cell>
          <cell r="AR362" t="str">
            <v>Y</v>
          </cell>
          <cell r="AS362" t="str">
            <v/>
          </cell>
          <cell r="AT362" t="str">
            <v>RF</v>
          </cell>
          <cell r="AU362" t="str">
            <v>Refrigerator</v>
          </cell>
          <cell r="AV362" t="str">
            <v>RFBF</v>
          </cell>
          <cell r="AW362" t="str">
            <v>Bottom Freezer</v>
          </cell>
          <cell r="AX362" t="str">
            <v>RFBFMD</v>
          </cell>
          <cell r="AY362" t="str">
            <v>French Door Swing</v>
          </cell>
          <cell r="AZ362" t="str">
            <v>RFBFMD4D</v>
          </cell>
          <cell r="BA362" t="str">
            <v>4D F/D Swing</v>
          </cell>
        </row>
        <row r="363">
          <cell r="E363" t="str">
            <v>LFD61BLGA.ABMPEVN</v>
          </cell>
          <cell r="F363">
            <v>3</v>
          </cell>
          <cell r="G363">
            <v>0</v>
          </cell>
          <cell r="H363">
            <v>0</v>
          </cell>
          <cell r="I363">
            <v>3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20</v>
          </cell>
          <cell r="AF363">
            <v>0</v>
          </cell>
          <cell r="AG363" t="str">
            <v>REFPREPLUS</v>
          </cell>
          <cell r="AH363" t="str">
            <v>REF_Premium_Plus</v>
          </cell>
          <cell r="AI363" t="str">
            <v/>
          </cell>
          <cell r="AJ363" t="str">
            <v/>
          </cell>
          <cell r="AK363" t="str">
            <v>1.347179</v>
          </cell>
          <cell r="AL363" t="str">
            <v>2</v>
          </cell>
          <cell r="AM363" t="str">
            <v>F</v>
          </cell>
          <cell r="AN363" t="str">
            <v>M0</v>
          </cell>
          <cell r="AO363" t="str">
            <v>Active(Model)</v>
          </cell>
          <cell r="AP363" t="str">
            <v/>
          </cell>
          <cell r="AQ363" t="str">
            <v/>
          </cell>
          <cell r="AR363" t="str">
            <v>Y</v>
          </cell>
          <cell r="AS363" t="str">
            <v/>
          </cell>
          <cell r="AT363" t="str">
            <v>RF</v>
          </cell>
          <cell r="AU363" t="str">
            <v>Refrigerator</v>
          </cell>
          <cell r="AV363" t="str">
            <v>RFBF</v>
          </cell>
          <cell r="AW363" t="str">
            <v>Bottom Freezer</v>
          </cell>
          <cell r="AX363" t="str">
            <v>RFBFMD</v>
          </cell>
          <cell r="AY363" t="str">
            <v>French Door Swing</v>
          </cell>
          <cell r="AZ363" t="str">
            <v>RFBFMD4D</v>
          </cell>
          <cell r="BA363" t="str">
            <v>4D F/D Swing</v>
          </cell>
        </row>
        <row r="364">
          <cell r="E364" t="str">
            <v>LFD61BLGAI.ABMPEVN</v>
          </cell>
          <cell r="F364">
            <v>0</v>
          </cell>
          <cell r="G364">
            <v>0</v>
          </cell>
          <cell r="H364">
            <v>10</v>
          </cell>
          <cell r="I364">
            <v>10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 t="str">
            <v>REFPREPLUS</v>
          </cell>
          <cell r="AH364" t="str">
            <v>REF_Premium_Plus</v>
          </cell>
          <cell r="AI364" t="str">
            <v/>
          </cell>
          <cell r="AJ364" t="str">
            <v/>
          </cell>
          <cell r="AK364" t="str">
            <v>1.347179</v>
          </cell>
          <cell r="AL364" t="str">
            <v>2</v>
          </cell>
          <cell r="AM364" t="str">
            <v>F</v>
          </cell>
          <cell r="AN364" t="str">
            <v>M0</v>
          </cell>
          <cell r="AO364" t="str">
            <v>Active(Model)</v>
          </cell>
          <cell r="AP364" t="str">
            <v/>
          </cell>
          <cell r="AQ364" t="str">
            <v/>
          </cell>
          <cell r="AR364" t="str">
            <v>Y</v>
          </cell>
          <cell r="AS364" t="str">
            <v/>
          </cell>
          <cell r="AT364" t="str">
            <v>RF</v>
          </cell>
          <cell r="AU364" t="str">
            <v>Refrigerator</v>
          </cell>
          <cell r="AV364" t="str">
            <v>RFBF</v>
          </cell>
          <cell r="AW364" t="str">
            <v>Bottom Freezer</v>
          </cell>
          <cell r="AX364" t="str">
            <v>RFBFMD</v>
          </cell>
          <cell r="AY364" t="str">
            <v>French Door Swing</v>
          </cell>
          <cell r="AZ364" t="str">
            <v>RFBFMD4D</v>
          </cell>
          <cell r="BA364" t="str">
            <v>4D F/D Swing</v>
          </cell>
        </row>
        <row r="365">
          <cell r="E365" t="str">
            <v>LHFS28XBD.ASBCNA3</v>
          </cell>
          <cell r="F365">
            <v>39</v>
          </cell>
          <cell r="G365">
            <v>0</v>
          </cell>
          <cell r="H365">
            <v>16</v>
          </cell>
          <cell r="I365">
            <v>55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39</v>
          </cell>
          <cell r="O365">
            <v>26</v>
          </cell>
          <cell r="P365">
            <v>39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 t="str">
            <v/>
          </cell>
          <cell r="AH365" t="str">
            <v/>
          </cell>
          <cell r="AI365" t="str">
            <v/>
          </cell>
          <cell r="AJ365" t="str">
            <v/>
          </cell>
          <cell r="AK365" t="str">
            <v>1.613606</v>
          </cell>
          <cell r="AL365" t="str">
            <v>1</v>
          </cell>
          <cell r="AM365" t="str">
            <v>F</v>
          </cell>
          <cell r="AN365" t="str">
            <v>M0</v>
          </cell>
          <cell r="AO365" t="str">
            <v>Active(Model)</v>
          </cell>
          <cell r="AP365" t="str">
            <v/>
          </cell>
          <cell r="AQ365" t="str">
            <v/>
          </cell>
          <cell r="AR365" t="str">
            <v>Y</v>
          </cell>
          <cell r="AS365" t="str">
            <v/>
          </cell>
          <cell r="AT365" t="str">
            <v>RF</v>
          </cell>
          <cell r="AU365" t="str">
            <v>Refrigerator</v>
          </cell>
          <cell r="AV365" t="str">
            <v>RFBF</v>
          </cell>
          <cell r="AW365" t="str">
            <v>Bottom Freezer</v>
          </cell>
          <cell r="AX365" t="str">
            <v>RFBFFD</v>
          </cell>
          <cell r="AY365" t="str">
            <v>French Door Drawer</v>
          </cell>
          <cell r="AZ365" t="str">
            <v>RFBFFD3D</v>
          </cell>
          <cell r="BA365" t="str">
            <v>3D F/D Drawer</v>
          </cell>
        </row>
        <row r="366">
          <cell r="E366" t="str">
            <v>LHFS28XBS.ASTCNA3</v>
          </cell>
          <cell r="F366">
            <v>1272</v>
          </cell>
          <cell r="G366">
            <v>0</v>
          </cell>
          <cell r="H366">
            <v>68</v>
          </cell>
          <cell r="I366">
            <v>1340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147</v>
          </cell>
          <cell r="O366">
            <v>130</v>
          </cell>
          <cell r="P366">
            <v>147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 t="str">
            <v/>
          </cell>
          <cell r="AH366" t="str">
            <v/>
          </cell>
          <cell r="AI366" t="str">
            <v/>
          </cell>
          <cell r="AJ366" t="str">
            <v/>
          </cell>
          <cell r="AK366" t="str">
            <v>1.613606</v>
          </cell>
          <cell r="AL366" t="str">
            <v>1</v>
          </cell>
          <cell r="AM366" t="str">
            <v>F</v>
          </cell>
          <cell r="AN366" t="str">
            <v>M0</v>
          </cell>
          <cell r="AO366" t="str">
            <v>Active(Model)</v>
          </cell>
          <cell r="AP366" t="str">
            <v/>
          </cell>
          <cell r="AQ366" t="str">
            <v/>
          </cell>
          <cell r="AR366" t="str">
            <v>Y</v>
          </cell>
          <cell r="AS366" t="str">
            <v/>
          </cell>
          <cell r="AT366" t="str">
            <v>RF</v>
          </cell>
          <cell r="AU366" t="str">
            <v>Refrigerator</v>
          </cell>
          <cell r="AV366" t="str">
            <v>RFBF</v>
          </cell>
          <cell r="AW366" t="str">
            <v>Bottom Freezer</v>
          </cell>
          <cell r="AX366" t="str">
            <v>RFBFFD</v>
          </cell>
          <cell r="AY366" t="str">
            <v>French Door Drawer</v>
          </cell>
          <cell r="AZ366" t="str">
            <v>RFBFFD3D</v>
          </cell>
          <cell r="BA366" t="str">
            <v>3D F/D Drawer</v>
          </cell>
        </row>
        <row r="367">
          <cell r="E367" t="str">
            <v>LHQ17N-PJ12.BEU2PAM</v>
          </cell>
          <cell r="F367">
            <v>16</v>
          </cell>
          <cell r="G367">
            <v>0</v>
          </cell>
          <cell r="H367">
            <v>0</v>
          </cell>
          <cell r="I367">
            <v>16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376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 t="str">
            <v/>
          </cell>
          <cell r="AH367" t="str">
            <v/>
          </cell>
          <cell r="AI367" t="str">
            <v>KR15P08413470</v>
          </cell>
          <cell r="AJ367" t="str">
            <v>CLVO17QE190.ARFQ</v>
          </cell>
          <cell r="AK367" t="str">
            <v>0.024000</v>
          </cell>
          <cell r="AL367" t="str">
            <v>1</v>
          </cell>
          <cell r="AM367" t="str">
            <v>F</v>
          </cell>
          <cell r="AN367" t="str">
            <v>M0</v>
          </cell>
          <cell r="AO367" t="str">
            <v>Active(Model)</v>
          </cell>
          <cell r="AP367" t="str">
            <v/>
          </cell>
          <cell r="AQ367" t="str">
            <v/>
          </cell>
          <cell r="AR367" t="str">
            <v>Y</v>
          </cell>
          <cell r="AS367" t="str">
            <v/>
          </cell>
          <cell r="AT367" t="str">
            <v>IN</v>
          </cell>
          <cell r="AU367" t="str">
            <v>Infotainment</v>
          </cell>
          <cell r="AV367" t="str">
            <v>INDI</v>
          </cell>
          <cell r="AW367" t="str">
            <v>Vehicle Display</v>
          </cell>
          <cell r="AX367" t="str">
            <v>INDICL</v>
          </cell>
          <cell r="AY367" t="str">
            <v>Cluster</v>
          </cell>
          <cell r="AZ367" t="str">
            <v>INDICLLC</v>
          </cell>
          <cell r="BA367" t="str">
            <v>LCD Cluster</v>
          </cell>
        </row>
        <row r="368">
          <cell r="E368" t="str">
            <v>LL27T3530S.ASTCNA0</v>
          </cell>
          <cell r="F368">
            <v>58</v>
          </cell>
          <cell r="G368">
            <v>0</v>
          </cell>
          <cell r="H368">
            <v>0</v>
          </cell>
          <cell r="I368">
            <v>58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 t="str">
            <v/>
          </cell>
          <cell r="AH368" t="str">
            <v/>
          </cell>
          <cell r="AI368" t="str">
            <v/>
          </cell>
          <cell r="AJ368" t="str">
            <v/>
          </cell>
          <cell r="AK368" t="str">
            <v>1.617363</v>
          </cell>
          <cell r="AL368" t="str">
            <v>1</v>
          </cell>
          <cell r="AM368" t="str">
            <v>F</v>
          </cell>
          <cell r="AN368" t="str">
            <v>M0</v>
          </cell>
          <cell r="AO368" t="str">
            <v>Active(Model)</v>
          </cell>
          <cell r="AP368" t="str">
            <v/>
          </cell>
          <cell r="AQ368" t="str">
            <v/>
          </cell>
          <cell r="AR368" t="str">
            <v>Y</v>
          </cell>
          <cell r="AS368" t="str">
            <v/>
          </cell>
          <cell r="AT368" t="str">
            <v>RF</v>
          </cell>
          <cell r="AU368" t="str">
            <v>Refrigerator</v>
          </cell>
          <cell r="AV368" t="str">
            <v>RFSS</v>
          </cell>
          <cell r="AW368" t="str">
            <v>SxS</v>
          </cell>
          <cell r="AX368" t="str">
            <v>RFSSSS</v>
          </cell>
          <cell r="AY368" t="str">
            <v>SxS</v>
          </cell>
          <cell r="AZ368" t="str">
            <v>RFSSSS27</v>
          </cell>
          <cell r="BA368" t="str">
            <v>SxS 27CU</v>
          </cell>
        </row>
        <row r="369">
          <cell r="E369" t="str">
            <v>LMXS28626S.ASTCNA3</v>
          </cell>
          <cell r="F369">
            <v>311</v>
          </cell>
          <cell r="G369">
            <v>0</v>
          </cell>
          <cell r="H369">
            <v>29</v>
          </cell>
          <cell r="I369">
            <v>353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227</v>
          </cell>
          <cell r="O369">
            <v>104</v>
          </cell>
          <cell r="P369">
            <v>227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 t="str">
            <v/>
          </cell>
          <cell r="AH369" t="str">
            <v/>
          </cell>
          <cell r="AI369" t="str">
            <v/>
          </cell>
          <cell r="AJ369" t="str">
            <v/>
          </cell>
          <cell r="AK369" t="str">
            <v>1.613606</v>
          </cell>
          <cell r="AL369" t="str">
            <v>1</v>
          </cell>
          <cell r="AM369" t="str">
            <v>F</v>
          </cell>
          <cell r="AN369" t="str">
            <v>M0</v>
          </cell>
          <cell r="AO369" t="str">
            <v>Active(Model)</v>
          </cell>
          <cell r="AP369" t="str">
            <v/>
          </cell>
          <cell r="AQ369" t="str">
            <v/>
          </cell>
          <cell r="AR369" t="str">
            <v>Y</v>
          </cell>
          <cell r="AS369" t="str">
            <v/>
          </cell>
          <cell r="AT369" t="str">
            <v>RF</v>
          </cell>
          <cell r="AU369" t="str">
            <v>Refrigerator</v>
          </cell>
          <cell r="AV369" t="str">
            <v>RFBF</v>
          </cell>
          <cell r="AW369" t="str">
            <v>Bottom Freezer</v>
          </cell>
          <cell r="AX369" t="str">
            <v>RFBFFD</v>
          </cell>
          <cell r="AY369" t="str">
            <v>French Door Drawer</v>
          </cell>
          <cell r="AZ369" t="str">
            <v>RFBFFD4D</v>
          </cell>
          <cell r="BA369" t="str">
            <v>4D F/D Drawer</v>
          </cell>
        </row>
        <row r="370">
          <cell r="E370" t="str">
            <v>LREN6321CE.BSTLLCA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672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str">
            <v/>
          </cell>
          <cell r="AH370" t="str">
            <v/>
          </cell>
          <cell r="AI370" t="str">
            <v/>
          </cell>
          <cell r="AJ370" t="str">
            <v/>
          </cell>
          <cell r="AK370" t="str">
            <v>0.829793</v>
          </cell>
          <cell r="AL370" t="str">
            <v>1</v>
          </cell>
          <cell r="AM370" t="str">
            <v>F</v>
          </cell>
          <cell r="AN370" t="str">
            <v>M0</v>
          </cell>
          <cell r="AO370" t="str">
            <v>Active(Model)</v>
          </cell>
          <cell r="AP370" t="str">
            <v/>
          </cell>
          <cell r="AQ370" t="str">
            <v/>
          </cell>
          <cell r="AR370" t="str">
            <v>Y</v>
          </cell>
          <cell r="AS370" t="str">
            <v/>
          </cell>
          <cell r="AT370" t="str">
            <v>CA</v>
          </cell>
          <cell r="AU370" t="str">
            <v>Cooking Appliance</v>
          </cell>
          <cell r="AV370" t="str">
            <v>CARN</v>
          </cell>
          <cell r="AW370" t="str">
            <v>Range</v>
          </cell>
          <cell r="AX370" t="str">
            <v>CARNFR</v>
          </cell>
          <cell r="AY370" t="str">
            <v>Freestanding Range</v>
          </cell>
          <cell r="AZ370" t="str">
            <v>CARNFREO</v>
          </cell>
          <cell r="BA370" t="str">
            <v>Electric(Freestanding)</v>
          </cell>
        </row>
        <row r="371">
          <cell r="E371" t="str">
            <v>LREN6321VE.BSTLLCA</v>
          </cell>
          <cell r="F371">
            <v>12</v>
          </cell>
          <cell r="G371">
            <v>0</v>
          </cell>
          <cell r="H371">
            <v>0</v>
          </cell>
          <cell r="I371">
            <v>12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100</v>
          </cell>
          <cell r="O371">
            <v>779</v>
          </cell>
          <cell r="P371">
            <v>100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 t="str">
            <v/>
          </cell>
          <cell r="AH371" t="str">
            <v/>
          </cell>
          <cell r="AI371" t="str">
            <v/>
          </cell>
          <cell r="AJ371" t="str">
            <v/>
          </cell>
          <cell r="AK371" t="str">
            <v>0.829793</v>
          </cell>
          <cell r="AL371" t="str">
            <v>1</v>
          </cell>
          <cell r="AM371" t="str">
            <v>F</v>
          </cell>
          <cell r="AN371" t="str">
            <v>M0</v>
          </cell>
          <cell r="AO371" t="str">
            <v>Active(Model)</v>
          </cell>
          <cell r="AP371" t="str">
            <v/>
          </cell>
          <cell r="AQ371" t="str">
            <v/>
          </cell>
          <cell r="AR371" t="str">
            <v>Y</v>
          </cell>
          <cell r="AS371" t="str">
            <v/>
          </cell>
          <cell r="AT371" t="str">
            <v>CA</v>
          </cell>
          <cell r="AU371" t="str">
            <v>Cooking Appliance</v>
          </cell>
          <cell r="AV371" t="str">
            <v>CARN</v>
          </cell>
          <cell r="AW371" t="str">
            <v>Range</v>
          </cell>
          <cell r="AX371" t="str">
            <v>CARNFR</v>
          </cell>
          <cell r="AY371" t="str">
            <v>Freestanding Range</v>
          </cell>
          <cell r="AZ371" t="str">
            <v>CARNFREO</v>
          </cell>
          <cell r="BA371" t="str">
            <v>Electric(Freestanding)</v>
          </cell>
        </row>
        <row r="372">
          <cell r="E372" t="str">
            <v>LREN6321VE.BSTLLGA</v>
          </cell>
          <cell r="F372">
            <v>2084</v>
          </cell>
          <cell r="G372">
            <v>0</v>
          </cell>
          <cell r="H372">
            <v>0</v>
          </cell>
          <cell r="I372">
            <v>2084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2623</v>
          </cell>
          <cell r="O372">
            <v>672</v>
          </cell>
          <cell r="P372">
            <v>2623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 t="str">
            <v/>
          </cell>
          <cell r="AH372" t="str">
            <v/>
          </cell>
          <cell r="AI372" t="str">
            <v/>
          </cell>
          <cell r="AJ372" t="str">
            <v/>
          </cell>
          <cell r="AK372" t="str">
            <v>0.829793</v>
          </cell>
          <cell r="AL372" t="str">
            <v>1</v>
          </cell>
          <cell r="AM372" t="str">
            <v>F</v>
          </cell>
          <cell r="AN372" t="str">
            <v>M0</v>
          </cell>
          <cell r="AO372" t="str">
            <v>Active(Model)</v>
          </cell>
          <cell r="AP372" t="str">
            <v/>
          </cell>
          <cell r="AQ372" t="str">
            <v/>
          </cell>
          <cell r="AR372" t="str">
            <v>Y</v>
          </cell>
          <cell r="AS372" t="str">
            <v/>
          </cell>
          <cell r="AT372" t="str">
            <v>CA</v>
          </cell>
          <cell r="AU372" t="str">
            <v>Cooking Appliance</v>
          </cell>
          <cell r="AV372" t="str">
            <v>CARN</v>
          </cell>
          <cell r="AW372" t="str">
            <v>Range</v>
          </cell>
          <cell r="AX372" t="str">
            <v>CARNFR</v>
          </cell>
          <cell r="AY372" t="str">
            <v>Freestanding Range</v>
          </cell>
          <cell r="AZ372" t="str">
            <v>CARNFREO</v>
          </cell>
          <cell r="BA372" t="str">
            <v>Electric(Freestanding)</v>
          </cell>
        </row>
        <row r="373">
          <cell r="E373" t="str">
            <v>LREN6321VE.BSTUNAG</v>
          </cell>
          <cell r="F373">
            <v>84</v>
          </cell>
          <cell r="G373">
            <v>0</v>
          </cell>
          <cell r="H373">
            <v>0</v>
          </cell>
          <cell r="I373">
            <v>168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84</v>
          </cell>
          <cell r="O373">
            <v>0</v>
          </cell>
          <cell r="P373">
            <v>84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 t="str">
            <v/>
          </cell>
          <cell r="AH373" t="str">
            <v/>
          </cell>
          <cell r="AI373" t="str">
            <v/>
          </cell>
          <cell r="AJ373" t="str">
            <v/>
          </cell>
          <cell r="AK373" t="str">
            <v>0.833009</v>
          </cell>
          <cell r="AL373" t="str">
            <v>1</v>
          </cell>
          <cell r="AM373" t="str">
            <v>F</v>
          </cell>
          <cell r="AN373" t="str">
            <v>M0</v>
          </cell>
          <cell r="AO373" t="str">
            <v>Active(Model)</v>
          </cell>
          <cell r="AP373" t="str">
            <v/>
          </cell>
          <cell r="AQ373" t="str">
            <v/>
          </cell>
          <cell r="AR373" t="str">
            <v>Y</v>
          </cell>
          <cell r="AS373" t="str">
            <v/>
          </cell>
          <cell r="AT373" t="str">
            <v>CA</v>
          </cell>
          <cell r="AU373" t="str">
            <v>Cooking Appliance</v>
          </cell>
          <cell r="AV373" t="str">
            <v>CARN</v>
          </cell>
          <cell r="AW373" t="str">
            <v>Range</v>
          </cell>
          <cell r="AX373" t="str">
            <v>CARNFR</v>
          </cell>
          <cell r="AY373" t="str">
            <v>Freestanding Range</v>
          </cell>
          <cell r="AZ373" t="str">
            <v>CARNFREO</v>
          </cell>
          <cell r="BA373" t="str">
            <v>Electric(Freestanding)</v>
          </cell>
        </row>
        <row r="374">
          <cell r="E374" t="str">
            <v>LREN6321YE.BSTLLCA</v>
          </cell>
          <cell r="F374">
            <v>387</v>
          </cell>
          <cell r="G374">
            <v>0</v>
          </cell>
          <cell r="H374">
            <v>0</v>
          </cell>
          <cell r="I374">
            <v>387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770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 t="str">
            <v/>
          </cell>
          <cell r="AH374" t="str">
            <v/>
          </cell>
          <cell r="AI374" t="str">
            <v/>
          </cell>
          <cell r="AJ374" t="str">
            <v/>
          </cell>
          <cell r="AK374" t="str">
            <v>0.829793</v>
          </cell>
          <cell r="AL374" t="str">
            <v>1</v>
          </cell>
          <cell r="AM374" t="str">
            <v>F</v>
          </cell>
          <cell r="AN374" t="str">
            <v>M0</v>
          </cell>
          <cell r="AO374" t="str">
            <v>Active(Model)</v>
          </cell>
          <cell r="AP374" t="str">
            <v/>
          </cell>
          <cell r="AQ374" t="str">
            <v/>
          </cell>
          <cell r="AR374" t="str">
            <v>Y</v>
          </cell>
          <cell r="AS374" t="str">
            <v/>
          </cell>
          <cell r="AT374" t="str">
            <v>CA</v>
          </cell>
          <cell r="AU374" t="str">
            <v>Cooking Appliance</v>
          </cell>
          <cell r="AV374" t="str">
            <v>CARN</v>
          </cell>
          <cell r="AW374" t="str">
            <v>Range</v>
          </cell>
          <cell r="AX374" t="str">
            <v>CARNFR</v>
          </cell>
          <cell r="AY374" t="str">
            <v>Freestanding Range</v>
          </cell>
          <cell r="AZ374" t="str">
            <v>CARNFREO</v>
          </cell>
          <cell r="BA374" t="str">
            <v>Electric(Freestanding)</v>
          </cell>
        </row>
        <row r="375">
          <cell r="E375" t="str">
            <v>LREN6321YE.BSTLLGA</v>
          </cell>
          <cell r="F375">
            <v>788</v>
          </cell>
          <cell r="G375">
            <v>0</v>
          </cell>
          <cell r="H375">
            <v>242</v>
          </cell>
          <cell r="I375">
            <v>1030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1843</v>
          </cell>
          <cell r="O375">
            <v>2630</v>
          </cell>
          <cell r="P375">
            <v>1843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 t="str">
            <v/>
          </cell>
          <cell r="AH375" t="str">
            <v/>
          </cell>
          <cell r="AI375" t="str">
            <v/>
          </cell>
          <cell r="AJ375" t="str">
            <v/>
          </cell>
          <cell r="AK375" t="str">
            <v>0.829793</v>
          </cell>
          <cell r="AL375" t="str">
            <v>1</v>
          </cell>
          <cell r="AM375" t="str">
            <v>F</v>
          </cell>
          <cell r="AN375" t="str">
            <v>M0</v>
          </cell>
          <cell r="AO375" t="str">
            <v>Active(Model)</v>
          </cell>
          <cell r="AP375" t="str">
            <v/>
          </cell>
          <cell r="AQ375" t="str">
            <v/>
          </cell>
          <cell r="AR375" t="str">
            <v>Y</v>
          </cell>
          <cell r="AS375" t="str">
            <v/>
          </cell>
          <cell r="AT375" t="str">
            <v>CA</v>
          </cell>
          <cell r="AU375" t="str">
            <v>Cooking Appliance</v>
          </cell>
          <cell r="AV375" t="str">
            <v>CARN</v>
          </cell>
          <cell r="AW375" t="str">
            <v>Range</v>
          </cell>
          <cell r="AX375" t="str">
            <v>CARNFR</v>
          </cell>
          <cell r="AY375" t="str">
            <v>Freestanding Range</v>
          </cell>
          <cell r="AZ375" t="str">
            <v>CARNFREO</v>
          </cell>
          <cell r="BA375" t="str">
            <v>Electric(Freestanding)</v>
          </cell>
        </row>
        <row r="376">
          <cell r="E376" t="str">
            <v>LREN6323YE.BSTULEC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10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 t="str">
            <v/>
          </cell>
          <cell r="AH376" t="str">
            <v/>
          </cell>
          <cell r="AI376" t="str">
            <v/>
          </cell>
          <cell r="AJ376" t="str">
            <v/>
          </cell>
          <cell r="AK376" t="str">
            <v>0.833009</v>
          </cell>
          <cell r="AL376" t="str">
            <v>1</v>
          </cell>
          <cell r="AM376" t="str">
            <v>F</v>
          </cell>
          <cell r="AN376" t="str">
            <v>M0</v>
          </cell>
          <cell r="AO376" t="str">
            <v>Active(Model)</v>
          </cell>
          <cell r="AP376" t="str">
            <v/>
          </cell>
          <cell r="AQ376" t="str">
            <v/>
          </cell>
          <cell r="AR376" t="str">
            <v>Y</v>
          </cell>
          <cell r="AS376" t="str">
            <v/>
          </cell>
          <cell r="AT376" t="str">
            <v>CA</v>
          </cell>
          <cell r="AU376" t="str">
            <v>Cooking Appliance</v>
          </cell>
          <cell r="AV376" t="str">
            <v>CARN</v>
          </cell>
          <cell r="AW376" t="str">
            <v>Range</v>
          </cell>
          <cell r="AX376" t="str">
            <v>CARNFR</v>
          </cell>
          <cell r="AY376" t="str">
            <v>Freestanding Range</v>
          </cell>
          <cell r="AZ376" t="str">
            <v>CARNFREO</v>
          </cell>
          <cell r="BA376" t="str">
            <v>Electric(Freestanding)</v>
          </cell>
        </row>
        <row r="377">
          <cell r="E377" t="str">
            <v>LREN6323YE.BSTUNAG</v>
          </cell>
          <cell r="F377">
            <v>40</v>
          </cell>
          <cell r="G377">
            <v>0</v>
          </cell>
          <cell r="H377">
            <v>0</v>
          </cell>
          <cell r="I377">
            <v>208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168</v>
          </cell>
          <cell r="O377">
            <v>0</v>
          </cell>
          <cell r="P377">
            <v>168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str">
            <v/>
          </cell>
          <cell r="AH377" t="str">
            <v/>
          </cell>
          <cell r="AI377" t="str">
            <v/>
          </cell>
          <cell r="AJ377" t="str">
            <v/>
          </cell>
          <cell r="AK377" t="str">
            <v>0.833009</v>
          </cell>
          <cell r="AL377" t="str">
            <v>1</v>
          </cell>
          <cell r="AM377" t="str">
            <v>F</v>
          </cell>
          <cell r="AN377" t="str">
            <v>M0</v>
          </cell>
          <cell r="AO377" t="str">
            <v>Active(Model)</v>
          </cell>
          <cell r="AP377" t="str">
            <v/>
          </cell>
          <cell r="AQ377" t="str">
            <v/>
          </cell>
          <cell r="AR377" t="str">
            <v>Y</v>
          </cell>
          <cell r="AS377" t="str">
            <v/>
          </cell>
          <cell r="AT377" t="str">
            <v>CA</v>
          </cell>
          <cell r="AU377" t="str">
            <v>Cooking Appliance</v>
          </cell>
          <cell r="AV377" t="str">
            <v>CARN</v>
          </cell>
          <cell r="AW377" t="str">
            <v>Range</v>
          </cell>
          <cell r="AX377" t="str">
            <v>CARNFR</v>
          </cell>
          <cell r="AY377" t="str">
            <v>Freestanding Range</v>
          </cell>
          <cell r="AZ377" t="str">
            <v>CARNFREO</v>
          </cell>
          <cell r="BA377" t="str">
            <v>Electric(Freestanding)</v>
          </cell>
        </row>
        <row r="378">
          <cell r="E378" t="str">
            <v>LREN6323YE.QSTLLCA</v>
          </cell>
          <cell r="F378">
            <v>1</v>
          </cell>
          <cell r="G378">
            <v>0</v>
          </cell>
          <cell r="H378">
            <v>0</v>
          </cell>
          <cell r="I378">
            <v>1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50</v>
          </cell>
          <cell r="O378">
            <v>379</v>
          </cell>
          <cell r="P378">
            <v>50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 t="str">
            <v/>
          </cell>
          <cell r="AH378" t="str">
            <v/>
          </cell>
          <cell r="AI378" t="str">
            <v/>
          </cell>
          <cell r="AJ378" t="str">
            <v/>
          </cell>
          <cell r="AK378" t="str">
            <v>0.829793</v>
          </cell>
          <cell r="AL378" t="str">
            <v>1</v>
          </cell>
          <cell r="AM378" t="str">
            <v>F</v>
          </cell>
          <cell r="AN378" t="str">
            <v>M0</v>
          </cell>
          <cell r="AO378" t="str">
            <v>Active(Model)</v>
          </cell>
          <cell r="AP378" t="str">
            <v/>
          </cell>
          <cell r="AQ378" t="str">
            <v/>
          </cell>
          <cell r="AR378" t="str">
            <v>Y</v>
          </cell>
          <cell r="AS378" t="str">
            <v/>
          </cell>
          <cell r="AT378" t="str">
            <v>CA</v>
          </cell>
          <cell r="AU378" t="str">
            <v>Cooking Appliance</v>
          </cell>
          <cell r="AV378" t="str">
            <v>CARN</v>
          </cell>
          <cell r="AW378" t="str">
            <v>Range</v>
          </cell>
          <cell r="AX378" t="str">
            <v>CARNFR</v>
          </cell>
          <cell r="AY378" t="str">
            <v>Freestanding Range</v>
          </cell>
          <cell r="AZ378" t="str">
            <v>CARNFREO</v>
          </cell>
          <cell r="BA378" t="str">
            <v>Electric(Freestanding)</v>
          </cell>
        </row>
        <row r="379">
          <cell r="E379" t="str">
            <v>LREN6323YE.QSTLLGA</v>
          </cell>
          <cell r="F379">
            <v>498</v>
          </cell>
          <cell r="G379">
            <v>0</v>
          </cell>
          <cell r="H379">
            <v>0</v>
          </cell>
          <cell r="I379">
            <v>498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838</v>
          </cell>
          <cell r="O379">
            <v>1009</v>
          </cell>
          <cell r="P379">
            <v>838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 t="str">
            <v/>
          </cell>
          <cell r="AH379" t="str">
            <v/>
          </cell>
          <cell r="AI379" t="str">
            <v/>
          </cell>
          <cell r="AJ379" t="str">
            <v/>
          </cell>
          <cell r="AK379" t="str">
            <v>0.829793</v>
          </cell>
          <cell r="AL379" t="str">
            <v>1</v>
          </cell>
          <cell r="AM379" t="str">
            <v>F</v>
          </cell>
          <cell r="AN379" t="str">
            <v>M0</v>
          </cell>
          <cell r="AO379" t="str">
            <v>Active(Model)</v>
          </cell>
          <cell r="AP379" t="str">
            <v/>
          </cell>
          <cell r="AQ379" t="str">
            <v/>
          </cell>
          <cell r="AR379" t="str">
            <v>Y</v>
          </cell>
          <cell r="AS379" t="str">
            <v/>
          </cell>
          <cell r="AT379" t="str">
            <v>CA</v>
          </cell>
          <cell r="AU379" t="str">
            <v>Cooking Appliance</v>
          </cell>
          <cell r="AV379" t="str">
            <v>CARN</v>
          </cell>
          <cell r="AW379" t="str">
            <v>Range</v>
          </cell>
          <cell r="AX379" t="str">
            <v>CARNFR</v>
          </cell>
          <cell r="AY379" t="str">
            <v>Freestanding Range</v>
          </cell>
          <cell r="AZ379" t="str">
            <v>CARNFREO</v>
          </cell>
          <cell r="BA379" t="str">
            <v>Electric(Freestanding)</v>
          </cell>
        </row>
        <row r="380">
          <cell r="E380" t="str">
            <v>LREN6323YE.QSTLLPC</v>
          </cell>
          <cell r="F380">
            <v>90</v>
          </cell>
          <cell r="G380">
            <v>0</v>
          </cell>
          <cell r="H380">
            <v>0</v>
          </cell>
          <cell r="I380">
            <v>90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84</v>
          </cell>
          <cell r="O380">
            <v>84</v>
          </cell>
          <cell r="P380">
            <v>84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 t="str">
            <v/>
          </cell>
          <cell r="AH380" t="str">
            <v/>
          </cell>
          <cell r="AI380" t="str">
            <v/>
          </cell>
          <cell r="AJ380" t="str">
            <v/>
          </cell>
          <cell r="AK380" t="str">
            <v>0.829793</v>
          </cell>
          <cell r="AL380" t="str">
            <v>1</v>
          </cell>
          <cell r="AM380" t="str">
            <v>F</v>
          </cell>
          <cell r="AN380" t="str">
            <v>M0</v>
          </cell>
          <cell r="AO380" t="str">
            <v>Active(Model)</v>
          </cell>
          <cell r="AP380" t="str">
            <v/>
          </cell>
          <cell r="AQ380" t="str">
            <v/>
          </cell>
          <cell r="AR380" t="str">
            <v>Y</v>
          </cell>
          <cell r="AS380" t="str">
            <v/>
          </cell>
          <cell r="AT380" t="str">
            <v>CA</v>
          </cell>
          <cell r="AU380" t="str">
            <v>Cooking Appliance</v>
          </cell>
          <cell r="AV380" t="str">
            <v>CARN</v>
          </cell>
          <cell r="AW380" t="str">
            <v>Range</v>
          </cell>
          <cell r="AX380" t="str">
            <v>CARNFR</v>
          </cell>
          <cell r="AY380" t="str">
            <v>Freestanding Range</v>
          </cell>
          <cell r="AZ380" t="str">
            <v>CARNFREO</v>
          </cell>
          <cell r="BA380" t="str">
            <v>Electric(Freestanding)</v>
          </cell>
        </row>
        <row r="381">
          <cell r="E381" t="str">
            <v>LREN6323ZE.BBDUNAG</v>
          </cell>
          <cell r="F381">
            <v>84</v>
          </cell>
          <cell r="G381">
            <v>0</v>
          </cell>
          <cell r="H381">
            <v>0</v>
          </cell>
          <cell r="I381">
            <v>168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84</v>
          </cell>
          <cell r="O381">
            <v>0</v>
          </cell>
          <cell r="P381">
            <v>84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 t="str">
            <v/>
          </cell>
          <cell r="AH381" t="str">
            <v/>
          </cell>
          <cell r="AI381" t="str">
            <v/>
          </cell>
          <cell r="AJ381" t="str">
            <v/>
          </cell>
          <cell r="AK381" t="str">
            <v>0.833009</v>
          </cell>
          <cell r="AL381" t="str">
            <v>1</v>
          </cell>
          <cell r="AM381" t="str">
            <v>F</v>
          </cell>
          <cell r="AN381" t="str">
            <v>M0</v>
          </cell>
          <cell r="AO381" t="str">
            <v>Active(Model)</v>
          </cell>
          <cell r="AP381" t="str">
            <v/>
          </cell>
          <cell r="AQ381" t="str">
            <v/>
          </cell>
          <cell r="AR381" t="str">
            <v>Y</v>
          </cell>
          <cell r="AS381" t="str">
            <v/>
          </cell>
          <cell r="AT381" t="str">
            <v>CA</v>
          </cell>
          <cell r="AU381" t="str">
            <v>Cooking Appliance</v>
          </cell>
          <cell r="AV381" t="str">
            <v>CARN</v>
          </cell>
          <cell r="AW381" t="str">
            <v>Range</v>
          </cell>
          <cell r="AX381" t="str">
            <v>CARNFR</v>
          </cell>
          <cell r="AY381" t="str">
            <v>Freestanding Range</v>
          </cell>
          <cell r="AZ381" t="str">
            <v>CARNFREO</v>
          </cell>
          <cell r="BA381" t="str">
            <v>Electric(Freestanding)</v>
          </cell>
        </row>
        <row r="382">
          <cell r="E382" t="str">
            <v>LREN6323ZE.QBDLLCA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20</v>
          </cell>
          <cell r="O382">
            <v>16</v>
          </cell>
          <cell r="P382">
            <v>20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 t="str">
            <v/>
          </cell>
          <cell r="AH382" t="str">
            <v/>
          </cell>
          <cell r="AI382" t="str">
            <v/>
          </cell>
          <cell r="AJ382" t="str">
            <v/>
          </cell>
          <cell r="AK382" t="str">
            <v>0.829793</v>
          </cell>
          <cell r="AL382" t="str">
            <v>1</v>
          </cell>
          <cell r="AM382" t="str">
            <v>F</v>
          </cell>
          <cell r="AN382" t="str">
            <v>M0</v>
          </cell>
          <cell r="AO382" t="str">
            <v>Active(Model)</v>
          </cell>
          <cell r="AP382" t="str">
            <v/>
          </cell>
          <cell r="AQ382" t="str">
            <v/>
          </cell>
          <cell r="AR382" t="str">
            <v>Y</v>
          </cell>
          <cell r="AS382" t="str">
            <v/>
          </cell>
          <cell r="AT382" t="str">
            <v>CA</v>
          </cell>
          <cell r="AU382" t="str">
            <v>Cooking Appliance</v>
          </cell>
          <cell r="AV382" t="str">
            <v>CARN</v>
          </cell>
          <cell r="AW382" t="str">
            <v>Range</v>
          </cell>
          <cell r="AX382" t="str">
            <v>CARNFR</v>
          </cell>
          <cell r="AY382" t="str">
            <v>Freestanding Range</v>
          </cell>
          <cell r="AZ382" t="str">
            <v>CARNFREO</v>
          </cell>
          <cell r="BA382" t="str">
            <v>Electric(Freestanding)</v>
          </cell>
        </row>
        <row r="383">
          <cell r="E383" t="str">
            <v>LREN6323ZE.QBDLLGA</v>
          </cell>
          <cell r="F383">
            <v>27</v>
          </cell>
          <cell r="G383">
            <v>0</v>
          </cell>
          <cell r="H383">
            <v>0</v>
          </cell>
          <cell r="I383">
            <v>27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106</v>
          </cell>
          <cell r="O383">
            <v>6</v>
          </cell>
          <cell r="P383">
            <v>106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 t="str">
            <v/>
          </cell>
          <cell r="AH383" t="str">
            <v/>
          </cell>
          <cell r="AI383" t="str">
            <v/>
          </cell>
          <cell r="AJ383" t="str">
            <v/>
          </cell>
          <cell r="AK383" t="str">
            <v>0.829793</v>
          </cell>
          <cell r="AL383" t="str">
            <v>1</v>
          </cell>
          <cell r="AM383" t="str">
            <v>F</v>
          </cell>
          <cell r="AN383" t="str">
            <v>M0</v>
          </cell>
          <cell r="AO383" t="str">
            <v>Active(Model)</v>
          </cell>
          <cell r="AP383" t="str">
            <v/>
          </cell>
          <cell r="AQ383" t="str">
            <v/>
          </cell>
          <cell r="AR383" t="str">
            <v>Y</v>
          </cell>
          <cell r="AS383" t="str">
            <v/>
          </cell>
          <cell r="AT383" t="str">
            <v>CA</v>
          </cell>
          <cell r="AU383" t="str">
            <v>Cooking Appliance</v>
          </cell>
          <cell r="AV383" t="str">
            <v>CARN</v>
          </cell>
          <cell r="AW383" t="str">
            <v>Range</v>
          </cell>
          <cell r="AX383" t="str">
            <v>CARNFR</v>
          </cell>
          <cell r="AY383" t="str">
            <v>Freestanding Range</v>
          </cell>
          <cell r="AZ383" t="str">
            <v>CARNFREO</v>
          </cell>
          <cell r="BA383" t="str">
            <v>Electric(Freestanding)</v>
          </cell>
        </row>
        <row r="384">
          <cell r="E384" t="str">
            <v>LREN6325XE.QRSLLCA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102</v>
          </cell>
          <cell r="O384">
            <v>100</v>
          </cell>
          <cell r="P384">
            <v>102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 t="str">
            <v/>
          </cell>
          <cell r="AH384" t="str">
            <v/>
          </cell>
          <cell r="AI384" t="str">
            <v/>
          </cell>
          <cell r="AJ384" t="str">
            <v/>
          </cell>
          <cell r="AK384" t="str">
            <v>0.829793</v>
          </cell>
          <cell r="AL384" t="str">
            <v>1</v>
          </cell>
          <cell r="AM384" t="str">
            <v>F</v>
          </cell>
          <cell r="AN384" t="str">
            <v>M0</v>
          </cell>
          <cell r="AO384" t="str">
            <v>Active(Model)</v>
          </cell>
          <cell r="AP384" t="str">
            <v/>
          </cell>
          <cell r="AQ384" t="str">
            <v/>
          </cell>
          <cell r="AR384" t="str">
            <v>Y</v>
          </cell>
          <cell r="AS384" t="str">
            <v/>
          </cell>
          <cell r="AT384" t="str">
            <v>CA</v>
          </cell>
          <cell r="AU384" t="str">
            <v>Cooking Appliance</v>
          </cell>
          <cell r="AV384" t="str">
            <v>CARN</v>
          </cell>
          <cell r="AW384" t="str">
            <v>Range</v>
          </cell>
          <cell r="AX384" t="str">
            <v>CARNFR</v>
          </cell>
          <cell r="AY384" t="str">
            <v>Freestanding Range</v>
          </cell>
          <cell r="AZ384" t="str">
            <v>CARNFREO</v>
          </cell>
          <cell r="BA384" t="str">
            <v>Electric(Freestanding)</v>
          </cell>
        </row>
        <row r="385">
          <cell r="E385" t="str">
            <v>LREN6325XE.QRSLLGA</v>
          </cell>
          <cell r="F385">
            <v>582</v>
          </cell>
          <cell r="G385">
            <v>0</v>
          </cell>
          <cell r="H385">
            <v>1</v>
          </cell>
          <cell r="I385">
            <v>583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907</v>
          </cell>
          <cell r="O385">
            <v>578</v>
          </cell>
          <cell r="P385">
            <v>907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 t="str">
            <v/>
          </cell>
          <cell r="AH385" t="str">
            <v/>
          </cell>
          <cell r="AI385" t="str">
            <v/>
          </cell>
          <cell r="AJ385" t="str">
            <v/>
          </cell>
          <cell r="AK385" t="str">
            <v>0.829793</v>
          </cell>
          <cell r="AL385" t="str">
            <v>1</v>
          </cell>
          <cell r="AM385" t="str">
            <v>F</v>
          </cell>
          <cell r="AN385" t="str">
            <v>M0</v>
          </cell>
          <cell r="AO385" t="str">
            <v>Active(Model)</v>
          </cell>
          <cell r="AP385" t="str">
            <v/>
          </cell>
          <cell r="AQ385" t="str">
            <v/>
          </cell>
          <cell r="AR385" t="str">
            <v>Y</v>
          </cell>
          <cell r="AS385" t="str">
            <v/>
          </cell>
          <cell r="AT385" t="str">
            <v>CA</v>
          </cell>
          <cell r="AU385" t="str">
            <v>Cooking Appliance</v>
          </cell>
          <cell r="AV385" t="str">
            <v>CARN</v>
          </cell>
          <cell r="AW385" t="str">
            <v>Range</v>
          </cell>
          <cell r="AX385" t="str">
            <v>CARNFR</v>
          </cell>
          <cell r="AY385" t="str">
            <v>Freestanding Range</v>
          </cell>
          <cell r="AZ385" t="str">
            <v>CARNFREO</v>
          </cell>
          <cell r="BA385" t="str">
            <v>Electric(Freestanding)</v>
          </cell>
        </row>
        <row r="386">
          <cell r="E386" t="str">
            <v>LREN6325XE.QRSLLPC</v>
          </cell>
          <cell r="F386">
            <v>0</v>
          </cell>
          <cell r="G386">
            <v>0</v>
          </cell>
          <cell r="H386">
            <v>0</v>
          </cell>
          <cell r="I386">
            <v>84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84</v>
          </cell>
          <cell r="O386">
            <v>0</v>
          </cell>
          <cell r="P386">
            <v>84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 t="str">
            <v/>
          </cell>
          <cell r="AH386" t="str">
            <v/>
          </cell>
          <cell r="AI386" t="str">
            <v/>
          </cell>
          <cell r="AJ386" t="str">
            <v/>
          </cell>
          <cell r="AK386" t="str">
            <v>0.829793</v>
          </cell>
          <cell r="AL386" t="str">
            <v>1</v>
          </cell>
          <cell r="AM386" t="str">
            <v>F</v>
          </cell>
          <cell r="AN386" t="str">
            <v>M0</v>
          </cell>
          <cell r="AO386" t="str">
            <v>Active(Model)</v>
          </cell>
          <cell r="AP386" t="str">
            <v/>
          </cell>
          <cell r="AQ386" t="str">
            <v/>
          </cell>
          <cell r="AR386" t="str">
            <v>Y</v>
          </cell>
          <cell r="AS386" t="str">
            <v/>
          </cell>
          <cell r="AT386" t="str">
            <v>CA</v>
          </cell>
          <cell r="AU386" t="str">
            <v>Cooking Appliance</v>
          </cell>
          <cell r="AV386" t="str">
            <v>CARN</v>
          </cell>
          <cell r="AW386" t="str">
            <v>Range</v>
          </cell>
          <cell r="AX386" t="str">
            <v>CARNFR</v>
          </cell>
          <cell r="AY386" t="str">
            <v>Freestanding Range</v>
          </cell>
          <cell r="AZ386" t="str">
            <v>CARNFREO</v>
          </cell>
          <cell r="BA386" t="str">
            <v>Electric(Freestanding)</v>
          </cell>
        </row>
        <row r="387">
          <cell r="E387" t="str">
            <v>LREN6325ZE.BBDUNAG</v>
          </cell>
          <cell r="F387">
            <v>124</v>
          </cell>
          <cell r="G387">
            <v>0</v>
          </cell>
          <cell r="H387">
            <v>0</v>
          </cell>
          <cell r="I387">
            <v>208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84</v>
          </cell>
          <cell r="O387">
            <v>0</v>
          </cell>
          <cell r="P387">
            <v>84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 t="str">
            <v/>
          </cell>
          <cell r="AH387" t="str">
            <v/>
          </cell>
          <cell r="AI387" t="str">
            <v/>
          </cell>
          <cell r="AJ387" t="str">
            <v/>
          </cell>
          <cell r="AK387" t="str">
            <v>0.833009</v>
          </cell>
          <cell r="AL387" t="str">
            <v>1</v>
          </cell>
          <cell r="AM387" t="str">
            <v>F</v>
          </cell>
          <cell r="AN387" t="str">
            <v>M0</v>
          </cell>
          <cell r="AO387" t="str">
            <v>Active(Model)</v>
          </cell>
          <cell r="AP387" t="str">
            <v/>
          </cell>
          <cell r="AQ387" t="str">
            <v/>
          </cell>
          <cell r="AR387" t="str">
            <v>Y</v>
          </cell>
          <cell r="AS387" t="str">
            <v/>
          </cell>
          <cell r="AT387" t="str">
            <v>CA</v>
          </cell>
          <cell r="AU387" t="str">
            <v>Cooking Appliance</v>
          </cell>
          <cell r="AV387" t="str">
            <v>CARN</v>
          </cell>
          <cell r="AW387" t="str">
            <v>Range</v>
          </cell>
          <cell r="AX387" t="str">
            <v>CARNFR</v>
          </cell>
          <cell r="AY387" t="str">
            <v>Freestanding Range</v>
          </cell>
          <cell r="AZ387" t="str">
            <v>CARNFREO</v>
          </cell>
          <cell r="BA387" t="str">
            <v>Electric(Freestanding)</v>
          </cell>
        </row>
        <row r="388">
          <cell r="E388" t="str">
            <v>LREN6325ZE.QBDLLGA</v>
          </cell>
          <cell r="F388">
            <v>138</v>
          </cell>
          <cell r="G388">
            <v>0</v>
          </cell>
          <cell r="H388">
            <v>0</v>
          </cell>
          <cell r="I388">
            <v>138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254</v>
          </cell>
          <cell r="O388">
            <v>106</v>
          </cell>
          <cell r="P388">
            <v>254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str">
            <v/>
          </cell>
          <cell r="AH388" t="str">
            <v/>
          </cell>
          <cell r="AI388" t="str">
            <v/>
          </cell>
          <cell r="AJ388" t="str">
            <v/>
          </cell>
          <cell r="AK388" t="str">
            <v>0.829793</v>
          </cell>
          <cell r="AL388" t="str">
            <v>1</v>
          </cell>
          <cell r="AM388" t="str">
            <v>F</v>
          </cell>
          <cell r="AN388" t="str">
            <v>M0</v>
          </cell>
          <cell r="AO388" t="str">
            <v>Active(Model)</v>
          </cell>
          <cell r="AP388" t="str">
            <v/>
          </cell>
          <cell r="AQ388" t="str">
            <v/>
          </cell>
          <cell r="AR388" t="str">
            <v>Y</v>
          </cell>
          <cell r="AS388" t="str">
            <v/>
          </cell>
          <cell r="AT388" t="str">
            <v>CA</v>
          </cell>
          <cell r="AU388" t="str">
            <v>Cooking Appliance</v>
          </cell>
          <cell r="AV388" t="str">
            <v>CARN</v>
          </cell>
          <cell r="AW388" t="str">
            <v>Range</v>
          </cell>
          <cell r="AX388" t="str">
            <v>CARNFR</v>
          </cell>
          <cell r="AY388" t="str">
            <v>Freestanding Range</v>
          </cell>
          <cell r="AZ388" t="str">
            <v>CARNFREO</v>
          </cell>
          <cell r="BA388" t="str">
            <v>Electric(Freestanding)</v>
          </cell>
        </row>
        <row r="389">
          <cell r="E389" t="str">
            <v>LRFCS29D6S.ASTCNA3</v>
          </cell>
          <cell r="F389">
            <v>0</v>
          </cell>
          <cell r="G389">
            <v>0</v>
          </cell>
          <cell r="H389">
            <v>1</v>
          </cell>
          <cell r="I389">
            <v>1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 t="str">
            <v/>
          </cell>
          <cell r="AH389" t="str">
            <v/>
          </cell>
          <cell r="AI389" t="str">
            <v/>
          </cell>
          <cell r="AJ389" t="str">
            <v/>
          </cell>
          <cell r="AK389" t="str">
            <v>1.613606</v>
          </cell>
          <cell r="AL389" t="str">
            <v>1</v>
          </cell>
          <cell r="AM389" t="str">
            <v>F</v>
          </cell>
          <cell r="AN389" t="str">
            <v>M0</v>
          </cell>
          <cell r="AO389" t="str">
            <v>Active(Model)</v>
          </cell>
          <cell r="AP389" t="str">
            <v/>
          </cell>
          <cell r="AQ389" t="str">
            <v/>
          </cell>
          <cell r="AR389" t="str">
            <v>Y</v>
          </cell>
          <cell r="AS389" t="str">
            <v/>
          </cell>
          <cell r="AT389" t="str">
            <v>RF</v>
          </cell>
          <cell r="AU389" t="str">
            <v>Refrigerator</v>
          </cell>
          <cell r="AV389" t="str">
            <v>RFBF</v>
          </cell>
          <cell r="AW389" t="str">
            <v>Bottom Freezer</v>
          </cell>
          <cell r="AX389" t="str">
            <v>RFBFFD</v>
          </cell>
          <cell r="AY389" t="str">
            <v>French Door Drawer</v>
          </cell>
          <cell r="AZ389" t="str">
            <v>RFBFFD3D</v>
          </cell>
          <cell r="BA389" t="str">
            <v>3D F/D Drawer</v>
          </cell>
        </row>
        <row r="390">
          <cell r="E390" t="str">
            <v>LRFS28XBD.ASBCNA3</v>
          </cell>
          <cell r="F390">
            <v>348</v>
          </cell>
          <cell r="G390">
            <v>0</v>
          </cell>
          <cell r="H390">
            <v>59</v>
          </cell>
          <cell r="I390">
            <v>478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208</v>
          </cell>
          <cell r="O390">
            <v>69</v>
          </cell>
          <cell r="P390">
            <v>208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 t="str">
            <v/>
          </cell>
          <cell r="AH390" t="str">
            <v/>
          </cell>
          <cell r="AI390" t="str">
            <v/>
          </cell>
          <cell r="AJ390" t="str">
            <v/>
          </cell>
          <cell r="AK390" t="str">
            <v>1.613606</v>
          </cell>
          <cell r="AL390" t="str">
            <v>1</v>
          </cell>
          <cell r="AM390" t="str">
            <v>F</v>
          </cell>
          <cell r="AN390" t="str">
            <v>M0</v>
          </cell>
          <cell r="AO390" t="str">
            <v>Active(Model)</v>
          </cell>
          <cell r="AP390" t="str">
            <v/>
          </cell>
          <cell r="AQ390" t="str">
            <v/>
          </cell>
          <cell r="AR390" t="str">
            <v>Y</v>
          </cell>
          <cell r="AS390" t="str">
            <v/>
          </cell>
          <cell r="AT390" t="str">
            <v>RF</v>
          </cell>
          <cell r="AU390" t="str">
            <v>Refrigerator</v>
          </cell>
          <cell r="AV390" t="str">
            <v>RFBF</v>
          </cell>
          <cell r="AW390" t="str">
            <v>Bottom Freezer</v>
          </cell>
          <cell r="AX390" t="str">
            <v>RFBFFD</v>
          </cell>
          <cell r="AY390" t="str">
            <v>French Door Drawer</v>
          </cell>
          <cell r="AZ390" t="str">
            <v>RFBFFD3D</v>
          </cell>
          <cell r="BA390" t="str">
            <v>3D F/D Drawer</v>
          </cell>
        </row>
        <row r="391">
          <cell r="E391" t="str">
            <v>LRFS28XBS.ASTCNA3</v>
          </cell>
          <cell r="F391">
            <v>2343</v>
          </cell>
          <cell r="G391">
            <v>0</v>
          </cell>
          <cell r="H391">
            <v>242</v>
          </cell>
          <cell r="I391">
            <v>2637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1969</v>
          </cell>
          <cell r="O391">
            <v>570</v>
          </cell>
          <cell r="P391">
            <v>1969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str">
            <v/>
          </cell>
          <cell r="AH391" t="str">
            <v/>
          </cell>
          <cell r="AI391" t="str">
            <v/>
          </cell>
          <cell r="AJ391" t="str">
            <v/>
          </cell>
          <cell r="AK391" t="str">
            <v>1.613606</v>
          </cell>
          <cell r="AL391" t="str">
            <v>1</v>
          </cell>
          <cell r="AM391" t="str">
            <v>F</v>
          </cell>
          <cell r="AN391" t="str">
            <v>M0</v>
          </cell>
          <cell r="AO391" t="str">
            <v>Active(Model)</v>
          </cell>
          <cell r="AP391" t="str">
            <v/>
          </cell>
          <cell r="AQ391" t="str">
            <v/>
          </cell>
          <cell r="AR391" t="str">
            <v>Y</v>
          </cell>
          <cell r="AS391" t="str">
            <v/>
          </cell>
          <cell r="AT391" t="str">
            <v>RF</v>
          </cell>
          <cell r="AU391" t="str">
            <v>Refrigerator</v>
          </cell>
          <cell r="AV391" t="str">
            <v>RFBF</v>
          </cell>
          <cell r="AW391" t="str">
            <v>Bottom Freezer</v>
          </cell>
          <cell r="AX391" t="str">
            <v>RFBFFD</v>
          </cell>
          <cell r="AY391" t="str">
            <v>French Door Drawer</v>
          </cell>
          <cell r="AZ391" t="str">
            <v>RFBFFD3D</v>
          </cell>
          <cell r="BA391" t="str">
            <v>3D F/D Drawer</v>
          </cell>
        </row>
        <row r="392">
          <cell r="E392" t="str">
            <v>LRMXS2806S.ASTCNA3</v>
          </cell>
          <cell r="F392">
            <v>704</v>
          </cell>
          <cell r="G392">
            <v>0</v>
          </cell>
          <cell r="H392">
            <v>154</v>
          </cell>
          <cell r="I392">
            <v>858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2624</v>
          </cell>
          <cell r="O392">
            <v>847</v>
          </cell>
          <cell r="P392">
            <v>2624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 t="str">
            <v/>
          </cell>
          <cell r="AH392" t="str">
            <v/>
          </cell>
          <cell r="AI392" t="str">
            <v/>
          </cell>
          <cell r="AJ392" t="str">
            <v/>
          </cell>
          <cell r="AK392" t="str">
            <v>1.659064</v>
          </cell>
          <cell r="AL392" t="str">
            <v>1</v>
          </cell>
          <cell r="AM392" t="str">
            <v>F</v>
          </cell>
          <cell r="AN392" t="str">
            <v>M0</v>
          </cell>
          <cell r="AO392" t="str">
            <v>Active(Model)</v>
          </cell>
          <cell r="AP392" t="str">
            <v/>
          </cell>
          <cell r="AQ392" t="str">
            <v/>
          </cell>
          <cell r="AR392" t="str">
            <v>Y</v>
          </cell>
          <cell r="AS392" t="str">
            <v/>
          </cell>
          <cell r="AT392" t="str">
            <v>RF</v>
          </cell>
          <cell r="AU392" t="str">
            <v>Refrigerator</v>
          </cell>
          <cell r="AV392" t="str">
            <v>RFBF</v>
          </cell>
          <cell r="AW392" t="str">
            <v>Bottom Freezer</v>
          </cell>
          <cell r="AX392" t="str">
            <v>RFBFFD</v>
          </cell>
          <cell r="AY392" t="str">
            <v>French Door Drawer</v>
          </cell>
          <cell r="AZ392" t="str">
            <v>RFBFFD4D</v>
          </cell>
          <cell r="BA392" t="str">
            <v>4D F/D Drawer</v>
          </cell>
        </row>
        <row r="393">
          <cell r="E393" t="str">
            <v>LS27T3230S.ASTCNA0</v>
          </cell>
          <cell r="F393">
            <v>57</v>
          </cell>
          <cell r="G393">
            <v>0</v>
          </cell>
          <cell r="H393">
            <v>1</v>
          </cell>
          <cell r="I393">
            <v>58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56</v>
          </cell>
          <cell r="O393">
            <v>104</v>
          </cell>
          <cell r="P393">
            <v>56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 t="str">
            <v/>
          </cell>
          <cell r="AH393" t="str">
            <v/>
          </cell>
          <cell r="AI393" t="str">
            <v/>
          </cell>
          <cell r="AJ393" t="str">
            <v/>
          </cell>
          <cell r="AK393" t="str">
            <v>1.617363</v>
          </cell>
          <cell r="AL393" t="str">
            <v>1</v>
          </cell>
          <cell r="AM393" t="str">
            <v>F</v>
          </cell>
          <cell r="AN393" t="str">
            <v>M0</v>
          </cell>
          <cell r="AO393" t="str">
            <v>Active(Model)</v>
          </cell>
          <cell r="AP393" t="str">
            <v/>
          </cell>
          <cell r="AQ393" t="str">
            <v/>
          </cell>
          <cell r="AR393" t="str">
            <v>Y</v>
          </cell>
          <cell r="AS393" t="str">
            <v/>
          </cell>
          <cell r="AT393" t="str">
            <v>RF</v>
          </cell>
          <cell r="AU393" t="str">
            <v>Refrigerator</v>
          </cell>
          <cell r="AV393" t="str">
            <v>RFSS</v>
          </cell>
          <cell r="AW393" t="str">
            <v>SxS</v>
          </cell>
          <cell r="AX393" t="str">
            <v>RFSSSS</v>
          </cell>
          <cell r="AY393" t="str">
            <v>SxS</v>
          </cell>
          <cell r="AZ393" t="str">
            <v>RFSSSS27</v>
          </cell>
          <cell r="BA393" t="str">
            <v>SxS 27CU</v>
          </cell>
        </row>
        <row r="394">
          <cell r="E394" t="str">
            <v>LSEL6331XE.BRSLLCA</v>
          </cell>
          <cell r="F394">
            <v>252</v>
          </cell>
          <cell r="G394">
            <v>0</v>
          </cell>
          <cell r="H394">
            <v>0</v>
          </cell>
          <cell r="I394">
            <v>252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101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 t="str">
            <v/>
          </cell>
          <cell r="AH394" t="str">
            <v/>
          </cell>
          <cell r="AI394" t="str">
            <v/>
          </cell>
          <cell r="AJ394" t="str">
            <v/>
          </cell>
          <cell r="AK394" t="str">
            <v>0.707575</v>
          </cell>
          <cell r="AL394" t="str">
            <v>1</v>
          </cell>
          <cell r="AM394" t="str">
            <v>F</v>
          </cell>
          <cell r="AN394" t="str">
            <v>M0</v>
          </cell>
          <cell r="AO394" t="str">
            <v>Active(Model)</v>
          </cell>
          <cell r="AP394" t="str">
            <v/>
          </cell>
          <cell r="AQ394" t="str">
            <v/>
          </cell>
          <cell r="AR394" t="str">
            <v>Y</v>
          </cell>
          <cell r="AS394" t="str">
            <v/>
          </cell>
          <cell r="AT394" t="str">
            <v>CA</v>
          </cell>
          <cell r="AU394" t="str">
            <v>Cooking Appliance</v>
          </cell>
          <cell r="AV394" t="str">
            <v>CARN</v>
          </cell>
          <cell r="AW394" t="str">
            <v>Range</v>
          </cell>
          <cell r="AX394" t="str">
            <v>CARNSR</v>
          </cell>
          <cell r="AY394" t="str">
            <v>Slide In Range</v>
          </cell>
          <cell r="AZ394" t="str">
            <v>CARNSREO</v>
          </cell>
          <cell r="BA394" t="str">
            <v>Electric(Slide)</v>
          </cell>
        </row>
        <row r="395">
          <cell r="E395" t="str">
            <v>LSEL6333XE.QRSLLCA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87</v>
          </cell>
          <cell r="O395">
            <v>288</v>
          </cell>
          <cell r="P395">
            <v>87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 t="str">
            <v/>
          </cell>
          <cell r="AH395" t="str">
            <v/>
          </cell>
          <cell r="AI395" t="str">
            <v/>
          </cell>
          <cell r="AJ395" t="str">
            <v/>
          </cell>
          <cell r="AK395" t="str">
            <v>0.707575</v>
          </cell>
          <cell r="AL395" t="str">
            <v>1</v>
          </cell>
          <cell r="AM395" t="str">
            <v>F</v>
          </cell>
          <cell r="AN395" t="str">
            <v>M0</v>
          </cell>
          <cell r="AO395" t="str">
            <v>Active(Model)</v>
          </cell>
          <cell r="AP395" t="str">
            <v/>
          </cell>
          <cell r="AQ395" t="str">
            <v/>
          </cell>
          <cell r="AR395" t="str">
            <v>Y</v>
          </cell>
          <cell r="AS395" t="str">
            <v/>
          </cell>
          <cell r="AT395" t="str">
            <v>CA</v>
          </cell>
          <cell r="AU395" t="str">
            <v>Cooking Appliance</v>
          </cell>
          <cell r="AV395" t="str">
            <v>CARN</v>
          </cell>
          <cell r="AW395" t="str">
            <v>Range</v>
          </cell>
          <cell r="AX395" t="str">
            <v>CARNSR</v>
          </cell>
          <cell r="AY395" t="str">
            <v>Slide In Range</v>
          </cell>
          <cell r="AZ395" t="str">
            <v>CARNSREO</v>
          </cell>
          <cell r="BA395" t="str">
            <v>Electric(Slide)</v>
          </cell>
        </row>
        <row r="396">
          <cell r="E396" t="str">
            <v>LSEL6333XE.QRSLLGA</v>
          </cell>
          <cell r="F396">
            <v>125</v>
          </cell>
          <cell r="G396">
            <v>0</v>
          </cell>
          <cell r="H396">
            <v>0</v>
          </cell>
          <cell r="I396">
            <v>125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459</v>
          </cell>
          <cell r="O396">
            <v>92</v>
          </cell>
          <cell r="P396">
            <v>459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 t="str">
            <v/>
          </cell>
          <cell r="AH396" t="str">
            <v/>
          </cell>
          <cell r="AI396" t="str">
            <v/>
          </cell>
          <cell r="AJ396" t="str">
            <v/>
          </cell>
          <cell r="AK396" t="str">
            <v>0.707575</v>
          </cell>
          <cell r="AL396" t="str">
            <v>1</v>
          </cell>
          <cell r="AM396" t="str">
            <v>F</v>
          </cell>
          <cell r="AN396" t="str">
            <v>M0</v>
          </cell>
          <cell r="AO396" t="str">
            <v>Active(Model)</v>
          </cell>
          <cell r="AP396" t="str">
            <v/>
          </cell>
          <cell r="AQ396" t="str">
            <v/>
          </cell>
          <cell r="AR396" t="str">
            <v>Y</v>
          </cell>
          <cell r="AS396" t="str">
            <v/>
          </cell>
          <cell r="AT396" t="str">
            <v>CA</v>
          </cell>
          <cell r="AU396" t="str">
            <v>Cooking Appliance</v>
          </cell>
          <cell r="AV396" t="str">
            <v>CARN</v>
          </cell>
          <cell r="AW396" t="str">
            <v>Range</v>
          </cell>
          <cell r="AX396" t="str">
            <v>CARNSR</v>
          </cell>
          <cell r="AY396" t="str">
            <v>Slide In Range</v>
          </cell>
          <cell r="AZ396" t="str">
            <v>CARNSREO</v>
          </cell>
          <cell r="BA396" t="str">
            <v>Electric(Slide)</v>
          </cell>
        </row>
        <row r="397">
          <cell r="E397" t="str">
            <v>LSEL6333ZE.QBDLLCA</v>
          </cell>
          <cell r="F397">
            <v>60</v>
          </cell>
          <cell r="G397">
            <v>0</v>
          </cell>
          <cell r="H397">
            <v>0</v>
          </cell>
          <cell r="I397">
            <v>60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18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 t="str">
            <v/>
          </cell>
          <cell r="AH397" t="str">
            <v/>
          </cell>
          <cell r="AI397" t="str">
            <v/>
          </cell>
          <cell r="AJ397" t="str">
            <v/>
          </cell>
          <cell r="AK397" t="str">
            <v>0.704359</v>
          </cell>
          <cell r="AL397" t="str">
            <v>1</v>
          </cell>
          <cell r="AM397" t="str">
            <v>F</v>
          </cell>
          <cell r="AN397" t="str">
            <v>M0</v>
          </cell>
          <cell r="AO397" t="str">
            <v>Active(Model)</v>
          </cell>
          <cell r="AP397" t="str">
            <v/>
          </cell>
          <cell r="AQ397" t="str">
            <v/>
          </cell>
          <cell r="AR397" t="str">
            <v>Y</v>
          </cell>
          <cell r="AS397" t="str">
            <v/>
          </cell>
          <cell r="AT397" t="str">
            <v>CA</v>
          </cell>
          <cell r="AU397" t="str">
            <v>Cooking Appliance</v>
          </cell>
          <cell r="AV397" t="str">
            <v>CARN</v>
          </cell>
          <cell r="AW397" t="str">
            <v>Range</v>
          </cell>
          <cell r="AX397" t="str">
            <v>CARNSR</v>
          </cell>
          <cell r="AY397" t="str">
            <v>Slide In Range</v>
          </cell>
          <cell r="AZ397" t="str">
            <v>CARNSREO</v>
          </cell>
          <cell r="BA397" t="str">
            <v>Electric(Slide)</v>
          </cell>
        </row>
        <row r="398">
          <cell r="E398" t="str">
            <v>LSEL6333ZE.QBDLLGA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100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str">
            <v/>
          </cell>
          <cell r="AH398" t="str">
            <v/>
          </cell>
          <cell r="AI398" t="str">
            <v/>
          </cell>
          <cell r="AJ398" t="str">
            <v/>
          </cell>
          <cell r="AK398" t="str">
            <v>0.704359</v>
          </cell>
          <cell r="AL398" t="str">
            <v>1</v>
          </cell>
          <cell r="AM398" t="str">
            <v>F</v>
          </cell>
          <cell r="AN398" t="str">
            <v>M0</v>
          </cell>
          <cell r="AO398" t="str">
            <v>Active(Model)</v>
          </cell>
          <cell r="AP398" t="str">
            <v/>
          </cell>
          <cell r="AQ398" t="str">
            <v/>
          </cell>
          <cell r="AR398" t="str">
            <v>Y</v>
          </cell>
          <cell r="AS398" t="str">
            <v/>
          </cell>
          <cell r="AT398" t="str">
            <v>CA</v>
          </cell>
          <cell r="AU398" t="str">
            <v>Cooking Appliance</v>
          </cell>
          <cell r="AV398" t="str">
            <v>CARN</v>
          </cell>
          <cell r="AW398" t="str">
            <v>Range</v>
          </cell>
          <cell r="AX398" t="str">
            <v>CARNSR</v>
          </cell>
          <cell r="AY398" t="str">
            <v>Slide In Range</v>
          </cell>
          <cell r="AZ398" t="str">
            <v>CARNSREO</v>
          </cell>
          <cell r="BA398" t="str">
            <v>Electric(Slide)</v>
          </cell>
        </row>
        <row r="399">
          <cell r="E399" t="str">
            <v>LSEL6335XE.QRSLLCA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20</v>
          </cell>
          <cell r="O399">
            <v>0</v>
          </cell>
          <cell r="P399">
            <v>20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 t="str">
            <v/>
          </cell>
          <cell r="AH399" t="str">
            <v/>
          </cell>
          <cell r="AI399" t="str">
            <v/>
          </cell>
          <cell r="AJ399" t="str">
            <v/>
          </cell>
          <cell r="AK399" t="str">
            <v>0.707575</v>
          </cell>
          <cell r="AL399" t="str">
            <v>1</v>
          </cell>
          <cell r="AM399" t="str">
            <v>F</v>
          </cell>
          <cell r="AN399" t="str">
            <v>M0</v>
          </cell>
          <cell r="AO399" t="str">
            <v>Active(Model)</v>
          </cell>
          <cell r="AP399" t="str">
            <v/>
          </cell>
          <cell r="AQ399" t="str">
            <v/>
          </cell>
          <cell r="AR399" t="str">
            <v>Y</v>
          </cell>
          <cell r="AS399" t="str">
            <v/>
          </cell>
          <cell r="AT399" t="str">
            <v>CA</v>
          </cell>
          <cell r="AU399" t="str">
            <v>Cooking Appliance</v>
          </cell>
          <cell r="AV399" t="str">
            <v>CARN</v>
          </cell>
          <cell r="AW399" t="str">
            <v>Range</v>
          </cell>
          <cell r="AX399" t="str">
            <v>CARNSR</v>
          </cell>
          <cell r="AY399" t="str">
            <v>Slide In Range</v>
          </cell>
          <cell r="AZ399" t="str">
            <v>CARNSREO</v>
          </cell>
          <cell r="BA399" t="str">
            <v>Electric(Slide)</v>
          </cell>
        </row>
        <row r="400">
          <cell r="E400" t="str">
            <v>LSEL6335XE.QRSLLGA</v>
          </cell>
          <cell r="F400">
            <v>449</v>
          </cell>
          <cell r="G400">
            <v>0</v>
          </cell>
          <cell r="H400">
            <v>0</v>
          </cell>
          <cell r="I400">
            <v>449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265</v>
          </cell>
          <cell r="O400">
            <v>23</v>
          </cell>
          <cell r="P400">
            <v>265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 t="str">
            <v/>
          </cell>
          <cell r="AH400" t="str">
            <v/>
          </cell>
          <cell r="AI400" t="str">
            <v/>
          </cell>
          <cell r="AJ400" t="str">
            <v/>
          </cell>
          <cell r="AK400" t="str">
            <v>0.707575</v>
          </cell>
          <cell r="AL400" t="str">
            <v>1</v>
          </cell>
          <cell r="AM400" t="str">
            <v>F</v>
          </cell>
          <cell r="AN400" t="str">
            <v>M0</v>
          </cell>
          <cell r="AO400" t="str">
            <v>Active(Model)</v>
          </cell>
          <cell r="AP400" t="str">
            <v/>
          </cell>
          <cell r="AQ400" t="str">
            <v/>
          </cell>
          <cell r="AR400" t="str">
            <v>Y</v>
          </cell>
          <cell r="AS400" t="str">
            <v/>
          </cell>
          <cell r="AT400" t="str">
            <v>CA</v>
          </cell>
          <cell r="AU400" t="str">
            <v>Cooking Appliance</v>
          </cell>
          <cell r="AV400" t="str">
            <v>CARN</v>
          </cell>
          <cell r="AW400" t="str">
            <v>Range</v>
          </cell>
          <cell r="AX400" t="str">
            <v>CARNSR</v>
          </cell>
          <cell r="AY400" t="str">
            <v>Slide In Range</v>
          </cell>
          <cell r="AZ400" t="str">
            <v>CARNSREO</v>
          </cell>
          <cell r="BA400" t="str">
            <v>Electric(Slide)</v>
          </cell>
        </row>
        <row r="401">
          <cell r="E401" t="str">
            <v>LSEL6335ZE.QBDLLGA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4</v>
          </cell>
          <cell r="O401">
            <v>0</v>
          </cell>
          <cell r="P401">
            <v>4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 t="str">
            <v/>
          </cell>
          <cell r="AH401" t="str">
            <v/>
          </cell>
          <cell r="AI401" t="str">
            <v/>
          </cell>
          <cell r="AJ401" t="str">
            <v/>
          </cell>
          <cell r="AK401" t="str">
            <v>0.704359</v>
          </cell>
          <cell r="AL401" t="str">
            <v>1</v>
          </cell>
          <cell r="AM401" t="str">
            <v>F</v>
          </cell>
          <cell r="AN401" t="str">
            <v>M0</v>
          </cell>
          <cell r="AO401" t="str">
            <v>Active(Model)</v>
          </cell>
          <cell r="AP401" t="str">
            <v/>
          </cell>
          <cell r="AQ401" t="str">
            <v/>
          </cell>
          <cell r="AR401" t="str">
            <v>Y</v>
          </cell>
          <cell r="AS401" t="str">
            <v/>
          </cell>
          <cell r="AT401" t="str">
            <v>CA</v>
          </cell>
          <cell r="AU401" t="str">
            <v>Cooking Appliance</v>
          </cell>
          <cell r="AV401" t="str">
            <v>CARN</v>
          </cell>
          <cell r="AW401" t="str">
            <v>Range</v>
          </cell>
          <cell r="AX401" t="str">
            <v>CARNSR</v>
          </cell>
          <cell r="AY401" t="str">
            <v>Slide In Range</v>
          </cell>
          <cell r="AZ401" t="str">
            <v>CARNSREO</v>
          </cell>
          <cell r="BA401" t="str">
            <v>Electric(Slide)</v>
          </cell>
        </row>
        <row r="402">
          <cell r="E402" t="str">
            <v>LSEL6337XE.QRSLLCA</v>
          </cell>
          <cell r="F402">
            <v>45</v>
          </cell>
          <cell r="G402">
            <v>0</v>
          </cell>
          <cell r="H402">
            <v>0</v>
          </cell>
          <cell r="I402">
            <v>45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4</v>
          </cell>
          <cell r="O402">
            <v>0</v>
          </cell>
          <cell r="P402">
            <v>4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str">
            <v/>
          </cell>
          <cell r="AH402" t="str">
            <v/>
          </cell>
          <cell r="AI402" t="str">
            <v/>
          </cell>
          <cell r="AJ402" t="str">
            <v/>
          </cell>
          <cell r="AK402" t="str">
            <v>0.707575</v>
          </cell>
          <cell r="AL402" t="str">
            <v>1</v>
          </cell>
          <cell r="AM402" t="str">
            <v>F</v>
          </cell>
          <cell r="AN402" t="str">
            <v>M0</v>
          </cell>
          <cell r="AO402" t="str">
            <v>Active(Model)</v>
          </cell>
          <cell r="AP402" t="str">
            <v/>
          </cell>
          <cell r="AQ402" t="str">
            <v/>
          </cell>
          <cell r="AR402" t="str">
            <v>Y</v>
          </cell>
          <cell r="AS402" t="str">
            <v/>
          </cell>
          <cell r="AT402" t="str">
            <v>CA</v>
          </cell>
          <cell r="AU402" t="str">
            <v>Cooking Appliance</v>
          </cell>
          <cell r="AV402" t="str">
            <v>CARN</v>
          </cell>
          <cell r="AW402" t="str">
            <v>Range</v>
          </cell>
          <cell r="AX402" t="str">
            <v>CARNSR</v>
          </cell>
          <cell r="AY402" t="str">
            <v>Slide In Range</v>
          </cell>
          <cell r="AZ402" t="str">
            <v>CARNSREO</v>
          </cell>
          <cell r="BA402" t="str">
            <v>Electric(Slide)</v>
          </cell>
        </row>
        <row r="403">
          <cell r="E403" t="str">
            <v>LSEL6337XE.QRSLLGA</v>
          </cell>
          <cell r="F403">
            <v>100</v>
          </cell>
          <cell r="G403">
            <v>0</v>
          </cell>
          <cell r="H403">
            <v>0</v>
          </cell>
          <cell r="I403">
            <v>100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88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 t="str">
            <v/>
          </cell>
          <cell r="AH403" t="str">
            <v/>
          </cell>
          <cell r="AI403" t="str">
            <v/>
          </cell>
          <cell r="AJ403" t="str">
            <v/>
          </cell>
          <cell r="AK403" t="str">
            <v>0.707575</v>
          </cell>
          <cell r="AL403" t="str">
            <v>1</v>
          </cell>
          <cell r="AM403" t="str">
            <v>F</v>
          </cell>
          <cell r="AN403" t="str">
            <v>M0</v>
          </cell>
          <cell r="AO403" t="str">
            <v>Active(Model)</v>
          </cell>
          <cell r="AP403" t="str">
            <v/>
          </cell>
          <cell r="AQ403" t="str">
            <v/>
          </cell>
          <cell r="AR403" t="str">
            <v>Y</v>
          </cell>
          <cell r="AS403" t="str">
            <v/>
          </cell>
          <cell r="AT403" t="str">
            <v>CA</v>
          </cell>
          <cell r="AU403" t="str">
            <v>Cooking Appliance</v>
          </cell>
          <cell r="AV403" t="str">
            <v>CARN</v>
          </cell>
          <cell r="AW403" t="str">
            <v>Range</v>
          </cell>
          <cell r="AX403" t="str">
            <v>CARNSR</v>
          </cell>
          <cell r="AY403" t="str">
            <v>Slide In Range</v>
          </cell>
          <cell r="AZ403" t="str">
            <v>CARNSREO</v>
          </cell>
          <cell r="BA403" t="str">
            <v>Electric(Slide)</v>
          </cell>
        </row>
        <row r="404">
          <cell r="E404" t="str">
            <v>LSEL633CXE.BRSLLCA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213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 t="str">
            <v/>
          </cell>
          <cell r="AH404" t="str">
            <v/>
          </cell>
          <cell r="AI404" t="str">
            <v/>
          </cell>
          <cell r="AJ404" t="str">
            <v/>
          </cell>
          <cell r="AK404" t="str">
            <v>0.707575</v>
          </cell>
          <cell r="AL404" t="str">
            <v>1</v>
          </cell>
          <cell r="AM404" t="str">
            <v>F</v>
          </cell>
          <cell r="AN404" t="str">
            <v>M0</v>
          </cell>
          <cell r="AO404" t="str">
            <v>Active(Model)</v>
          </cell>
          <cell r="AP404" t="str">
            <v/>
          </cell>
          <cell r="AQ404" t="str">
            <v/>
          </cell>
          <cell r="AR404" t="str">
            <v>Y</v>
          </cell>
          <cell r="AS404" t="str">
            <v/>
          </cell>
          <cell r="AT404" t="str">
            <v>CA</v>
          </cell>
          <cell r="AU404" t="str">
            <v>Cooking Appliance</v>
          </cell>
          <cell r="AV404" t="str">
            <v>CARN</v>
          </cell>
          <cell r="AW404" t="str">
            <v>Range</v>
          </cell>
          <cell r="AX404" t="str">
            <v>CARNSR</v>
          </cell>
          <cell r="AY404" t="str">
            <v>Slide In Range</v>
          </cell>
          <cell r="AZ404" t="str">
            <v>CARNSREO</v>
          </cell>
          <cell r="BA404" t="str">
            <v>Electric(Slide)</v>
          </cell>
        </row>
        <row r="405">
          <cell r="E405" t="str">
            <v>LSIL6332XE.BRSLLCA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82</v>
          </cell>
          <cell r="O405">
            <v>0</v>
          </cell>
          <cell r="P405">
            <v>82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 t="str">
            <v/>
          </cell>
          <cell r="AH405" t="str">
            <v/>
          </cell>
          <cell r="AI405" t="str">
            <v/>
          </cell>
          <cell r="AJ405" t="str">
            <v/>
          </cell>
          <cell r="AK405" t="str">
            <v>0.707575</v>
          </cell>
          <cell r="AL405" t="str">
            <v>1</v>
          </cell>
          <cell r="AM405" t="str">
            <v>F</v>
          </cell>
          <cell r="AN405" t="str">
            <v>M0</v>
          </cell>
          <cell r="AO405" t="str">
            <v>Active(Model)</v>
          </cell>
          <cell r="AP405" t="str">
            <v/>
          </cell>
          <cell r="AQ405" t="str">
            <v/>
          </cell>
          <cell r="AR405" t="str">
            <v>Y</v>
          </cell>
          <cell r="AS405" t="str">
            <v/>
          </cell>
          <cell r="AT405" t="str">
            <v>CA</v>
          </cell>
          <cell r="AU405" t="str">
            <v>Cooking Appliance</v>
          </cell>
          <cell r="AV405" t="str">
            <v>CARN</v>
          </cell>
          <cell r="AW405" t="str">
            <v>Range</v>
          </cell>
          <cell r="AX405" t="str">
            <v>CARNSR</v>
          </cell>
          <cell r="AY405" t="str">
            <v>Slide In Range</v>
          </cell>
          <cell r="AZ405" t="str">
            <v>CARNSREO</v>
          </cell>
          <cell r="BA405" t="str">
            <v>Electric(Slide)</v>
          </cell>
        </row>
        <row r="406">
          <cell r="E406" t="str">
            <v>LSIL6334XE.QRSLLGA</v>
          </cell>
          <cell r="F406">
            <v>321</v>
          </cell>
          <cell r="G406">
            <v>0</v>
          </cell>
          <cell r="H406">
            <v>0</v>
          </cell>
          <cell r="I406">
            <v>321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440</v>
          </cell>
          <cell r="O406">
            <v>324</v>
          </cell>
          <cell r="P406">
            <v>440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 t="str">
            <v/>
          </cell>
          <cell r="AH406" t="str">
            <v/>
          </cell>
          <cell r="AI406" t="str">
            <v/>
          </cell>
          <cell r="AJ406" t="str">
            <v/>
          </cell>
          <cell r="AK406" t="str">
            <v>0.707575</v>
          </cell>
          <cell r="AL406" t="str">
            <v>1</v>
          </cell>
          <cell r="AM406" t="str">
            <v>F</v>
          </cell>
          <cell r="AN406" t="str">
            <v>M0</v>
          </cell>
          <cell r="AO406" t="str">
            <v>Active(Model)</v>
          </cell>
          <cell r="AP406" t="str">
            <v/>
          </cell>
          <cell r="AQ406" t="str">
            <v/>
          </cell>
          <cell r="AR406" t="str">
            <v>Y</v>
          </cell>
          <cell r="AS406" t="str">
            <v/>
          </cell>
          <cell r="AT406" t="str">
            <v>CA</v>
          </cell>
          <cell r="AU406" t="str">
            <v>Cooking Appliance</v>
          </cell>
          <cell r="AV406" t="str">
            <v>CARN</v>
          </cell>
          <cell r="AW406" t="str">
            <v>Range</v>
          </cell>
          <cell r="AX406" t="str">
            <v>CARNSR</v>
          </cell>
          <cell r="AY406" t="str">
            <v>Slide In Range</v>
          </cell>
          <cell r="AZ406" t="str">
            <v>CARNSREO</v>
          </cell>
          <cell r="BA406" t="str">
            <v>Electric(Slide)</v>
          </cell>
        </row>
        <row r="407">
          <cell r="E407" t="str">
            <v>LSIL6334ZE.BBDLLCA</v>
          </cell>
          <cell r="F407">
            <v>40</v>
          </cell>
          <cell r="G407">
            <v>0</v>
          </cell>
          <cell r="H407">
            <v>0</v>
          </cell>
          <cell r="I407">
            <v>40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120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 t="str">
            <v/>
          </cell>
          <cell r="AH407" t="str">
            <v/>
          </cell>
          <cell r="AI407" t="str">
            <v/>
          </cell>
          <cell r="AJ407" t="str">
            <v/>
          </cell>
          <cell r="AK407" t="str">
            <v>0.707575</v>
          </cell>
          <cell r="AL407" t="str">
            <v>1</v>
          </cell>
          <cell r="AM407" t="str">
            <v>F</v>
          </cell>
          <cell r="AN407" t="str">
            <v>M0</v>
          </cell>
          <cell r="AO407" t="str">
            <v>Active(Model)</v>
          </cell>
          <cell r="AP407" t="str">
            <v/>
          </cell>
          <cell r="AQ407" t="str">
            <v/>
          </cell>
          <cell r="AR407" t="str">
            <v>Y</v>
          </cell>
          <cell r="AS407" t="str">
            <v/>
          </cell>
          <cell r="AT407" t="str">
            <v>CA</v>
          </cell>
          <cell r="AU407" t="str">
            <v>Cooking Appliance</v>
          </cell>
          <cell r="AV407" t="str">
            <v>CARN</v>
          </cell>
          <cell r="AW407" t="str">
            <v>Range</v>
          </cell>
          <cell r="AX407" t="str">
            <v>CARNSR</v>
          </cell>
          <cell r="AY407" t="str">
            <v>Slide In Range</v>
          </cell>
          <cell r="AZ407" t="str">
            <v>CARNSREO</v>
          </cell>
          <cell r="BA407" t="str">
            <v>Electric(Slide)</v>
          </cell>
        </row>
        <row r="408">
          <cell r="E408" t="str">
            <v>LSIL6336XE.QRSLLCA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39</v>
          </cell>
          <cell r="O408">
            <v>240</v>
          </cell>
          <cell r="P408">
            <v>39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 t="str">
            <v/>
          </cell>
          <cell r="AH408" t="str">
            <v/>
          </cell>
          <cell r="AI408" t="str">
            <v/>
          </cell>
          <cell r="AJ408" t="str">
            <v/>
          </cell>
          <cell r="AK408" t="str">
            <v>0.707575</v>
          </cell>
          <cell r="AL408" t="str">
            <v>1</v>
          </cell>
          <cell r="AM408" t="str">
            <v>F</v>
          </cell>
          <cell r="AN408" t="str">
            <v>M0</v>
          </cell>
          <cell r="AO408" t="str">
            <v>Active(Model)</v>
          </cell>
          <cell r="AP408" t="str">
            <v/>
          </cell>
          <cell r="AQ408" t="str">
            <v/>
          </cell>
          <cell r="AR408" t="str">
            <v>Y</v>
          </cell>
          <cell r="AS408" t="str">
            <v/>
          </cell>
          <cell r="AT408" t="str">
            <v>CA</v>
          </cell>
          <cell r="AU408" t="str">
            <v>Cooking Appliance</v>
          </cell>
          <cell r="AV408" t="str">
            <v>CARN</v>
          </cell>
          <cell r="AW408" t="str">
            <v>Range</v>
          </cell>
          <cell r="AX408" t="str">
            <v>CARNSR</v>
          </cell>
          <cell r="AY408" t="str">
            <v>Slide In Range</v>
          </cell>
          <cell r="AZ408" t="str">
            <v>CARNSREO</v>
          </cell>
          <cell r="BA408" t="str">
            <v>Electric(Slide)</v>
          </cell>
        </row>
        <row r="409">
          <cell r="E409" t="str">
            <v>LTCS20020B.AWBCNA1</v>
          </cell>
          <cell r="F409">
            <v>30</v>
          </cell>
          <cell r="G409">
            <v>0</v>
          </cell>
          <cell r="H409">
            <v>59</v>
          </cell>
          <cell r="I409">
            <v>89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40</v>
          </cell>
          <cell r="O409">
            <v>50</v>
          </cell>
          <cell r="P409">
            <v>40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 t="str">
            <v/>
          </cell>
          <cell r="AH409" t="str">
            <v/>
          </cell>
          <cell r="AI409" t="str">
            <v/>
          </cell>
          <cell r="AJ409" t="str">
            <v/>
          </cell>
          <cell r="AK409" t="str">
            <v>1.223527</v>
          </cell>
          <cell r="AL409" t="str">
            <v>1</v>
          </cell>
          <cell r="AM409" t="str">
            <v>F</v>
          </cell>
          <cell r="AN409" t="str">
            <v>M0</v>
          </cell>
          <cell r="AO409" t="str">
            <v>Active(Model)</v>
          </cell>
          <cell r="AP409" t="str">
            <v/>
          </cell>
          <cell r="AQ409" t="str">
            <v/>
          </cell>
          <cell r="AR409" t="str">
            <v>Y</v>
          </cell>
          <cell r="AS409" t="str">
            <v/>
          </cell>
          <cell r="AT409" t="str">
            <v>RF</v>
          </cell>
          <cell r="AU409" t="str">
            <v>Refrigerator</v>
          </cell>
          <cell r="AV409" t="str">
            <v>RFTM</v>
          </cell>
          <cell r="AW409" t="str">
            <v>TMNF</v>
          </cell>
          <cell r="AX409" t="str">
            <v>RFTMTM</v>
          </cell>
          <cell r="AY409" t="str">
            <v>TMNF</v>
          </cell>
          <cell r="AZ409" t="str">
            <v>RFTMTMUA</v>
          </cell>
          <cell r="BA409" t="str">
            <v>Ultra X Large REF</v>
          </cell>
        </row>
        <row r="410">
          <cell r="E410" t="str">
            <v>LTCS20020S.ASTCNA1</v>
          </cell>
          <cell r="F410">
            <v>2394</v>
          </cell>
          <cell r="G410">
            <v>0</v>
          </cell>
          <cell r="H410">
            <v>391</v>
          </cell>
          <cell r="I410">
            <v>2847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1611</v>
          </cell>
          <cell r="O410">
            <v>1139</v>
          </cell>
          <cell r="P410">
            <v>1611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 t="str">
            <v/>
          </cell>
          <cell r="AH410" t="str">
            <v/>
          </cell>
          <cell r="AI410" t="str">
            <v/>
          </cell>
          <cell r="AJ410" t="str">
            <v/>
          </cell>
          <cell r="AK410" t="str">
            <v>1.223527</v>
          </cell>
          <cell r="AL410" t="str">
            <v>1</v>
          </cell>
          <cell r="AM410" t="str">
            <v>F</v>
          </cell>
          <cell r="AN410" t="str">
            <v>M0</v>
          </cell>
          <cell r="AO410" t="str">
            <v>Active(Model)</v>
          </cell>
          <cell r="AP410" t="str">
            <v/>
          </cell>
          <cell r="AQ410" t="str">
            <v/>
          </cell>
          <cell r="AR410" t="str">
            <v>Y</v>
          </cell>
          <cell r="AS410" t="str">
            <v/>
          </cell>
          <cell r="AT410" t="str">
            <v>RF</v>
          </cell>
          <cell r="AU410" t="str">
            <v>Refrigerator</v>
          </cell>
          <cell r="AV410" t="str">
            <v>RFTM</v>
          </cell>
          <cell r="AW410" t="str">
            <v>TMNF</v>
          </cell>
          <cell r="AX410" t="str">
            <v>RFTMTM</v>
          </cell>
          <cell r="AY410" t="str">
            <v>TMNF</v>
          </cell>
          <cell r="AZ410" t="str">
            <v>RFTMTMUA</v>
          </cell>
          <cell r="BA410" t="str">
            <v>Ultra X Large REF</v>
          </cell>
        </row>
        <row r="411">
          <cell r="E411" t="str">
            <v>LTCS20020V.APZCNA1</v>
          </cell>
          <cell r="F411">
            <v>196</v>
          </cell>
          <cell r="G411">
            <v>0</v>
          </cell>
          <cell r="H411">
            <v>66</v>
          </cell>
          <cell r="I411">
            <v>262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99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 t="str">
            <v/>
          </cell>
          <cell r="AH411" t="str">
            <v/>
          </cell>
          <cell r="AI411" t="str">
            <v/>
          </cell>
          <cell r="AJ411" t="str">
            <v/>
          </cell>
          <cell r="AK411" t="str">
            <v>1.223527</v>
          </cell>
          <cell r="AL411" t="str">
            <v>1</v>
          </cell>
          <cell r="AM411" t="str">
            <v>F</v>
          </cell>
          <cell r="AN411" t="str">
            <v>M0</v>
          </cell>
          <cell r="AO411" t="str">
            <v>Active(Model)</v>
          </cell>
          <cell r="AP411" t="str">
            <v/>
          </cell>
          <cell r="AQ411" t="str">
            <v/>
          </cell>
          <cell r="AR411" t="str">
            <v>Y</v>
          </cell>
          <cell r="AS411" t="str">
            <v/>
          </cell>
          <cell r="AT411" t="str">
            <v>RF</v>
          </cell>
          <cell r="AU411" t="str">
            <v>Refrigerator</v>
          </cell>
          <cell r="AV411" t="str">
            <v>RFTM</v>
          </cell>
          <cell r="AW411" t="str">
            <v>TMNF</v>
          </cell>
          <cell r="AX411" t="str">
            <v>RFTMTM</v>
          </cell>
          <cell r="AY411" t="str">
            <v>TMNF</v>
          </cell>
          <cell r="AZ411" t="str">
            <v>RFTMTMUA</v>
          </cell>
          <cell r="BA411" t="str">
            <v>Ultra X Large REF</v>
          </cell>
        </row>
        <row r="412">
          <cell r="E412" t="str">
            <v>LTCS20020W.ASWCNA1</v>
          </cell>
          <cell r="F412">
            <v>2</v>
          </cell>
          <cell r="G412">
            <v>0</v>
          </cell>
          <cell r="H412">
            <v>0</v>
          </cell>
          <cell r="I412">
            <v>2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10</v>
          </cell>
          <cell r="O412">
            <v>0</v>
          </cell>
          <cell r="P412">
            <v>10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 t="str">
            <v/>
          </cell>
          <cell r="AH412" t="str">
            <v/>
          </cell>
          <cell r="AI412" t="str">
            <v/>
          </cell>
          <cell r="AJ412" t="str">
            <v/>
          </cell>
          <cell r="AK412" t="str">
            <v>1.223527</v>
          </cell>
          <cell r="AL412" t="str">
            <v>1</v>
          </cell>
          <cell r="AM412" t="str">
            <v>F</v>
          </cell>
          <cell r="AN412" t="str">
            <v>M0</v>
          </cell>
          <cell r="AO412" t="str">
            <v>Active(Model)</v>
          </cell>
          <cell r="AP412" t="str">
            <v/>
          </cell>
          <cell r="AQ412" t="str">
            <v/>
          </cell>
          <cell r="AR412" t="str">
            <v>Y</v>
          </cell>
          <cell r="AS412" t="str">
            <v/>
          </cell>
          <cell r="AT412" t="str">
            <v>RF</v>
          </cell>
          <cell r="AU412" t="str">
            <v>Refrigerator</v>
          </cell>
          <cell r="AV412" t="str">
            <v>RFTM</v>
          </cell>
          <cell r="AW412" t="str">
            <v>TMNF</v>
          </cell>
          <cell r="AX412" t="str">
            <v>RFTMTM</v>
          </cell>
          <cell r="AY412" t="str">
            <v>TMNF</v>
          </cell>
          <cell r="AZ412" t="str">
            <v>RFTMTMUA</v>
          </cell>
          <cell r="BA412" t="str">
            <v>Ultra X Large REF</v>
          </cell>
        </row>
        <row r="413">
          <cell r="E413" t="str">
            <v>NSNSCNAG1A3.BEEPBA6</v>
          </cell>
          <cell r="F413">
            <v>1193</v>
          </cell>
          <cell r="G413">
            <v>0</v>
          </cell>
          <cell r="H413">
            <v>0</v>
          </cell>
          <cell r="I413">
            <v>1193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2049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 t="str">
            <v/>
          </cell>
          <cell r="AH413" t="str">
            <v/>
          </cell>
          <cell r="AI413" t="str">
            <v>KR21P13994960</v>
          </cell>
          <cell r="AJ413" t="str">
            <v>NSNSCNAG1A3.ARFQ</v>
          </cell>
          <cell r="AK413" t="str">
            <v>0.005760</v>
          </cell>
          <cell r="AL413" t="str">
            <v>1</v>
          </cell>
          <cell r="AM413" t="str">
            <v>F</v>
          </cell>
          <cell r="AN413" t="str">
            <v>M0</v>
          </cell>
          <cell r="AO413" t="str">
            <v>Active(Model)</v>
          </cell>
          <cell r="AP413" t="str">
            <v/>
          </cell>
          <cell r="AQ413" t="str">
            <v/>
          </cell>
          <cell r="AR413" t="str">
            <v>Y</v>
          </cell>
          <cell r="AS413" t="str">
            <v/>
          </cell>
          <cell r="AT413" t="str">
            <v>IN</v>
          </cell>
          <cell r="AU413" t="str">
            <v>Infotainment</v>
          </cell>
          <cell r="AV413" t="str">
            <v>INAV</v>
          </cell>
          <cell r="AW413" t="str">
            <v>AV/AVN</v>
          </cell>
          <cell r="AX413" t="str">
            <v>INAVAN</v>
          </cell>
          <cell r="AY413" t="str">
            <v>AVN</v>
          </cell>
          <cell r="AZ413" t="str">
            <v>INAVANNS</v>
          </cell>
          <cell r="BA413" t="str">
            <v>AVN Silver Box</v>
          </cell>
        </row>
        <row r="414">
          <cell r="E414" t="str">
            <v>NSNSCNAG1A3.BGBCMJ2</v>
          </cell>
          <cell r="F414">
            <v>10</v>
          </cell>
          <cell r="G414">
            <v>0</v>
          </cell>
          <cell r="H414">
            <v>0</v>
          </cell>
          <cell r="I414">
            <v>10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500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 t="str">
            <v/>
          </cell>
          <cell r="AH414" t="str">
            <v/>
          </cell>
          <cell r="AI414" t="str">
            <v>KR21P13994960</v>
          </cell>
          <cell r="AJ414" t="str">
            <v>NSNSCNAG1A3.ARFQ</v>
          </cell>
          <cell r="AK414" t="str">
            <v>0.005760</v>
          </cell>
          <cell r="AL414" t="str">
            <v>1</v>
          </cell>
          <cell r="AM414" t="str">
            <v>F</v>
          </cell>
          <cell r="AN414" t="str">
            <v>M0</v>
          </cell>
          <cell r="AO414" t="str">
            <v>Active(Model)</v>
          </cell>
          <cell r="AP414" t="str">
            <v/>
          </cell>
          <cell r="AQ414" t="str">
            <v/>
          </cell>
          <cell r="AR414" t="str">
            <v>Y</v>
          </cell>
          <cell r="AS414" t="str">
            <v/>
          </cell>
          <cell r="AT414" t="str">
            <v>IN</v>
          </cell>
          <cell r="AU414" t="str">
            <v>Infotainment</v>
          </cell>
          <cell r="AV414" t="str">
            <v>INAV</v>
          </cell>
          <cell r="AW414" t="str">
            <v>AV/AVN</v>
          </cell>
          <cell r="AX414" t="str">
            <v>INAVAN</v>
          </cell>
          <cell r="AY414" t="str">
            <v>AVN</v>
          </cell>
          <cell r="AZ414" t="str">
            <v>INAVANNS</v>
          </cell>
          <cell r="BA414" t="str">
            <v>AVN Silver Box</v>
          </cell>
        </row>
        <row r="415">
          <cell r="E415" t="str">
            <v>NSNSEGDE1E1.BWEPDG4</v>
          </cell>
          <cell r="F415">
            <v>1100</v>
          </cell>
          <cell r="G415">
            <v>0</v>
          </cell>
          <cell r="H415">
            <v>0</v>
          </cell>
          <cell r="I415">
            <v>1100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200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 t="str">
            <v/>
          </cell>
          <cell r="AH415" t="str">
            <v/>
          </cell>
          <cell r="AI415" t="str">
            <v>KR21P13994960</v>
          </cell>
          <cell r="AJ415" t="str">
            <v>NSNSEGDE1E1.ARFQ</v>
          </cell>
          <cell r="AK415" t="str">
            <v>0.005760</v>
          </cell>
          <cell r="AL415" t="str">
            <v>1</v>
          </cell>
          <cell r="AM415" t="str">
            <v>F</v>
          </cell>
          <cell r="AN415" t="str">
            <v>M0</v>
          </cell>
          <cell r="AO415" t="str">
            <v>Active(Model)</v>
          </cell>
          <cell r="AP415" t="str">
            <v/>
          </cell>
          <cell r="AQ415" t="str">
            <v/>
          </cell>
          <cell r="AR415" t="str">
            <v>Y</v>
          </cell>
          <cell r="AS415" t="str">
            <v/>
          </cell>
          <cell r="AT415" t="str">
            <v>IN</v>
          </cell>
          <cell r="AU415" t="str">
            <v>Infotainment</v>
          </cell>
          <cell r="AV415" t="str">
            <v>INAV</v>
          </cell>
          <cell r="AW415" t="str">
            <v>AV/AVN</v>
          </cell>
          <cell r="AX415" t="str">
            <v>INAVAN</v>
          </cell>
          <cell r="AY415" t="str">
            <v>AVN</v>
          </cell>
          <cell r="AZ415" t="str">
            <v>INAVANNS</v>
          </cell>
          <cell r="BA415" t="str">
            <v>AVN Silver Box</v>
          </cell>
        </row>
        <row r="416">
          <cell r="E416" t="str">
            <v>NSRNCNAG1D1.BP3A0M1</v>
          </cell>
          <cell r="F416">
            <v>2</v>
          </cell>
          <cell r="G416">
            <v>0</v>
          </cell>
          <cell r="H416">
            <v>0</v>
          </cell>
          <cell r="I416">
            <v>2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 t="str">
            <v/>
          </cell>
          <cell r="AH416" t="str">
            <v/>
          </cell>
          <cell r="AI416" t="str">
            <v>KR17P09115930</v>
          </cell>
          <cell r="AJ416" t="str">
            <v>NSRNCNAG1D1.ARFQ</v>
          </cell>
          <cell r="AK416" t="str">
            <v>0.005760</v>
          </cell>
          <cell r="AL416" t="str">
            <v>1</v>
          </cell>
          <cell r="AM416" t="str">
            <v>F</v>
          </cell>
          <cell r="AN416" t="str">
            <v>M0</v>
          </cell>
          <cell r="AO416" t="str">
            <v>Active(Model)</v>
          </cell>
          <cell r="AP416" t="str">
            <v/>
          </cell>
          <cell r="AQ416" t="str">
            <v/>
          </cell>
          <cell r="AR416" t="str">
            <v>Y</v>
          </cell>
          <cell r="AS416" t="str">
            <v/>
          </cell>
          <cell r="AT416" t="str">
            <v>IN</v>
          </cell>
          <cell r="AU416" t="str">
            <v>Infotainment</v>
          </cell>
          <cell r="AV416" t="str">
            <v>INAV</v>
          </cell>
          <cell r="AW416" t="str">
            <v>AV/AVN</v>
          </cell>
          <cell r="AX416" t="str">
            <v>INAVAN</v>
          </cell>
          <cell r="AY416" t="str">
            <v>AVN</v>
          </cell>
          <cell r="AZ416" t="str">
            <v>INAVANNS</v>
          </cell>
          <cell r="BA416" t="str">
            <v>AVN Silver Box</v>
          </cell>
        </row>
        <row r="417">
          <cell r="E417" t="str">
            <v>NSRNCNAG1D1.BP3A1Q1</v>
          </cell>
          <cell r="F417">
            <v>2</v>
          </cell>
          <cell r="G417">
            <v>0</v>
          </cell>
          <cell r="H417">
            <v>0</v>
          </cell>
          <cell r="I417">
            <v>2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 t="str">
            <v/>
          </cell>
          <cell r="AH417" t="str">
            <v/>
          </cell>
          <cell r="AI417" t="str">
            <v>KR17P09115930</v>
          </cell>
          <cell r="AJ417" t="str">
            <v>NSRNCNAG1D1.ARFQ</v>
          </cell>
          <cell r="AK417" t="str">
            <v>0.005760</v>
          </cell>
          <cell r="AL417" t="str">
            <v>1</v>
          </cell>
          <cell r="AM417" t="str">
            <v>F</v>
          </cell>
          <cell r="AN417" t="str">
            <v>M0</v>
          </cell>
          <cell r="AO417" t="str">
            <v>Active(Model)</v>
          </cell>
          <cell r="AP417" t="str">
            <v/>
          </cell>
          <cell r="AQ417" t="str">
            <v/>
          </cell>
          <cell r="AR417" t="str">
            <v>Y</v>
          </cell>
          <cell r="AS417" t="str">
            <v/>
          </cell>
          <cell r="AT417" t="str">
            <v>IN</v>
          </cell>
          <cell r="AU417" t="str">
            <v>Infotainment</v>
          </cell>
          <cell r="AV417" t="str">
            <v>INAV</v>
          </cell>
          <cell r="AW417" t="str">
            <v>AV/AVN</v>
          </cell>
          <cell r="AX417" t="str">
            <v>INAVAN</v>
          </cell>
          <cell r="AY417" t="str">
            <v>AVN</v>
          </cell>
          <cell r="AZ417" t="str">
            <v>INAVANNS</v>
          </cell>
          <cell r="BA417" t="str">
            <v>AVN Silver Box</v>
          </cell>
        </row>
        <row r="418">
          <cell r="E418" t="str">
            <v>NSRNCNAG1E1.BP3A0M1</v>
          </cell>
          <cell r="F418">
            <v>2</v>
          </cell>
          <cell r="G418">
            <v>0</v>
          </cell>
          <cell r="H418">
            <v>0</v>
          </cell>
          <cell r="I418">
            <v>2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 t="str">
            <v/>
          </cell>
          <cell r="AH418" t="str">
            <v/>
          </cell>
          <cell r="AI418" t="str">
            <v>KR17P09115930</v>
          </cell>
          <cell r="AJ418" t="str">
            <v>NSRNCNAG1E1.ARFQ</v>
          </cell>
          <cell r="AK418" t="str">
            <v>0.005760</v>
          </cell>
          <cell r="AL418" t="str">
            <v>1</v>
          </cell>
          <cell r="AM418" t="str">
            <v>F</v>
          </cell>
          <cell r="AN418" t="str">
            <v>M0</v>
          </cell>
          <cell r="AO418" t="str">
            <v>Active(Model)</v>
          </cell>
          <cell r="AP418" t="str">
            <v/>
          </cell>
          <cell r="AQ418" t="str">
            <v/>
          </cell>
          <cell r="AR418" t="str">
            <v>Y</v>
          </cell>
          <cell r="AS418" t="str">
            <v/>
          </cell>
          <cell r="AT418" t="str">
            <v>IN</v>
          </cell>
          <cell r="AU418" t="str">
            <v>Infotainment</v>
          </cell>
          <cell r="AV418" t="str">
            <v>INAV</v>
          </cell>
          <cell r="AW418" t="str">
            <v>AV/AVN</v>
          </cell>
          <cell r="AX418" t="str">
            <v>INAVAN</v>
          </cell>
          <cell r="AY418" t="str">
            <v>AVN</v>
          </cell>
          <cell r="AZ418" t="str">
            <v>INAVANNS</v>
          </cell>
          <cell r="BA418" t="str">
            <v>AVN Silver Box</v>
          </cell>
        </row>
        <row r="419">
          <cell r="E419" t="str">
            <v>NSRNCNAG1E1.BP3A1Q1</v>
          </cell>
          <cell r="F419">
            <v>1</v>
          </cell>
          <cell r="G419">
            <v>0</v>
          </cell>
          <cell r="H419">
            <v>0</v>
          </cell>
          <cell r="I419">
            <v>1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 t="str">
            <v/>
          </cell>
          <cell r="AH419" t="str">
            <v/>
          </cell>
          <cell r="AI419" t="str">
            <v>KR17P09115930</v>
          </cell>
          <cell r="AJ419" t="str">
            <v>NSRNCNAG1E1.ARFQ</v>
          </cell>
          <cell r="AK419" t="str">
            <v>0.005760</v>
          </cell>
          <cell r="AL419" t="str">
            <v>1</v>
          </cell>
          <cell r="AM419" t="str">
            <v>F</v>
          </cell>
          <cell r="AN419" t="str">
            <v>M0</v>
          </cell>
          <cell r="AO419" t="str">
            <v>Active(Model)</v>
          </cell>
          <cell r="AP419" t="str">
            <v/>
          </cell>
          <cell r="AQ419" t="str">
            <v/>
          </cell>
          <cell r="AR419" t="str">
            <v>Y</v>
          </cell>
          <cell r="AS419" t="str">
            <v/>
          </cell>
          <cell r="AT419" t="str">
            <v>IN</v>
          </cell>
          <cell r="AU419" t="str">
            <v>Infotainment</v>
          </cell>
          <cell r="AV419" t="str">
            <v>INAV</v>
          </cell>
          <cell r="AW419" t="str">
            <v>AV/AVN</v>
          </cell>
          <cell r="AX419" t="str">
            <v>INAVAN</v>
          </cell>
          <cell r="AY419" t="str">
            <v>AVN</v>
          </cell>
          <cell r="AZ419" t="str">
            <v>INAVANNS</v>
          </cell>
          <cell r="BA419" t="str">
            <v>AVN Silver Box</v>
          </cell>
        </row>
        <row r="420">
          <cell r="E420" t="str">
            <v>NSRNCNAG1H1.BP3E0Q1</v>
          </cell>
          <cell r="F420">
            <v>1</v>
          </cell>
          <cell r="G420">
            <v>0</v>
          </cell>
          <cell r="H420">
            <v>0</v>
          </cell>
          <cell r="I420">
            <v>1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1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 t="str">
            <v/>
          </cell>
          <cell r="AH420" t="str">
            <v/>
          </cell>
          <cell r="AI420" t="str">
            <v>KR17P09115930</v>
          </cell>
          <cell r="AJ420" t="str">
            <v>NSRNCNAG1H1.ARFQ</v>
          </cell>
          <cell r="AK420" t="str">
            <v>0.005760</v>
          </cell>
          <cell r="AL420" t="str">
            <v>1</v>
          </cell>
          <cell r="AM420" t="str">
            <v>F</v>
          </cell>
          <cell r="AN420" t="str">
            <v>M0</v>
          </cell>
          <cell r="AO420" t="str">
            <v>Active(Model)</v>
          </cell>
          <cell r="AP420" t="str">
            <v/>
          </cell>
          <cell r="AQ420" t="str">
            <v/>
          </cell>
          <cell r="AR420" t="str">
            <v>Y</v>
          </cell>
          <cell r="AS420" t="str">
            <v/>
          </cell>
          <cell r="AT420" t="str">
            <v>IN</v>
          </cell>
          <cell r="AU420" t="str">
            <v>Infotainment</v>
          </cell>
          <cell r="AV420" t="str">
            <v>INAV</v>
          </cell>
          <cell r="AW420" t="str">
            <v>AV/AVN</v>
          </cell>
          <cell r="AX420" t="str">
            <v>INAVAN</v>
          </cell>
          <cell r="AY420" t="str">
            <v>AVN</v>
          </cell>
          <cell r="AZ420" t="str">
            <v>INAVANNS</v>
          </cell>
          <cell r="BA420" t="str">
            <v>AVN Silver Box</v>
          </cell>
        </row>
        <row r="421">
          <cell r="E421" t="str">
            <v>NSRNCNAG1I1.BP3E0Q1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1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 t="str">
            <v/>
          </cell>
          <cell r="AH421" t="str">
            <v/>
          </cell>
          <cell r="AI421" t="str">
            <v>KR17P09115930</v>
          </cell>
          <cell r="AJ421" t="str">
            <v>NSRNCNAG1I1.ARFQ</v>
          </cell>
          <cell r="AK421" t="str">
            <v>0.005760</v>
          </cell>
          <cell r="AL421" t="str">
            <v>1</v>
          </cell>
          <cell r="AM421" t="str">
            <v>F</v>
          </cell>
          <cell r="AN421" t="str">
            <v>M0</v>
          </cell>
          <cell r="AO421" t="str">
            <v>Active(Model)</v>
          </cell>
          <cell r="AP421" t="str">
            <v/>
          </cell>
          <cell r="AQ421" t="str">
            <v/>
          </cell>
          <cell r="AR421" t="str">
            <v>Y</v>
          </cell>
          <cell r="AS421" t="str">
            <v/>
          </cell>
          <cell r="AT421" t="str">
            <v>IN</v>
          </cell>
          <cell r="AU421" t="str">
            <v>Infotainment</v>
          </cell>
          <cell r="AV421" t="str">
            <v>INAV</v>
          </cell>
          <cell r="AW421" t="str">
            <v>AV/AVN</v>
          </cell>
          <cell r="AX421" t="str">
            <v>INAVAN</v>
          </cell>
          <cell r="AY421" t="str">
            <v>AVN</v>
          </cell>
          <cell r="AZ421" t="str">
            <v>INAVANNS</v>
          </cell>
          <cell r="BA421" t="str">
            <v>AVN Silver Box</v>
          </cell>
        </row>
        <row r="422">
          <cell r="E422" t="str">
            <v>NSRNCNAG4E1.BP34GM2</v>
          </cell>
          <cell r="F422">
            <v>6</v>
          </cell>
          <cell r="G422">
            <v>0</v>
          </cell>
          <cell r="H422">
            <v>0</v>
          </cell>
          <cell r="I422">
            <v>6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 t="str">
            <v/>
          </cell>
          <cell r="AH422" t="str">
            <v/>
          </cell>
          <cell r="AI422" t="str">
            <v>KR17P09115930</v>
          </cell>
          <cell r="AJ422" t="str">
            <v>NSRNCNAG4E1.ARFQ</v>
          </cell>
          <cell r="AK422" t="str">
            <v>0.005760</v>
          </cell>
          <cell r="AL422" t="str">
            <v>1</v>
          </cell>
          <cell r="AM422" t="str">
            <v>F</v>
          </cell>
          <cell r="AN422" t="str">
            <v>M0</v>
          </cell>
          <cell r="AO422" t="str">
            <v>Active(Model)</v>
          </cell>
          <cell r="AP422" t="str">
            <v/>
          </cell>
          <cell r="AQ422" t="str">
            <v/>
          </cell>
          <cell r="AR422" t="str">
            <v>Y</v>
          </cell>
          <cell r="AS422" t="str">
            <v/>
          </cell>
          <cell r="AT422" t="str">
            <v>IN</v>
          </cell>
          <cell r="AU422" t="str">
            <v>Infotainment</v>
          </cell>
          <cell r="AV422" t="str">
            <v>INAV</v>
          </cell>
          <cell r="AW422" t="str">
            <v>AV/AVN</v>
          </cell>
          <cell r="AX422" t="str">
            <v>INAVAN</v>
          </cell>
          <cell r="AY422" t="str">
            <v>AVN</v>
          </cell>
          <cell r="AZ422" t="str">
            <v>INAVANNS</v>
          </cell>
          <cell r="BA422" t="str">
            <v>AVN Silver Box</v>
          </cell>
        </row>
        <row r="423">
          <cell r="E423" t="str">
            <v>NSRNCNAG4E1.BP34HM5</v>
          </cell>
          <cell r="F423">
            <v>10</v>
          </cell>
          <cell r="G423">
            <v>0</v>
          </cell>
          <cell r="H423">
            <v>0</v>
          </cell>
          <cell r="I423">
            <v>10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5200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 t="str">
            <v/>
          </cell>
          <cell r="AH423" t="str">
            <v/>
          </cell>
          <cell r="AI423" t="str">
            <v>KR17P09115930</v>
          </cell>
          <cell r="AJ423" t="str">
            <v>NSRNCNAG4E1.ARFQ</v>
          </cell>
          <cell r="AK423" t="str">
            <v>0.005760</v>
          </cell>
          <cell r="AL423" t="str">
            <v>1</v>
          </cell>
          <cell r="AM423" t="str">
            <v>F</v>
          </cell>
          <cell r="AN423" t="str">
            <v>M0</v>
          </cell>
          <cell r="AO423" t="str">
            <v>Active(Model)</v>
          </cell>
          <cell r="AP423" t="str">
            <v/>
          </cell>
          <cell r="AQ423" t="str">
            <v/>
          </cell>
          <cell r="AR423" t="str">
            <v>Y</v>
          </cell>
          <cell r="AS423" t="str">
            <v/>
          </cell>
          <cell r="AT423" t="str">
            <v>IN</v>
          </cell>
          <cell r="AU423" t="str">
            <v>Infotainment</v>
          </cell>
          <cell r="AV423" t="str">
            <v>INAV</v>
          </cell>
          <cell r="AW423" t="str">
            <v>AV/AVN</v>
          </cell>
          <cell r="AX423" t="str">
            <v>INAVAN</v>
          </cell>
          <cell r="AY423" t="str">
            <v>AVN</v>
          </cell>
          <cell r="AZ423" t="str">
            <v>INAVANNS</v>
          </cell>
          <cell r="BA423" t="str">
            <v>AVN Silver Box</v>
          </cell>
        </row>
        <row r="424">
          <cell r="E424" t="str">
            <v>NSRNCNAG4E1.BP34MM5</v>
          </cell>
          <cell r="F424">
            <v>146</v>
          </cell>
          <cell r="G424">
            <v>0</v>
          </cell>
          <cell r="H424">
            <v>1654</v>
          </cell>
          <cell r="I424">
            <v>1800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9000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 t="str">
            <v/>
          </cell>
          <cell r="AH424" t="str">
            <v/>
          </cell>
          <cell r="AI424" t="str">
            <v>KR17P09115930</v>
          </cell>
          <cell r="AJ424" t="str">
            <v>NSRNCNAG4E1.ARFQ</v>
          </cell>
          <cell r="AK424" t="str">
            <v>0.005760</v>
          </cell>
          <cell r="AL424" t="str">
            <v>1</v>
          </cell>
          <cell r="AM424" t="str">
            <v>F</v>
          </cell>
          <cell r="AN424" t="str">
            <v>M0</v>
          </cell>
          <cell r="AO424" t="str">
            <v>Active(Model)</v>
          </cell>
          <cell r="AP424" t="str">
            <v/>
          </cell>
          <cell r="AQ424" t="str">
            <v/>
          </cell>
          <cell r="AR424" t="str">
            <v>Y</v>
          </cell>
          <cell r="AS424" t="str">
            <v/>
          </cell>
          <cell r="AT424" t="str">
            <v>IN</v>
          </cell>
          <cell r="AU424" t="str">
            <v>Infotainment</v>
          </cell>
          <cell r="AV424" t="str">
            <v>INAV</v>
          </cell>
          <cell r="AW424" t="str">
            <v>AV/AVN</v>
          </cell>
          <cell r="AX424" t="str">
            <v>INAVAN</v>
          </cell>
          <cell r="AY424" t="str">
            <v>AVN</v>
          </cell>
          <cell r="AZ424" t="str">
            <v>INAVANNS</v>
          </cell>
          <cell r="BA424" t="str">
            <v>AVN Silver Box</v>
          </cell>
        </row>
        <row r="425">
          <cell r="E425" t="str">
            <v>O920BWE.BKOR</v>
          </cell>
          <cell r="F425">
            <v>1547</v>
          </cell>
          <cell r="G425">
            <v>0</v>
          </cell>
          <cell r="H425">
            <v>0</v>
          </cell>
          <cell r="I425">
            <v>1547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500</v>
          </cell>
          <cell r="O425">
            <v>0</v>
          </cell>
          <cell r="P425">
            <v>500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str">
            <v/>
          </cell>
          <cell r="AH425" t="str">
            <v/>
          </cell>
          <cell r="AI425" t="str">
            <v/>
          </cell>
          <cell r="AJ425" t="str">
            <v/>
          </cell>
          <cell r="AK425" t="str">
            <v>0.045920</v>
          </cell>
          <cell r="AL425" t="str">
            <v>1</v>
          </cell>
          <cell r="AM425" t="str">
            <v>F</v>
          </cell>
          <cell r="AN425" t="str">
            <v>M0</v>
          </cell>
          <cell r="AO425" t="str">
            <v>Active(Model)</v>
          </cell>
          <cell r="AP425" t="str">
            <v/>
          </cell>
          <cell r="AQ425" t="str">
            <v/>
          </cell>
          <cell r="AR425" t="str">
            <v>Y</v>
          </cell>
          <cell r="AS425" t="str">
            <v/>
          </cell>
          <cell r="AT425" t="str">
            <v>VC</v>
          </cell>
          <cell r="AU425" t="str">
            <v>Vacuum Cleaner</v>
          </cell>
          <cell r="AV425" t="str">
            <v>VCVC</v>
          </cell>
          <cell r="AW425" t="str">
            <v>Vacuum Cleaner</v>
          </cell>
          <cell r="AX425" t="str">
            <v>VCVCHS</v>
          </cell>
          <cell r="AY425" t="str">
            <v>H/Stick</v>
          </cell>
          <cell r="AZ425" t="str">
            <v>VCVCHSCL</v>
          </cell>
          <cell r="BA425" t="str">
            <v>H/Stick(Cordless)</v>
          </cell>
        </row>
        <row r="426">
          <cell r="E426" t="str">
            <v>O927BA.BKOR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201</v>
          </cell>
          <cell r="O426">
            <v>396</v>
          </cell>
          <cell r="P426">
            <v>201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 t="str">
            <v/>
          </cell>
          <cell r="AH426" t="str">
            <v/>
          </cell>
          <cell r="AI426" t="str">
            <v/>
          </cell>
          <cell r="AJ426" t="str">
            <v/>
          </cell>
          <cell r="AK426" t="str">
            <v>0.055407</v>
          </cell>
          <cell r="AL426" t="str">
            <v>1</v>
          </cell>
          <cell r="AM426" t="str">
            <v>F</v>
          </cell>
          <cell r="AN426" t="str">
            <v>M0</v>
          </cell>
          <cell r="AO426" t="str">
            <v>Active(Model)</v>
          </cell>
          <cell r="AP426" t="str">
            <v/>
          </cell>
          <cell r="AQ426" t="str">
            <v/>
          </cell>
          <cell r="AR426" t="str">
            <v>Y</v>
          </cell>
          <cell r="AS426" t="str">
            <v/>
          </cell>
          <cell r="AT426" t="str">
            <v>VC</v>
          </cell>
          <cell r="AU426" t="str">
            <v>Vacuum Cleaner</v>
          </cell>
          <cell r="AV426" t="str">
            <v>VCVC</v>
          </cell>
          <cell r="AW426" t="str">
            <v>Vacuum Cleaner</v>
          </cell>
          <cell r="AX426" t="str">
            <v>VCVCHS</v>
          </cell>
          <cell r="AY426" t="str">
            <v>H/Stick</v>
          </cell>
          <cell r="AZ426" t="str">
            <v>VCVCHSCL</v>
          </cell>
          <cell r="BA426" t="str">
            <v>H/Stick(Cordless)</v>
          </cell>
        </row>
        <row r="427">
          <cell r="E427" t="str">
            <v>O927WA.BKOR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170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 t="str">
            <v/>
          </cell>
          <cell r="AH427" t="str">
            <v/>
          </cell>
          <cell r="AI427" t="str">
            <v/>
          </cell>
          <cell r="AJ427" t="str">
            <v/>
          </cell>
          <cell r="AK427" t="str">
            <v>0.050370</v>
          </cell>
          <cell r="AL427" t="str">
            <v>1</v>
          </cell>
          <cell r="AM427" t="str">
            <v>F</v>
          </cell>
          <cell r="AN427" t="str">
            <v>M0</v>
          </cell>
          <cell r="AO427" t="str">
            <v>Active(Model)</v>
          </cell>
          <cell r="AP427" t="str">
            <v/>
          </cell>
          <cell r="AQ427" t="str">
            <v/>
          </cell>
          <cell r="AR427" t="str">
            <v>Y</v>
          </cell>
          <cell r="AS427" t="str">
            <v/>
          </cell>
          <cell r="AT427" t="str">
            <v>VC</v>
          </cell>
          <cell r="AU427" t="str">
            <v>Vacuum Cleaner</v>
          </cell>
          <cell r="AV427" t="str">
            <v>VCVC</v>
          </cell>
          <cell r="AW427" t="str">
            <v>Vacuum Cleaner</v>
          </cell>
          <cell r="AX427" t="str">
            <v>VCVCHS</v>
          </cell>
          <cell r="AY427" t="str">
            <v>H/Stick</v>
          </cell>
          <cell r="AZ427" t="str">
            <v>VCVCHSCL</v>
          </cell>
          <cell r="BA427" t="str">
            <v>H/Stick(Cordless)</v>
          </cell>
        </row>
        <row r="428">
          <cell r="E428" t="str">
            <v>O937WA.BKOR</v>
          </cell>
          <cell r="F428">
            <v>1</v>
          </cell>
          <cell r="G428">
            <v>0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448</v>
          </cell>
          <cell r="O428">
            <v>176</v>
          </cell>
          <cell r="P428">
            <v>448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 t="str">
            <v/>
          </cell>
          <cell r="AH428" t="str">
            <v/>
          </cell>
          <cell r="AI428" t="str">
            <v/>
          </cell>
          <cell r="AJ428" t="str">
            <v/>
          </cell>
          <cell r="AK428" t="str">
            <v>0.050370</v>
          </cell>
          <cell r="AL428" t="str">
            <v>1</v>
          </cell>
          <cell r="AM428" t="str">
            <v>F</v>
          </cell>
          <cell r="AN428" t="str">
            <v>M0</v>
          </cell>
          <cell r="AO428" t="str">
            <v>Active(Model)</v>
          </cell>
          <cell r="AP428" t="str">
            <v/>
          </cell>
          <cell r="AQ428" t="str">
            <v/>
          </cell>
          <cell r="AR428" t="str">
            <v>Y</v>
          </cell>
          <cell r="AS428" t="str">
            <v/>
          </cell>
          <cell r="AT428" t="str">
            <v>VC</v>
          </cell>
          <cell r="AU428" t="str">
            <v>Vacuum Cleaner</v>
          </cell>
          <cell r="AV428" t="str">
            <v>VCVC</v>
          </cell>
          <cell r="AW428" t="str">
            <v>Vacuum Cleaner</v>
          </cell>
          <cell r="AX428" t="str">
            <v>VCVCHS</v>
          </cell>
          <cell r="AY428" t="str">
            <v>H/Stick</v>
          </cell>
          <cell r="AZ428" t="str">
            <v>VCVCHSCL</v>
          </cell>
          <cell r="BA428" t="str">
            <v>H/Stick(Cordless)</v>
          </cell>
        </row>
        <row r="429">
          <cell r="E429" t="str">
            <v>O948WA.BKOR</v>
          </cell>
          <cell r="F429">
            <v>148</v>
          </cell>
          <cell r="G429">
            <v>0</v>
          </cell>
          <cell r="H429">
            <v>0</v>
          </cell>
          <cell r="I429">
            <v>148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 t="str">
            <v/>
          </cell>
          <cell r="AH429" t="str">
            <v/>
          </cell>
          <cell r="AI429" t="str">
            <v/>
          </cell>
          <cell r="AJ429" t="str">
            <v/>
          </cell>
          <cell r="AK429" t="str">
            <v>0.050370</v>
          </cell>
          <cell r="AL429" t="str">
            <v>1</v>
          </cell>
          <cell r="AM429" t="str">
            <v>F</v>
          </cell>
          <cell r="AN429" t="str">
            <v>M0</v>
          </cell>
          <cell r="AO429" t="str">
            <v>Active(Model)</v>
          </cell>
          <cell r="AP429" t="str">
            <v/>
          </cell>
          <cell r="AQ429" t="str">
            <v/>
          </cell>
          <cell r="AR429" t="str">
            <v>Y</v>
          </cell>
          <cell r="AS429" t="str">
            <v/>
          </cell>
          <cell r="AT429" t="str">
            <v>VC</v>
          </cell>
          <cell r="AU429" t="str">
            <v>Vacuum Cleaner</v>
          </cell>
          <cell r="AV429" t="str">
            <v>VCVC</v>
          </cell>
          <cell r="AW429" t="str">
            <v>Vacuum Cleaner</v>
          </cell>
          <cell r="AX429" t="str">
            <v>VCVCHS</v>
          </cell>
          <cell r="AY429" t="str">
            <v>H/Stick</v>
          </cell>
          <cell r="AZ429" t="str">
            <v>VCVCHSCL</v>
          </cell>
          <cell r="BA429" t="str">
            <v>H/Stick(Cordless)</v>
          </cell>
        </row>
        <row r="430">
          <cell r="E430" t="str">
            <v>O958BWE.BKOR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507</v>
          </cell>
          <cell r="O430">
            <v>323</v>
          </cell>
          <cell r="P430">
            <v>507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 t="str">
            <v/>
          </cell>
          <cell r="AH430" t="str">
            <v/>
          </cell>
          <cell r="AI430" t="str">
            <v/>
          </cell>
          <cell r="AJ430" t="str">
            <v/>
          </cell>
          <cell r="AK430" t="str">
            <v>0.045920</v>
          </cell>
          <cell r="AL430" t="str">
            <v>1</v>
          </cell>
          <cell r="AM430" t="str">
            <v>F</v>
          </cell>
          <cell r="AN430" t="str">
            <v>M0</v>
          </cell>
          <cell r="AO430" t="str">
            <v>Active(Model)</v>
          </cell>
          <cell r="AP430" t="str">
            <v/>
          </cell>
          <cell r="AQ430" t="str">
            <v/>
          </cell>
          <cell r="AR430" t="str">
            <v>Y</v>
          </cell>
          <cell r="AS430" t="str">
            <v/>
          </cell>
          <cell r="AT430" t="str">
            <v>VC</v>
          </cell>
          <cell r="AU430" t="str">
            <v>Vacuum Cleaner</v>
          </cell>
          <cell r="AV430" t="str">
            <v>VCVC</v>
          </cell>
          <cell r="AW430" t="str">
            <v>Vacuum Cleaner</v>
          </cell>
          <cell r="AX430" t="str">
            <v>VCVCHS</v>
          </cell>
          <cell r="AY430" t="str">
            <v>H/Stick</v>
          </cell>
          <cell r="AZ430" t="str">
            <v>VCVCHSCL</v>
          </cell>
          <cell r="BA430" t="str">
            <v>H/Stick(Cordless)</v>
          </cell>
        </row>
        <row r="431">
          <cell r="E431" t="str">
            <v>O958WB.BKOR</v>
          </cell>
          <cell r="F431">
            <v>598</v>
          </cell>
          <cell r="G431">
            <v>0</v>
          </cell>
          <cell r="H431">
            <v>0</v>
          </cell>
          <cell r="I431">
            <v>598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 t="str">
            <v/>
          </cell>
          <cell r="AH431" t="str">
            <v/>
          </cell>
          <cell r="AI431" t="str">
            <v/>
          </cell>
          <cell r="AJ431" t="str">
            <v/>
          </cell>
          <cell r="AK431" t="str">
            <v>0.045920</v>
          </cell>
          <cell r="AL431" t="str">
            <v>1</v>
          </cell>
          <cell r="AM431" t="str">
            <v>F</v>
          </cell>
          <cell r="AN431" t="str">
            <v>M0</v>
          </cell>
          <cell r="AO431" t="str">
            <v>Active(Model)</v>
          </cell>
          <cell r="AP431" t="str">
            <v/>
          </cell>
          <cell r="AQ431" t="str">
            <v/>
          </cell>
          <cell r="AR431" t="str">
            <v>Y</v>
          </cell>
          <cell r="AS431" t="str">
            <v/>
          </cell>
          <cell r="AT431" t="str">
            <v>VC</v>
          </cell>
          <cell r="AU431" t="str">
            <v>Vacuum Cleaner</v>
          </cell>
          <cell r="AV431" t="str">
            <v>VCVC</v>
          </cell>
          <cell r="AW431" t="str">
            <v>Vacuum Cleaner</v>
          </cell>
          <cell r="AX431" t="str">
            <v>VCVCHS</v>
          </cell>
          <cell r="AY431" t="str">
            <v>H/Stick</v>
          </cell>
          <cell r="AZ431" t="str">
            <v>VCVCHSCL</v>
          </cell>
          <cell r="BA431" t="str">
            <v>H/Stick(Cordless)</v>
          </cell>
        </row>
        <row r="432">
          <cell r="E432" t="str">
            <v>PSM04N25G0.EVHAP00</v>
          </cell>
          <cell r="F432">
            <v>8046</v>
          </cell>
          <cell r="G432">
            <v>0</v>
          </cell>
          <cell r="H432">
            <v>0</v>
          </cell>
          <cell r="I432">
            <v>8046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2880</v>
          </cell>
          <cell r="O432">
            <v>720</v>
          </cell>
          <cell r="P432">
            <v>2880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 t="str">
            <v/>
          </cell>
          <cell r="AH432" t="str">
            <v/>
          </cell>
          <cell r="AI432" t="str">
            <v/>
          </cell>
          <cell r="AJ432" t="str">
            <v/>
          </cell>
          <cell r="AK432" t="str">
            <v>0.034992</v>
          </cell>
          <cell r="AL432" t="str">
            <v>1</v>
          </cell>
          <cell r="AM432" t="str">
            <v>F</v>
          </cell>
          <cell r="AN432" t="str">
            <v>M0</v>
          </cell>
          <cell r="AO432" t="str">
            <v>Active(Model)</v>
          </cell>
          <cell r="AP432" t="str">
            <v/>
          </cell>
          <cell r="AQ432" t="str">
            <v/>
          </cell>
          <cell r="AR432" t="str">
            <v>Y</v>
          </cell>
          <cell r="AS432" t="str">
            <v/>
          </cell>
          <cell r="AT432" t="str">
            <v>FM</v>
          </cell>
          <cell r="AU432" t="str">
            <v>Advanced Material</v>
          </cell>
          <cell r="AV432" t="str">
            <v>FMAM</v>
          </cell>
          <cell r="AW432" t="str">
            <v>Anti Microbial</v>
          </cell>
          <cell r="AX432" t="str">
            <v>FMAMPO</v>
          </cell>
          <cell r="AY432" t="str">
            <v>POwder</v>
          </cell>
          <cell r="AZ432" t="str">
            <v>FMAMPORZ</v>
          </cell>
          <cell r="BA432" t="str">
            <v>Resin_Zinc</v>
          </cell>
        </row>
        <row r="433">
          <cell r="E433" t="str">
            <v>RRBMDCTN1G2.BEVNT09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32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 t="str">
            <v/>
          </cell>
          <cell r="AH433" t="str">
            <v/>
          </cell>
          <cell r="AI433" t="str">
            <v>KR23P00019340</v>
          </cell>
          <cell r="AJ433" t="str">
            <v>RRBMDCTN1G2.ARFQ</v>
          </cell>
          <cell r="AK433" t="str">
            <v>0.013034</v>
          </cell>
          <cell r="AL433" t="str">
            <v>1</v>
          </cell>
          <cell r="AM433" t="str">
            <v>F</v>
          </cell>
          <cell r="AN433" t="str">
            <v>M0</v>
          </cell>
          <cell r="AO433" t="str">
            <v>Active(Model)</v>
          </cell>
          <cell r="AP433" t="str">
            <v/>
          </cell>
          <cell r="AQ433" t="str">
            <v/>
          </cell>
          <cell r="AR433" t="str">
            <v>Y</v>
          </cell>
          <cell r="AS433" t="str">
            <v/>
          </cell>
          <cell r="AT433" t="str">
            <v>IN</v>
          </cell>
          <cell r="AU433" t="str">
            <v>Infotainment</v>
          </cell>
          <cell r="AV433" t="str">
            <v>INAV</v>
          </cell>
          <cell r="AW433" t="str">
            <v>AV/AVN</v>
          </cell>
          <cell r="AX433" t="str">
            <v>INAVRS</v>
          </cell>
          <cell r="AY433" t="str">
            <v>RSE</v>
          </cell>
          <cell r="AZ433" t="str">
            <v>INAVRSRS</v>
          </cell>
          <cell r="BA433" t="str">
            <v>RSE with Display</v>
          </cell>
        </row>
        <row r="434">
          <cell r="E434" t="str">
            <v>RRGMCCTN1G5.BNAAT06</v>
          </cell>
          <cell r="F434">
            <v>2009</v>
          </cell>
          <cell r="G434">
            <v>0</v>
          </cell>
          <cell r="H434">
            <v>0</v>
          </cell>
          <cell r="I434">
            <v>2009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 t="str">
            <v/>
          </cell>
          <cell r="AH434" t="str">
            <v/>
          </cell>
          <cell r="AI434" t="str">
            <v>KR20P03592250</v>
          </cell>
          <cell r="AJ434" t="str">
            <v>RRGMCCTN1G5.ARFQ</v>
          </cell>
          <cell r="AK434" t="str">
            <v>0.004736</v>
          </cell>
          <cell r="AL434" t="str">
            <v>1</v>
          </cell>
          <cell r="AM434" t="str">
            <v>F</v>
          </cell>
          <cell r="AN434" t="str">
            <v>M0</v>
          </cell>
          <cell r="AO434" t="str">
            <v>Active(Model)</v>
          </cell>
          <cell r="AP434" t="str">
            <v/>
          </cell>
          <cell r="AQ434" t="str">
            <v/>
          </cell>
          <cell r="AR434" t="str">
            <v>Y</v>
          </cell>
          <cell r="AS434" t="str">
            <v/>
          </cell>
          <cell r="AT434" t="str">
            <v>IN</v>
          </cell>
          <cell r="AU434" t="str">
            <v>Infotainment</v>
          </cell>
          <cell r="AV434" t="str">
            <v>INAV</v>
          </cell>
          <cell r="AW434" t="str">
            <v>AV/AVN</v>
          </cell>
          <cell r="AX434" t="str">
            <v>INAVRS</v>
          </cell>
          <cell r="AY434" t="str">
            <v>RSE</v>
          </cell>
          <cell r="AZ434" t="str">
            <v>INAVRSRS</v>
          </cell>
          <cell r="BA434" t="str">
            <v>RSE with Display</v>
          </cell>
        </row>
        <row r="435">
          <cell r="E435" t="str">
            <v>RRGMCCTN1G5.BNAFZ07</v>
          </cell>
          <cell r="F435">
            <v>2749</v>
          </cell>
          <cell r="G435">
            <v>0</v>
          </cell>
          <cell r="H435">
            <v>0</v>
          </cell>
          <cell r="I435">
            <v>2749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6790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 t="str">
            <v/>
          </cell>
          <cell r="AH435" t="str">
            <v/>
          </cell>
          <cell r="AI435" t="str">
            <v>KR20P03592250</v>
          </cell>
          <cell r="AJ435" t="str">
            <v>RRGMCCTN1G5.ARFQ</v>
          </cell>
          <cell r="AK435" t="str">
            <v>0.013034</v>
          </cell>
          <cell r="AL435" t="str">
            <v>1</v>
          </cell>
          <cell r="AM435" t="str">
            <v>F</v>
          </cell>
          <cell r="AN435" t="str">
            <v>M0</v>
          </cell>
          <cell r="AO435" t="str">
            <v>Active(Model)</v>
          </cell>
          <cell r="AP435" t="str">
            <v/>
          </cell>
          <cell r="AQ435" t="str">
            <v/>
          </cell>
          <cell r="AR435" t="str">
            <v>Y</v>
          </cell>
          <cell r="AS435" t="str">
            <v/>
          </cell>
          <cell r="AT435" t="str">
            <v>IN</v>
          </cell>
          <cell r="AU435" t="str">
            <v>Infotainment</v>
          </cell>
          <cell r="AV435" t="str">
            <v>INAV</v>
          </cell>
          <cell r="AW435" t="str">
            <v>AV/AVN</v>
          </cell>
          <cell r="AX435" t="str">
            <v>INAVRS</v>
          </cell>
          <cell r="AY435" t="str">
            <v>RSE</v>
          </cell>
          <cell r="AZ435" t="str">
            <v>INAVRSRS</v>
          </cell>
          <cell r="BA435" t="str">
            <v>RSE with Display</v>
          </cell>
        </row>
        <row r="436">
          <cell r="E436" t="str">
            <v>RRGMCCTN1G6.BNAAT06</v>
          </cell>
          <cell r="F436">
            <v>3560</v>
          </cell>
          <cell r="G436">
            <v>0</v>
          </cell>
          <cell r="H436">
            <v>0</v>
          </cell>
          <cell r="I436">
            <v>3560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 t="str">
            <v/>
          </cell>
          <cell r="AH436" t="str">
            <v/>
          </cell>
          <cell r="AI436" t="str">
            <v>KR20P03592250</v>
          </cell>
          <cell r="AJ436" t="str">
            <v>RRGMCCTN1G6.ARFQ</v>
          </cell>
          <cell r="AK436" t="str">
            <v>0.004736</v>
          </cell>
          <cell r="AL436" t="str">
            <v>1</v>
          </cell>
          <cell r="AM436" t="str">
            <v>F</v>
          </cell>
          <cell r="AN436" t="str">
            <v>M0</v>
          </cell>
          <cell r="AO436" t="str">
            <v>Active(Model)</v>
          </cell>
          <cell r="AP436" t="str">
            <v/>
          </cell>
          <cell r="AQ436" t="str">
            <v/>
          </cell>
          <cell r="AR436" t="str">
            <v>Y</v>
          </cell>
          <cell r="AS436" t="str">
            <v/>
          </cell>
          <cell r="AT436" t="str">
            <v>IN</v>
          </cell>
          <cell r="AU436" t="str">
            <v>Infotainment</v>
          </cell>
          <cell r="AV436" t="str">
            <v>INAV</v>
          </cell>
          <cell r="AW436" t="str">
            <v>AV/AVN</v>
          </cell>
          <cell r="AX436" t="str">
            <v>INAVRS</v>
          </cell>
          <cell r="AY436" t="str">
            <v>RSE</v>
          </cell>
          <cell r="AZ436" t="str">
            <v>INAVRSRS</v>
          </cell>
          <cell r="BA436" t="str">
            <v>RSE with Display</v>
          </cell>
        </row>
        <row r="437">
          <cell r="E437" t="str">
            <v>RRGMCCTN1G6.BNCYS84</v>
          </cell>
          <cell r="F437">
            <v>1</v>
          </cell>
          <cell r="G437">
            <v>0</v>
          </cell>
          <cell r="H437">
            <v>0</v>
          </cell>
          <cell r="I437">
            <v>1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 t="str">
            <v/>
          </cell>
          <cell r="AH437" t="str">
            <v/>
          </cell>
          <cell r="AI437" t="str">
            <v>KR20P03592250</v>
          </cell>
          <cell r="AJ437" t="str">
            <v>RRGMCCTN1G6.ARFQ</v>
          </cell>
          <cell r="AK437" t="str">
            <v>0.004736</v>
          </cell>
          <cell r="AL437" t="str">
            <v>1</v>
          </cell>
          <cell r="AM437" t="str">
            <v>F</v>
          </cell>
          <cell r="AN437" t="str">
            <v>M0</v>
          </cell>
          <cell r="AO437" t="str">
            <v>Active(Model)</v>
          </cell>
          <cell r="AP437" t="str">
            <v/>
          </cell>
          <cell r="AQ437" t="str">
            <v/>
          </cell>
          <cell r="AR437" t="str">
            <v>Y</v>
          </cell>
          <cell r="AS437" t="str">
            <v/>
          </cell>
          <cell r="AT437" t="str">
            <v>IN</v>
          </cell>
          <cell r="AU437" t="str">
            <v>Infotainment</v>
          </cell>
          <cell r="AV437" t="str">
            <v>INAV</v>
          </cell>
          <cell r="AW437" t="str">
            <v>AV/AVN</v>
          </cell>
          <cell r="AX437" t="str">
            <v>INAVRS</v>
          </cell>
          <cell r="AY437" t="str">
            <v>RSE</v>
          </cell>
          <cell r="AZ437" t="str">
            <v>INAVRSRS</v>
          </cell>
          <cell r="BA437" t="str">
            <v>RSE with Display</v>
          </cell>
        </row>
        <row r="438">
          <cell r="E438" t="str">
            <v>T-ST2TL.BKOR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63</v>
          </cell>
          <cell r="O438">
            <v>0</v>
          </cell>
          <cell r="P438">
            <v>63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 t="str">
            <v/>
          </cell>
          <cell r="AH438" t="str">
            <v/>
          </cell>
          <cell r="AI438" t="str">
            <v/>
          </cell>
          <cell r="AJ438" t="str">
            <v/>
          </cell>
          <cell r="AK438" t="str">
            <v>0.102473</v>
          </cell>
          <cell r="AL438" t="str">
            <v>1</v>
          </cell>
          <cell r="AM438" t="str">
            <v>F</v>
          </cell>
          <cell r="AN438" t="str">
            <v>M0</v>
          </cell>
          <cell r="AO438" t="str">
            <v>Active(Model)</v>
          </cell>
          <cell r="AP438" t="str">
            <v/>
          </cell>
          <cell r="AQ438" t="str">
            <v/>
          </cell>
          <cell r="AR438" t="str">
            <v>Y</v>
          </cell>
          <cell r="AS438" t="str">
            <v/>
          </cell>
          <cell r="AT438" t="str">
            <v>VC</v>
          </cell>
          <cell r="AU438" t="str">
            <v>Vacuum Cleaner</v>
          </cell>
          <cell r="AV438" t="str">
            <v>VCVC</v>
          </cell>
          <cell r="AW438" t="str">
            <v>Vacuum Cleaner</v>
          </cell>
          <cell r="AX438" t="str">
            <v>VCVCEA</v>
          </cell>
          <cell r="AY438" t="str">
            <v>Etc</v>
          </cell>
          <cell r="AZ438" t="str">
            <v>VCVCEADS</v>
          </cell>
          <cell r="BA438" t="str">
            <v>Dumping Station (Vacuum Cleaner)</v>
          </cell>
        </row>
        <row r="439">
          <cell r="E439" t="str">
            <v>T-ST2WL.BKOR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514</v>
          </cell>
          <cell r="O439">
            <v>168</v>
          </cell>
          <cell r="P439">
            <v>514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 t="str">
            <v/>
          </cell>
          <cell r="AH439" t="str">
            <v/>
          </cell>
          <cell r="AI439" t="str">
            <v/>
          </cell>
          <cell r="AJ439" t="str">
            <v/>
          </cell>
          <cell r="AK439" t="str">
            <v>0.102473</v>
          </cell>
          <cell r="AL439" t="str">
            <v>1</v>
          </cell>
          <cell r="AM439" t="str">
            <v>F</v>
          </cell>
          <cell r="AN439" t="str">
            <v>M0</v>
          </cell>
          <cell r="AO439" t="str">
            <v>Active(Model)</v>
          </cell>
          <cell r="AP439" t="str">
            <v/>
          </cell>
          <cell r="AQ439" t="str">
            <v/>
          </cell>
          <cell r="AR439" t="str">
            <v>Y</v>
          </cell>
          <cell r="AS439" t="str">
            <v/>
          </cell>
          <cell r="AT439" t="str">
            <v>VC</v>
          </cell>
          <cell r="AU439" t="str">
            <v>Vacuum Cleaner</v>
          </cell>
          <cell r="AV439" t="str">
            <v>VCVC</v>
          </cell>
          <cell r="AW439" t="str">
            <v>Vacuum Cleaner</v>
          </cell>
          <cell r="AX439" t="str">
            <v>VCVCEA</v>
          </cell>
          <cell r="AY439" t="str">
            <v>Etc</v>
          </cell>
          <cell r="AZ439" t="str">
            <v>VCVCEADS</v>
          </cell>
          <cell r="BA439" t="str">
            <v>Dumping Station (Vacuum Cleaner)</v>
          </cell>
        </row>
        <row r="440">
          <cell r="E440" t="str">
            <v>T-ST4WL.BKOR</v>
          </cell>
          <cell r="F440">
            <v>1986</v>
          </cell>
          <cell r="G440">
            <v>0</v>
          </cell>
          <cell r="H440">
            <v>0</v>
          </cell>
          <cell r="I440">
            <v>1986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965</v>
          </cell>
          <cell r="O440">
            <v>176</v>
          </cell>
          <cell r="P440">
            <v>965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 t="str">
            <v/>
          </cell>
          <cell r="AH440" t="str">
            <v/>
          </cell>
          <cell r="AI440" t="str">
            <v/>
          </cell>
          <cell r="AJ440" t="str">
            <v/>
          </cell>
          <cell r="AK440" t="str">
            <v>0.103590</v>
          </cell>
          <cell r="AL440" t="str">
            <v>1</v>
          </cell>
          <cell r="AM440" t="str">
            <v>F</v>
          </cell>
          <cell r="AN440" t="str">
            <v>M0</v>
          </cell>
          <cell r="AO440" t="str">
            <v>Active(Model)</v>
          </cell>
          <cell r="AP440" t="str">
            <v/>
          </cell>
          <cell r="AQ440" t="str">
            <v/>
          </cell>
          <cell r="AR440" t="str">
            <v>Y</v>
          </cell>
          <cell r="AS440" t="str">
            <v/>
          </cell>
          <cell r="AT440" t="str">
            <v>VC</v>
          </cell>
          <cell r="AU440" t="str">
            <v>Vacuum Cleaner</v>
          </cell>
          <cell r="AV440" t="str">
            <v>VCVC</v>
          </cell>
          <cell r="AW440" t="str">
            <v>Vacuum Cleaner</v>
          </cell>
          <cell r="AX440" t="str">
            <v>VCVCEA</v>
          </cell>
          <cell r="AY440" t="str">
            <v>Etc</v>
          </cell>
          <cell r="AZ440" t="str">
            <v>VCVCEADS</v>
          </cell>
          <cell r="BA440" t="str">
            <v>Dumping Station (Vacuum Cleaner)</v>
          </cell>
        </row>
        <row r="441">
          <cell r="E441" t="str">
            <v>T-ST6B5.BKOR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179</v>
          </cell>
          <cell r="O441">
            <v>3</v>
          </cell>
          <cell r="P441">
            <v>179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 t="str">
            <v/>
          </cell>
          <cell r="AH441" t="str">
            <v/>
          </cell>
          <cell r="AI441" t="str">
            <v/>
          </cell>
          <cell r="AJ441" t="str">
            <v/>
          </cell>
          <cell r="AK441" t="str">
            <v>0.103590</v>
          </cell>
          <cell r="AL441" t="str">
            <v>1</v>
          </cell>
          <cell r="AM441" t="str">
            <v>F</v>
          </cell>
          <cell r="AN441" t="str">
            <v>M0</v>
          </cell>
          <cell r="AO441" t="str">
            <v>Active(Model)</v>
          </cell>
          <cell r="AP441" t="str">
            <v/>
          </cell>
          <cell r="AQ441" t="str">
            <v/>
          </cell>
          <cell r="AR441" t="str">
            <v>Y</v>
          </cell>
          <cell r="AS441" t="str">
            <v/>
          </cell>
          <cell r="AT441" t="str">
            <v>VC</v>
          </cell>
          <cell r="AU441" t="str">
            <v>Vacuum Cleaner</v>
          </cell>
          <cell r="AV441" t="str">
            <v>VCVC</v>
          </cell>
          <cell r="AW441" t="str">
            <v>Vacuum Cleaner</v>
          </cell>
          <cell r="AX441" t="str">
            <v>VCVCEA</v>
          </cell>
          <cell r="AY441" t="str">
            <v>Etc</v>
          </cell>
          <cell r="AZ441" t="str">
            <v>VCVCEADS</v>
          </cell>
          <cell r="BA441" t="str">
            <v>Dumping Station (Vacuum Cleaner)</v>
          </cell>
        </row>
        <row r="442">
          <cell r="E442" t="str">
            <v>T-ST6W5.BKOR</v>
          </cell>
          <cell r="F442">
            <v>46</v>
          </cell>
          <cell r="G442">
            <v>0</v>
          </cell>
          <cell r="H442">
            <v>0</v>
          </cell>
          <cell r="I442">
            <v>46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 t="str">
            <v/>
          </cell>
          <cell r="AH442" t="str">
            <v/>
          </cell>
          <cell r="AI442" t="str">
            <v/>
          </cell>
          <cell r="AJ442" t="str">
            <v/>
          </cell>
          <cell r="AK442" t="str">
            <v>0.095899</v>
          </cell>
          <cell r="AL442" t="str">
            <v>1</v>
          </cell>
          <cell r="AM442" t="str">
            <v>F</v>
          </cell>
          <cell r="AN442" t="str">
            <v>M0</v>
          </cell>
          <cell r="AO442" t="str">
            <v>Active(Model)</v>
          </cell>
          <cell r="AP442" t="str">
            <v/>
          </cell>
          <cell r="AQ442" t="str">
            <v/>
          </cell>
          <cell r="AR442" t="str">
            <v>Y</v>
          </cell>
          <cell r="AS442" t="str">
            <v/>
          </cell>
          <cell r="AT442" t="str">
            <v>VC</v>
          </cell>
          <cell r="AU442" t="str">
            <v>Vacuum Cleaner</v>
          </cell>
          <cell r="AV442" t="str">
            <v>VCVC</v>
          </cell>
          <cell r="AW442" t="str">
            <v>Vacuum Cleaner</v>
          </cell>
          <cell r="AX442" t="str">
            <v>VCVCEA</v>
          </cell>
          <cell r="AY442" t="str">
            <v>Etc</v>
          </cell>
          <cell r="AZ442" t="str">
            <v>VCVCEADS</v>
          </cell>
          <cell r="BA442" t="str">
            <v>Dumping Station (Vacuum Cleaner)</v>
          </cell>
        </row>
        <row r="443">
          <cell r="E443" t="str">
            <v>T2312VBTN.ANBPEXP</v>
          </cell>
          <cell r="F443">
            <v>453</v>
          </cell>
          <cell r="G443">
            <v>0</v>
          </cell>
          <cell r="H443">
            <v>0</v>
          </cell>
          <cell r="I443">
            <v>453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 t="str">
            <v/>
          </cell>
          <cell r="AH443" t="str">
            <v/>
          </cell>
          <cell r="AI443" t="str">
            <v/>
          </cell>
          <cell r="AJ443" t="str">
            <v/>
          </cell>
          <cell r="AK443" t="str">
            <v>0.441438</v>
          </cell>
          <cell r="AL443" t="str">
            <v>1</v>
          </cell>
          <cell r="AM443" t="str">
            <v>F</v>
          </cell>
          <cell r="AN443" t="str">
            <v>M0</v>
          </cell>
          <cell r="AO443" t="str">
            <v>Active(Model)</v>
          </cell>
          <cell r="AP443" t="str">
            <v/>
          </cell>
          <cell r="AQ443" t="str">
            <v/>
          </cell>
          <cell r="AR443" t="str">
            <v>Y</v>
          </cell>
          <cell r="AS443" t="str">
            <v/>
          </cell>
          <cell r="AT443" t="str">
            <v>WM</v>
          </cell>
          <cell r="AU443" t="str">
            <v>Washing Machine</v>
          </cell>
          <cell r="AV443" t="str">
            <v>WMWL</v>
          </cell>
          <cell r="AW443" t="str">
            <v>Clothes Washer</v>
          </cell>
          <cell r="AX443" t="str">
            <v>WMWLTL</v>
          </cell>
          <cell r="AY443" t="str">
            <v>Clothes Washer_Top Loader</v>
          </cell>
          <cell r="AZ443" t="str">
            <v>WMWLTLFA</v>
          </cell>
          <cell r="BA443" t="str">
            <v>Clothes Washer_Pulsator(Auto)</v>
          </cell>
        </row>
        <row r="444">
          <cell r="E444" t="str">
            <v>T2313VBTN.ANBPEXP</v>
          </cell>
          <cell r="F444">
            <v>341</v>
          </cell>
          <cell r="G444">
            <v>0</v>
          </cell>
          <cell r="H444">
            <v>0</v>
          </cell>
          <cell r="I444">
            <v>341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 t="str">
            <v/>
          </cell>
          <cell r="AH444" t="str">
            <v/>
          </cell>
          <cell r="AI444" t="str">
            <v/>
          </cell>
          <cell r="AJ444" t="str">
            <v/>
          </cell>
          <cell r="AK444" t="str">
            <v>0.441438</v>
          </cell>
          <cell r="AL444" t="str">
            <v>1</v>
          </cell>
          <cell r="AM444" t="str">
            <v>F</v>
          </cell>
          <cell r="AN444" t="str">
            <v>M0</v>
          </cell>
          <cell r="AO444" t="str">
            <v>Active(Model)</v>
          </cell>
          <cell r="AP444" t="str">
            <v/>
          </cell>
          <cell r="AQ444" t="str">
            <v/>
          </cell>
          <cell r="AR444" t="str">
            <v>Y</v>
          </cell>
          <cell r="AS444" t="str">
            <v/>
          </cell>
          <cell r="AT444" t="str">
            <v>WM</v>
          </cell>
          <cell r="AU444" t="str">
            <v>Washing Machine</v>
          </cell>
          <cell r="AV444" t="str">
            <v>WMWL</v>
          </cell>
          <cell r="AW444" t="str">
            <v>Clothes Washer</v>
          </cell>
          <cell r="AX444" t="str">
            <v>WMWLTL</v>
          </cell>
          <cell r="AY444" t="str">
            <v>Clothes Washer_Top Loader</v>
          </cell>
          <cell r="AZ444" t="str">
            <v>WMWLTLFA</v>
          </cell>
          <cell r="BA444" t="str">
            <v>Clothes Washer_Pulsator(Auto)</v>
          </cell>
        </row>
        <row r="445">
          <cell r="E445" t="str">
            <v>TA4HEB-C2.BUK25A1</v>
          </cell>
          <cell r="F445">
            <v>841</v>
          </cell>
          <cell r="G445">
            <v>0</v>
          </cell>
          <cell r="H445">
            <v>0</v>
          </cell>
          <cell r="I445">
            <v>841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 t="str">
            <v/>
          </cell>
          <cell r="AH445" t="str">
            <v/>
          </cell>
          <cell r="AI445" t="str">
            <v>KR17P01517300</v>
          </cell>
          <cell r="AJ445" t="str">
            <v>TAJLBIBNC00.ARFQ</v>
          </cell>
          <cell r="AK445" t="str">
            <v>0.001865</v>
          </cell>
          <cell r="AL445" t="str">
            <v>1</v>
          </cell>
          <cell r="AM445" t="str">
            <v>F</v>
          </cell>
          <cell r="AN445" t="str">
            <v>M0</v>
          </cell>
          <cell r="AO445" t="str">
            <v>Active(Model)</v>
          </cell>
          <cell r="AP445" t="str">
            <v/>
          </cell>
          <cell r="AQ445" t="str">
            <v/>
          </cell>
          <cell r="AR445" t="str">
            <v>Y</v>
          </cell>
          <cell r="AS445" t="str">
            <v/>
          </cell>
          <cell r="AT445" t="str">
            <v>IN</v>
          </cell>
          <cell r="AU445" t="str">
            <v>Infotainment</v>
          </cell>
          <cell r="AV445" t="str">
            <v>INCO</v>
          </cell>
          <cell r="AW445" t="str">
            <v>Connectivity</v>
          </cell>
          <cell r="AX445" t="str">
            <v>INCOTE</v>
          </cell>
          <cell r="AY445" t="str">
            <v>Telematics</v>
          </cell>
          <cell r="AZ445" t="str">
            <v>INCOTELA</v>
          </cell>
          <cell r="BA445" t="str">
            <v>Telematics LTE-A</v>
          </cell>
        </row>
        <row r="446">
          <cell r="E446" t="str">
            <v>TA4HEB-N2.BUK25A1</v>
          </cell>
          <cell r="F446">
            <v>3578</v>
          </cell>
          <cell r="G446">
            <v>0</v>
          </cell>
          <cell r="H446">
            <v>0</v>
          </cell>
          <cell r="I446">
            <v>3578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 t="str">
            <v/>
          </cell>
          <cell r="AH446" t="str">
            <v/>
          </cell>
          <cell r="AI446" t="str">
            <v>KR17P01517300</v>
          </cell>
          <cell r="AJ446" t="str">
            <v>TAJLBIBN2A2.ARFQ</v>
          </cell>
          <cell r="AK446" t="str">
            <v>0.001865</v>
          </cell>
          <cell r="AL446" t="str">
            <v>1</v>
          </cell>
          <cell r="AM446" t="str">
            <v>F</v>
          </cell>
          <cell r="AN446" t="str">
            <v>M0</v>
          </cell>
          <cell r="AO446" t="str">
            <v>Active(Model)</v>
          </cell>
          <cell r="AP446" t="str">
            <v/>
          </cell>
          <cell r="AQ446" t="str">
            <v/>
          </cell>
          <cell r="AR446" t="str">
            <v>Y</v>
          </cell>
          <cell r="AS446" t="str">
            <v/>
          </cell>
          <cell r="AT446" t="str">
            <v>IN</v>
          </cell>
          <cell r="AU446" t="str">
            <v>Infotainment</v>
          </cell>
          <cell r="AV446" t="str">
            <v>INCO</v>
          </cell>
          <cell r="AW446" t="str">
            <v>Connectivity</v>
          </cell>
          <cell r="AX446" t="str">
            <v>INCOTE</v>
          </cell>
          <cell r="AY446" t="str">
            <v>Telematics</v>
          </cell>
          <cell r="AZ446" t="str">
            <v>INCOTELA</v>
          </cell>
          <cell r="BA446" t="str">
            <v>Telematics LTE-A</v>
          </cell>
        </row>
        <row r="447">
          <cell r="E447" t="str">
            <v>TA4HEB-T.BUK25A1</v>
          </cell>
          <cell r="F447">
            <v>72</v>
          </cell>
          <cell r="G447">
            <v>0</v>
          </cell>
          <cell r="H447">
            <v>0</v>
          </cell>
          <cell r="I447">
            <v>72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 t="str">
            <v/>
          </cell>
          <cell r="AH447" t="str">
            <v/>
          </cell>
          <cell r="AI447" t="str">
            <v>KR17P01517300</v>
          </cell>
          <cell r="AJ447" t="str">
            <v>TAJLBIBNT00.ARFQ</v>
          </cell>
          <cell r="AK447" t="str">
            <v>0.001865</v>
          </cell>
          <cell r="AL447" t="str">
            <v>1</v>
          </cell>
          <cell r="AM447" t="str">
            <v>F</v>
          </cell>
          <cell r="AN447" t="str">
            <v>M0</v>
          </cell>
          <cell r="AO447" t="str">
            <v>Active(Model)</v>
          </cell>
          <cell r="AP447" t="str">
            <v/>
          </cell>
          <cell r="AQ447" t="str">
            <v/>
          </cell>
          <cell r="AR447" t="str">
            <v>Y</v>
          </cell>
          <cell r="AS447" t="str">
            <v/>
          </cell>
          <cell r="AT447" t="str">
            <v>IN</v>
          </cell>
          <cell r="AU447" t="str">
            <v>Infotainment</v>
          </cell>
          <cell r="AV447" t="str">
            <v>INCO</v>
          </cell>
          <cell r="AW447" t="str">
            <v>Connectivity</v>
          </cell>
          <cell r="AX447" t="str">
            <v>INCOTE</v>
          </cell>
          <cell r="AY447" t="str">
            <v>Telematics</v>
          </cell>
          <cell r="AZ447" t="str">
            <v>INCOTELA</v>
          </cell>
          <cell r="BA447" t="str">
            <v>Telematics LTE-A</v>
          </cell>
        </row>
        <row r="448">
          <cell r="E448" t="str">
            <v>TA4HEB-W.BUK25A1</v>
          </cell>
          <cell r="F448">
            <v>5288</v>
          </cell>
          <cell r="G448">
            <v>0</v>
          </cell>
          <cell r="H448">
            <v>0</v>
          </cell>
          <cell r="I448">
            <v>5288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 t="str">
            <v/>
          </cell>
          <cell r="AH448" t="str">
            <v/>
          </cell>
          <cell r="AI448" t="str">
            <v>KR17P01517300</v>
          </cell>
          <cell r="AJ448" t="str">
            <v>TAJLBIBN2A1.ARFQ</v>
          </cell>
          <cell r="AK448" t="str">
            <v>0.001865</v>
          </cell>
          <cell r="AL448" t="str">
            <v>1</v>
          </cell>
          <cell r="AM448" t="str">
            <v>F</v>
          </cell>
          <cell r="AN448" t="str">
            <v>M0</v>
          </cell>
          <cell r="AO448" t="str">
            <v>Active(Model)</v>
          </cell>
          <cell r="AP448" t="str">
            <v/>
          </cell>
          <cell r="AQ448" t="str">
            <v/>
          </cell>
          <cell r="AR448" t="str">
            <v>Y</v>
          </cell>
          <cell r="AS448" t="str">
            <v/>
          </cell>
          <cell r="AT448" t="str">
            <v>IN</v>
          </cell>
          <cell r="AU448" t="str">
            <v>Infotainment</v>
          </cell>
          <cell r="AV448" t="str">
            <v>INCO</v>
          </cell>
          <cell r="AW448" t="str">
            <v>Connectivity</v>
          </cell>
          <cell r="AX448" t="str">
            <v>INCOTE</v>
          </cell>
          <cell r="AY448" t="str">
            <v>Telematics</v>
          </cell>
          <cell r="AZ448" t="str">
            <v>INCOTELA</v>
          </cell>
          <cell r="BA448" t="str">
            <v>Telematics LTE-A</v>
          </cell>
        </row>
        <row r="449">
          <cell r="E449" t="str">
            <v>TA4LEN-T.BUK23AU</v>
          </cell>
          <cell r="F449">
            <v>17</v>
          </cell>
          <cell r="G449">
            <v>0</v>
          </cell>
          <cell r="H449">
            <v>0</v>
          </cell>
          <cell r="I449">
            <v>17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 t="str">
            <v/>
          </cell>
          <cell r="AH449" t="str">
            <v/>
          </cell>
          <cell r="AI449" t="str">
            <v>KR17P01517300</v>
          </cell>
          <cell r="AJ449" t="str">
            <v>TAJLBINNT00.ARFQ</v>
          </cell>
          <cell r="AK449" t="str">
            <v>0.001865</v>
          </cell>
          <cell r="AL449" t="str">
            <v>1</v>
          </cell>
          <cell r="AM449" t="str">
            <v>F</v>
          </cell>
          <cell r="AN449" t="str">
            <v>M0</v>
          </cell>
          <cell r="AO449" t="str">
            <v>Active(Model)</v>
          </cell>
          <cell r="AP449" t="str">
            <v/>
          </cell>
          <cell r="AQ449" t="str">
            <v/>
          </cell>
          <cell r="AR449" t="str">
            <v>Y</v>
          </cell>
          <cell r="AS449" t="str">
            <v/>
          </cell>
          <cell r="AT449" t="str">
            <v>IN</v>
          </cell>
          <cell r="AU449" t="str">
            <v>Infotainment</v>
          </cell>
          <cell r="AV449" t="str">
            <v>INCO</v>
          </cell>
          <cell r="AW449" t="str">
            <v>Connectivity</v>
          </cell>
          <cell r="AX449" t="str">
            <v>INCOTE</v>
          </cell>
          <cell r="AY449" t="str">
            <v>Telematics</v>
          </cell>
          <cell r="AZ449" t="str">
            <v>INCOTELA</v>
          </cell>
          <cell r="BA449" t="str">
            <v>Telematics LTE-A</v>
          </cell>
        </row>
        <row r="450">
          <cell r="E450" t="str">
            <v>TA4LEN-W.BUK25A1</v>
          </cell>
          <cell r="F450">
            <v>60</v>
          </cell>
          <cell r="G450">
            <v>0</v>
          </cell>
          <cell r="H450">
            <v>0</v>
          </cell>
          <cell r="I450">
            <v>60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 t="str">
            <v/>
          </cell>
          <cell r="AH450" t="str">
            <v/>
          </cell>
          <cell r="AI450" t="str">
            <v>KR17P01517300</v>
          </cell>
          <cell r="AJ450" t="str">
            <v>TAJLBINN2A1.ARFQ</v>
          </cell>
          <cell r="AK450" t="str">
            <v>0.001865</v>
          </cell>
          <cell r="AL450" t="str">
            <v>1</v>
          </cell>
          <cell r="AM450" t="str">
            <v>F</v>
          </cell>
          <cell r="AN450" t="str">
            <v>M0</v>
          </cell>
          <cell r="AO450" t="str">
            <v>Active(Model)</v>
          </cell>
          <cell r="AP450" t="str">
            <v/>
          </cell>
          <cell r="AQ450" t="str">
            <v/>
          </cell>
          <cell r="AR450" t="str">
            <v>Y</v>
          </cell>
          <cell r="AS450" t="str">
            <v/>
          </cell>
          <cell r="AT450" t="str">
            <v>IN</v>
          </cell>
          <cell r="AU450" t="str">
            <v>Infotainment</v>
          </cell>
          <cell r="AV450" t="str">
            <v>INCO</v>
          </cell>
          <cell r="AW450" t="str">
            <v>Connectivity</v>
          </cell>
          <cell r="AX450" t="str">
            <v>INCOTE</v>
          </cell>
          <cell r="AY450" t="str">
            <v>Telematics</v>
          </cell>
          <cell r="AZ450" t="str">
            <v>INCOTELA</v>
          </cell>
          <cell r="BA450" t="str">
            <v>Telematics LTE-A</v>
          </cell>
        </row>
        <row r="451">
          <cell r="E451" t="str">
            <v>TF24IEAE.BJPTO5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24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 t="str">
            <v/>
          </cell>
          <cell r="AH451" t="str">
            <v/>
          </cell>
          <cell r="AI451" t="str">
            <v>KR20P09336350</v>
          </cell>
          <cell r="AJ451" t="str">
            <v>TFTYNNBN0E5.ARFQ</v>
          </cell>
          <cell r="AK451" t="str">
            <v>0.001084</v>
          </cell>
          <cell r="AL451" t="str">
            <v>1</v>
          </cell>
          <cell r="AM451" t="str">
            <v>F</v>
          </cell>
          <cell r="AN451" t="str">
            <v>M0</v>
          </cell>
          <cell r="AO451" t="str">
            <v>Active(Model)</v>
          </cell>
          <cell r="AP451" t="str">
            <v/>
          </cell>
          <cell r="AQ451" t="str">
            <v/>
          </cell>
          <cell r="AR451" t="str">
            <v>Y</v>
          </cell>
          <cell r="AS451" t="str">
            <v/>
          </cell>
          <cell r="AT451" t="str">
            <v>IN</v>
          </cell>
          <cell r="AU451" t="str">
            <v>Infotainment</v>
          </cell>
          <cell r="AV451" t="str">
            <v>INCO</v>
          </cell>
          <cell r="AW451" t="str">
            <v>Connectivity</v>
          </cell>
          <cell r="AX451" t="str">
            <v>INCOTE</v>
          </cell>
          <cell r="AY451" t="str">
            <v>Telematics</v>
          </cell>
          <cell r="AZ451" t="str">
            <v>INCOTEFG</v>
          </cell>
          <cell r="BA451" t="str">
            <v>Telematics 5G</v>
          </cell>
        </row>
        <row r="452">
          <cell r="E452" t="str">
            <v>TF24IECE.BJPTO4</v>
          </cell>
          <cell r="F452">
            <v>24</v>
          </cell>
          <cell r="G452">
            <v>0</v>
          </cell>
          <cell r="H452">
            <v>0</v>
          </cell>
          <cell r="I452">
            <v>24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str">
            <v/>
          </cell>
          <cell r="AH452" t="str">
            <v/>
          </cell>
          <cell r="AI452" t="str">
            <v>KR20P09336350</v>
          </cell>
          <cell r="AJ452" t="str">
            <v>TFTYNNBN0E3.ARFQ</v>
          </cell>
          <cell r="AK452" t="str">
            <v>0.001084</v>
          </cell>
          <cell r="AL452" t="str">
            <v>1</v>
          </cell>
          <cell r="AM452" t="str">
            <v>F</v>
          </cell>
          <cell r="AN452" t="str">
            <v>M0</v>
          </cell>
          <cell r="AO452" t="str">
            <v>Active(Model)</v>
          </cell>
          <cell r="AP452" t="str">
            <v/>
          </cell>
          <cell r="AQ452" t="str">
            <v/>
          </cell>
          <cell r="AR452" t="str">
            <v>Y</v>
          </cell>
          <cell r="AS452" t="str">
            <v/>
          </cell>
          <cell r="AT452" t="str">
            <v>IN</v>
          </cell>
          <cell r="AU452" t="str">
            <v>Infotainment</v>
          </cell>
          <cell r="AV452" t="str">
            <v>INCO</v>
          </cell>
          <cell r="AW452" t="str">
            <v>Connectivity</v>
          </cell>
          <cell r="AX452" t="str">
            <v>INCOTE</v>
          </cell>
          <cell r="AY452" t="str">
            <v>Telematics</v>
          </cell>
          <cell r="AZ452" t="str">
            <v>INCOTEFG</v>
          </cell>
          <cell r="BA452" t="str">
            <v>Telematics 5G</v>
          </cell>
        </row>
        <row r="453">
          <cell r="E453" t="str">
            <v>TF24IEKE.BJPTO5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287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 t="str">
            <v/>
          </cell>
          <cell r="AH453" t="str">
            <v/>
          </cell>
          <cell r="AI453" t="str">
            <v>KR20P09336350</v>
          </cell>
          <cell r="AJ453" t="str">
            <v>TFTYNNBN0EK.ARFQ</v>
          </cell>
          <cell r="AK453" t="str">
            <v>0.001084</v>
          </cell>
          <cell r="AL453" t="str">
            <v>1</v>
          </cell>
          <cell r="AM453" t="str">
            <v>F</v>
          </cell>
          <cell r="AN453" t="str">
            <v>M0</v>
          </cell>
          <cell r="AO453" t="str">
            <v>Active(Model)</v>
          </cell>
          <cell r="AP453" t="str">
            <v/>
          </cell>
          <cell r="AQ453" t="str">
            <v/>
          </cell>
          <cell r="AR453" t="str">
            <v>Y</v>
          </cell>
          <cell r="AS453" t="str">
            <v/>
          </cell>
          <cell r="AT453" t="str">
            <v>IN</v>
          </cell>
          <cell r="AU453" t="str">
            <v>Infotainment</v>
          </cell>
          <cell r="AV453" t="str">
            <v>INCO</v>
          </cell>
          <cell r="AW453" t="str">
            <v>Connectivity</v>
          </cell>
          <cell r="AX453" t="str">
            <v>INCOTE</v>
          </cell>
          <cell r="AY453" t="str">
            <v>Telematics</v>
          </cell>
          <cell r="AZ453" t="str">
            <v>INCOTEFG</v>
          </cell>
          <cell r="BA453" t="str">
            <v>Telematics 5G</v>
          </cell>
        </row>
        <row r="454">
          <cell r="E454" t="str">
            <v>TF24IENE.BEVNT08</v>
          </cell>
          <cell r="F454">
            <v>4</v>
          </cell>
          <cell r="G454">
            <v>0</v>
          </cell>
          <cell r="H454">
            <v>0</v>
          </cell>
          <cell r="I454">
            <v>4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 t="str">
            <v/>
          </cell>
          <cell r="AH454" t="str">
            <v/>
          </cell>
          <cell r="AI454" t="str">
            <v>KR20P09336350</v>
          </cell>
          <cell r="AJ454" t="str">
            <v>TFTYNNBN0E1.ARFQ</v>
          </cell>
          <cell r="AK454" t="str">
            <v>0.001084</v>
          </cell>
          <cell r="AL454" t="str">
            <v>1</v>
          </cell>
          <cell r="AM454" t="str">
            <v>F</v>
          </cell>
          <cell r="AN454" t="str">
            <v>M0</v>
          </cell>
          <cell r="AO454" t="str">
            <v>Active(Model)</v>
          </cell>
          <cell r="AP454" t="str">
            <v/>
          </cell>
          <cell r="AQ454" t="str">
            <v/>
          </cell>
          <cell r="AR454" t="str">
            <v>Y</v>
          </cell>
          <cell r="AS454" t="str">
            <v/>
          </cell>
          <cell r="AT454" t="str">
            <v>IN</v>
          </cell>
          <cell r="AU454" t="str">
            <v>Infotainment</v>
          </cell>
          <cell r="AV454" t="str">
            <v>INCO</v>
          </cell>
          <cell r="AW454" t="str">
            <v>Connectivity</v>
          </cell>
          <cell r="AX454" t="str">
            <v>INCOTE</v>
          </cell>
          <cell r="AY454" t="str">
            <v>Telematics</v>
          </cell>
          <cell r="AZ454" t="str">
            <v>INCOTEFG</v>
          </cell>
          <cell r="BA454" t="str">
            <v>Telematics 5G</v>
          </cell>
        </row>
        <row r="455">
          <cell r="E455" t="str">
            <v>TF24IENE.BJPTO5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546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 t="str">
            <v/>
          </cell>
          <cell r="AH455" t="str">
            <v/>
          </cell>
          <cell r="AI455" t="str">
            <v>KR20P09336350</v>
          </cell>
          <cell r="AJ455" t="str">
            <v>TFTYNNBN0E1.ARFQ</v>
          </cell>
          <cell r="AK455" t="str">
            <v>0.001084</v>
          </cell>
          <cell r="AL455" t="str">
            <v>1</v>
          </cell>
          <cell r="AM455" t="str">
            <v>F</v>
          </cell>
          <cell r="AN455" t="str">
            <v>M0</v>
          </cell>
          <cell r="AO455" t="str">
            <v>Active(Model)</v>
          </cell>
          <cell r="AP455" t="str">
            <v/>
          </cell>
          <cell r="AQ455" t="str">
            <v/>
          </cell>
          <cell r="AR455" t="str">
            <v>Y</v>
          </cell>
          <cell r="AS455" t="str">
            <v/>
          </cell>
          <cell r="AT455" t="str">
            <v>IN</v>
          </cell>
          <cell r="AU455" t="str">
            <v>Infotainment</v>
          </cell>
          <cell r="AV455" t="str">
            <v>INCO</v>
          </cell>
          <cell r="AW455" t="str">
            <v>Connectivity</v>
          </cell>
          <cell r="AX455" t="str">
            <v>INCOTE</v>
          </cell>
          <cell r="AY455" t="str">
            <v>Telematics</v>
          </cell>
          <cell r="AZ455" t="str">
            <v>INCOTEFG</v>
          </cell>
          <cell r="BA455" t="str">
            <v>Telematics 5G</v>
          </cell>
        </row>
        <row r="456">
          <cell r="E456" t="str">
            <v>TF24SEAE.BJPTO5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1850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 t="str">
            <v/>
          </cell>
          <cell r="AH456" t="str">
            <v/>
          </cell>
          <cell r="AI456" t="str">
            <v>KR20P09336350</v>
          </cell>
          <cell r="AJ456" t="str">
            <v>TFTYNNBN0E6.ARFQ</v>
          </cell>
          <cell r="AK456" t="str">
            <v>0.001084</v>
          </cell>
          <cell r="AL456" t="str">
            <v>1</v>
          </cell>
          <cell r="AM456" t="str">
            <v>F</v>
          </cell>
          <cell r="AN456" t="str">
            <v>M0</v>
          </cell>
          <cell r="AO456" t="str">
            <v>Active(Model)</v>
          </cell>
          <cell r="AP456" t="str">
            <v/>
          </cell>
          <cell r="AQ456" t="str">
            <v/>
          </cell>
          <cell r="AR456" t="str">
            <v>Y</v>
          </cell>
          <cell r="AS456" t="str">
            <v/>
          </cell>
          <cell r="AT456" t="str">
            <v>IN</v>
          </cell>
          <cell r="AU456" t="str">
            <v>Infotainment</v>
          </cell>
          <cell r="AV456" t="str">
            <v>INCO</v>
          </cell>
          <cell r="AW456" t="str">
            <v>Connectivity</v>
          </cell>
          <cell r="AX456" t="str">
            <v>INCOTE</v>
          </cell>
          <cell r="AY456" t="str">
            <v>Telematics</v>
          </cell>
          <cell r="AZ456" t="str">
            <v>INCOTEFG</v>
          </cell>
          <cell r="BA456" t="str">
            <v>Telematics 5G</v>
          </cell>
        </row>
        <row r="457">
          <cell r="E457" t="str">
            <v>TF24SEKE.BJPTO5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264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str">
            <v/>
          </cell>
          <cell r="AH457" t="str">
            <v/>
          </cell>
          <cell r="AI457" t="str">
            <v>KR20P09336350</v>
          </cell>
          <cell r="AJ457" t="str">
            <v>TFTYNNBN0EJ.ARFQ</v>
          </cell>
          <cell r="AK457" t="str">
            <v>0.001084</v>
          </cell>
          <cell r="AL457" t="str">
            <v>1</v>
          </cell>
          <cell r="AM457" t="str">
            <v>F</v>
          </cell>
          <cell r="AN457" t="str">
            <v>M0</v>
          </cell>
          <cell r="AO457" t="str">
            <v>Active(Model)</v>
          </cell>
          <cell r="AP457" t="str">
            <v/>
          </cell>
          <cell r="AQ457" t="str">
            <v/>
          </cell>
          <cell r="AR457" t="str">
            <v>Y</v>
          </cell>
          <cell r="AS457" t="str">
            <v/>
          </cell>
          <cell r="AT457" t="str">
            <v>IN</v>
          </cell>
          <cell r="AU457" t="str">
            <v>Infotainment</v>
          </cell>
          <cell r="AV457" t="str">
            <v>INCO</v>
          </cell>
          <cell r="AW457" t="str">
            <v>Connectivity</v>
          </cell>
          <cell r="AX457" t="str">
            <v>INCOTE</v>
          </cell>
          <cell r="AY457" t="str">
            <v>Telematics</v>
          </cell>
          <cell r="AZ457" t="str">
            <v>INCOTEFG</v>
          </cell>
          <cell r="BA457" t="str">
            <v>Telematics 5G</v>
          </cell>
        </row>
        <row r="458">
          <cell r="E458" t="str">
            <v>TF24SENE.BJPTO5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3709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 t="str">
            <v/>
          </cell>
          <cell r="AH458" t="str">
            <v/>
          </cell>
          <cell r="AI458" t="str">
            <v>KR20P09336350</v>
          </cell>
          <cell r="AJ458" t="str">
            <v>TFTYNNBN0E2.ARFQ</v>
          </cell>
          <cell r="AK458" t="str">
            <v>0.001084</v>
          </cell>
          <cell r="AL458" t="str">
            <v>1</v>
          </cell>
          <cell r="AM458" t="str">
            <v>F</v>
          </cell>
          <cell r="AN458" t="str">
            <v>M0</v>
          </cell>
          <cell r="AO458" t="str">
            <v>Active(Model)</v>
          </cell>
          <cell r="AP458" t="str">
            <v/>
          </cell>
          <cell r="AQ458" t="str">
            <v/>
          </cell>
          <cell r="AR458" t="str">
            <v>Y</v>
          </cell>
          <cell r="AS458" t="str">
            <v/>
          </cell>
          <cell r="AT458" t="str">
            <v>IN</v>
          </cell>
          <cell r="AU458" t="str">
            <v>Infotainment</v>
          </cell>
          <cell r="AV458" t="str">
            <v>INCO</v>
          </cell>
          <cell r="AW458" t="str">
            <v>Connectivity</v>
          </cell>
          <cell r="AX458" t="str">
            <v>INCOTE</v>
          </cell>
          <cell r="AY458" t="str">
            <v>Telematics</v>
          </cell>
          <cell r="AZ458" t="str">
            <v>INCOTEFG</v>
          </cell>
          <cell r="BA458" t="str">
            <v>Telematics 5G</v>
          </cell>
        </row>
        <row r="459">
          <cell r="E459" t="str">
            <v>TFBMEEBN6FC.BCN620</v>
          </cell>
          <cell r="F459">
            <v>3</v>
          </cell>
          <cell r="G459">
            <v>0</v>
          </cell>
          <cell r="H459">
            <v>0</v>
          </cell>
          <cell r="I459">
            <v>3</v>
          </cell>
          <cell r="J459">
            <v>2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2</v>
          </cell>
          <cell r="AF459">
            <v>0</v>
          </cell>
          <cell r="AG459" t="str">
            <v/>
          </cell>
          <cell r="AH459" t="str">
            <v/>
          </cell>
          <cell r="AI459" t="str">
            <v>KR20P17898880</v>
          </cell>
          <cell r="AJ459" t="str">
            <v>TFBMEEBN6FC.ARFQ</v>
          </cell>
          <cell r="AK459" t="str">
            <v>0.001072</v>
          </cell>
          <cell r="AL459" t="str">
            <v>1</v>
          </cell>
          <cell r="AM459" t="str">
            <v>F</v>
          </cell>
          <cell r="AN459" t="str">
            <v>M0</v>
          </cell>
          <cell r="AO459" t="str">
            <v>Active(Model)</v>
          </cell>
          <cell r="AP459" t="str">
            <v/>
          </cell>
          <cell r="AQ459" t="str">
            <v/>
          </cell>
          <cell r="AR459" t="str">
            <v>Y</v>
          </cell>
          <cell r="AS459" t="str">
            <v/>
          </cell>
          <cell r="AT459" t="str">
            <v>IN</v>
          </cell>
          <cell r="AU459" t="str">
            <v>Infotainment</v>
          </cell>
          <cell r="AV459" t="str">
            <v>INCO</v>
          </cell>
          <cell r="AW459" t="str">
            <v>Connectivity</v>
          </cell>
          <cell r="AX459" t="str">
            <v>INCOTE</v>
          </cell>
          <cell r="AY459" t="str">
            <v>Telematics</v>
          </cell>
          <cell r="AZ459" t="str">
            <v>INCOTEFG</v>
          </cell>
          <cell r="BA459" t="str">
            <v>Telematics 5G</v>
          </cell>
        </row>
        <row r="460">
          <cell r="E460" t="str">
            <v>TFBMEEBN6FC.BCN630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150</v>
          </cell>
          <cell r="O460">
            <v>339</v>
          </cell>
          <cell r="P460">
            <v>150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str">
            <v/>
          </cell>
          <cell r="AH460" t="str">
            <v/>
          </cell>
          <cell r="AI460" t="str">
            <v>KR20P17898880</v>
          </cell>
          <cell r="AJ460" t="str">
            <v>TFBMEEBN6FC.ARFQ</v>
          </cell>
          <cell r="AK460" t="str">
            <v>0.001072</v>
          </cell>
          <cell r="AL460" t="str">
            <v>1</v>
          </cell>
          <cell r="AM460" t="str">
            <v>F</v>
          </cell>
          <cell r="AN460" t="str">
            <v>M0</v>
          </cell>
          <cell r="AO460" t="str">
            <v>Active(Model)</v>
          </cell>
          <cell r="AP460" t="str">
            <v/>
          </cell>
          <cell r="AQ460" t="str">
            <v/>
          </cell>
          <cell r="AR460" t="str">
            <v>Y</v>
          </cell>
          <cell r="AS460" t="str">
            <v/>
          </cell>
          <cell r="AT460" t="str">
            <v>IN</v>
          </cell>
          <cell r="AU460" t="str">
            <v>Infotainment</v>
          </cell>
          <cell r="AV460" t="str">
            <v>INCO</v>
          </cell>
          <cell r="AW460" t="str">
            <v>Connectivity</v>
          </cell>
          <cell r="AX460" t="str">
            <v>INCOTE</v>
          </cell>
          <cell r="AY460" t="str">
            <v>Telematics</v>
          </cell>
          <cell r="AZ460" t="str">
            <v>INCOTEFG</v>
          </cell>
          <cell r="BA460" t="str">
            <v>Telematics 5G</v>
          </cell>
        </row>
        <row r="461">
          <cell r="E461" t="str">
            <v>TFBMEEBN6FE.BEN620</v>
          </cell>
          <cell r="F461">
            <v>39</v>
          </cell>
          <cell r="G461">
            <v>0</v>
          </cell>
          <cell r="H461">
            <v>0</v>
          </cell>
          <cell r="I461">
            <v>39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 t="str">
            <v/>
          </cell>
          <cell r="AH461" t="str">
            <v/>
          </cell>
          <cell r="AI461" t="str">
            <v>KR20P17898880</v>
          </cell>
          <cell r="AJ461" t="str">
            <v>TFBMEEBN6FE.ARFQ</v>
          </cell>
          <cell r="AK461" t="str">
            <v>0.001072</v>
          </cell>
          <cell r="AL461" t="str">
            <v>1</v>
          </cell>
          <cell r="AM461" t="str">
            <v>F</v>
          </cell>
          <cell r="AN461" t="str">
            <v>M0</v>
          </cell>
          <cell r="AO461" t="str">
            <v>Active(Model)</v>
          </cell>
          <cell r="AP461" t="str">
            <v/>
          </cell>
          <cell r="AQ461" t="str">
            <v/>
          </cell>
          <cell r="AR461" t="str">
            <v>Y</v>
          </cell>
          <cell r="AS461" t="str">
            <v/>
          </cell>
          <cell r="AT461" t="str">
            <v>IN</v>
          </cell>
          <cell r="AU461" t="str">
            <v>Infotainment</v>
          </cell>
          <cell r="AV461" t="str">
            <v>INCO</v>
          </cell>
          <cell r="AW461" t="str">
            <v>Connectivity</v>
          </cell>
          <cell r="AX461" t="str">
            <v>INCOTE</v>
          </cell>
          <cell r="AY461" t="str">
            <v>Telematics</v>
          </cell>
          <cell r="AZ461" t="str">
            <v>INCOTEFG</v>
          </cell>
          <cell r="BA461" t="str">
            <v>Telematics 5G</v>
          </cell>
        </row>
        <row r="462">
          <cell r="E462" t="str">
            <v>TFBMEEBN6FE.BEN623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92</v>
          </cell>
          <cell r="O462">
            <v>396</v>
          </cell>
          <cell r="P462">
            <v>92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 t="str">
            <v/>
          </cell>
          <cell r="AH462" t="str">
            <v/>
          </cell>
          <cell r="AI462" t="str">
            <v>KR20P17898880</v>
          </cell>
          <cell r="AJ462" t="str">
            <v>TFBMEEBN6FE.ARFQ</v>
          </cell>
          <cell r="AK462" t="str">
            <v>0.003522</v>
          </cell>
          <cell r="AL462" t="str">
            <v>1</v>
          </cell>
          <cell r="AM462" t="str">
            <v>F</v>
          </cell>
          <cell r="AN462" t="str">
            <v>M0</v>
          </cell>
          <cell r="AO462" t="str">
            <v>Active(Model)</v>
          </cell>
          <cell r="AP462" t="str">
            <v/>
          </cell>
          <cell r="AQ462" t="str">
            <v/>
          </cell>
          <cell r="AR462" t="str">
            <v>Y</v>
          </cell>
          <cell r="AS462" t="str">
            <v/>
          </cell>
          <cell r="AT462" t="str">
            <v>IN</v>
          </cell>
          <cell r="AU462" t="str">
            <v>Infotainment</v>
          </cell>
          <cell r="AV462" t="str">
            <v>INCO</v>
          </cell>
          <cell r="AW462" t="str">
            <v>Connectivity</v>
          </cell>
          <cell r="AX462" t="str">
            <v>INCOTE</v>
          </cell>
          <cell r="AY462" t="str">
            <v>Telematics</v>
          </cell>
          <cell r="AZ462" t="str">
            <v>INCOTEFG</v>
          </cell>
          <cell r="BA462" t="str">
            <v>Telematics 5G</v>
          </cell>
        </row>
        <row r="463">
          <cell r="E463" t="str">
            <v>TFBMEEBN6FE.BEN630</v>
          </cell>
          <cell r="F463">
            <v>0</v>
          </cell>
          <cell r="G463">
            <v>0</v>
          </cell>
          <cell r="H463">
            <v>0</v>
          </cell>
          <cell r="I463">
            <v>319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469</v>
          </cell>
          <cell r="O463">
            <v>370</v>
          </cell>
          <cell r="P463">
            <v>469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 t="str">
            <v/>
          </cell>
          <cell r="AH463" t="str">
            <v/>
          </cell>
          <cell r="AI463" t="str">
            <v>KR20P17898880</v>
          </cell>
          <cell r="AJ463" t="str">
            <v>TFBMEEBN6FE.ARFQ</v>
          </cell>
          <cell r="AK463" t="str">
            <v>0.001072</v>
          </cell>
          <cell r="AL463" t="str">
            <v>1</v>
          </cell>
          <cell r="AM463" t="str">
            <v>F</v>
          </cell>
          <cell r="AN463" t="str">
            <v>M0</v>
          </cell>
          <cell r="AO463" t="str">
            <v>Active(Model)</v>
          </cell>
          <cell r="AP463" t="str">
            <v/>
          </cell>
          <cell r="AQ463" t="str">
            <v/>
          </cell>
          <cell r="AR463" t="str">
            <v>Y</v>
          </cell>
          <cell r="AS463" t="str">
            <v/>
          </cell>
          <cell r="AT463" t="str">
            <v>IN</v>
          </cell>
          <cell r="AU463" t="str">
            <v>Infotainment</v>
          </cell>
          <cell r="AV463" t="str">
            <v>INCO</v>
          </cell>
          <cell r="AW463" t="str">
            <v>Connectivity</v>
          </cell>
          <cell r="AX463" t="str">
            <v>INCOTE</v>
          </cell>
          <cell r="AY463" t="str">
            <v>Telematics</v>
          </cell>
          <cell r="AZ463" t="str">
            <v>INCOTEFG</v>
          </cell>
          <cell r="BA463" t="str">
            <v>Telematics 5G</v>
          </cell>
        </row>
        <row r="464">
          <cell r="E464" t="str">
            <v>TFBMEEBN6FE.BEN7242</v>
          </cell>
          <cell r="F464">
            <v>1</v>
          </cell>
          <cell r="G464">
            <v>0</v>
          </cell>
          <cell r="H464">
            <v>0</v>
          </cell>
          <cell r="I464">
            <v>1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 t="str">
            <v/>
          </cell>
          <cell r="AH464" t="str">
            <v/>
          </cell>
          <cell r="AI464" t="str">
            <v>KR20P17898880</v>
          </cell>
          <cell r="AJ464" t="str">
            <v>TFBMEEBN6FE.ARFQ</v>
          </cell>
          <cell r="AK464" t="str">
            <v>0.001072</v>
          </cell>
          <cell r="AL464" t="str">
            <v>1</v>
          </cell>
          <cell r="AM464" t="str">
            <v>F</v>
          </cell>
          <cell r="AN464" t="str">
            <v>M0</v>
          </cell>
          <cell r="AO464" t="str">
            <v>Active(Model)</v>
          </cell>
          <cell r="AP464" t="str">
            <v/>
          </cell>
          <cell r="AQ464" t="str">
            <v/>
          </cell>
          <cell r="AR464" t="str">
            <v>Y</v>
          </cell>
          <cell r="AS464" t="str">
            <v/>
          </cell>
          <cell r="AT464" t="str">
            <v>IN</v>
          </cell>
          <cell r="AU464" t="str">
            <v>Infotainment</v>
          </cell>
          <cell r="AV464" t="str">
            <v>INCO</v>
          </cell>
          <cell r="AW464" t="str">
            <v>Connectivity</v>
          </cell>
          <cell r="AX464" t="str">
            <v>INCOTE</v>
          </cell>
          <cell r="AY464" t="str">
            <v>Telematics</v>
          </cell>
          <cell r="AZ464" t="str">
            <v>INCOTEFG</v>
          </cell>
          <cell r="BA464" t="str">
            <v>Telematics 5G</v>
          </cell>
        </row>
        <row r="465">
          <cell r="E465" t="str">
            <v>TFBMEEBN6FR.BRN620</v>
          </cell>
          <cell r="F465">
            <v>5</v>
          </cell>
          <cell r="G465">
            <v>0</v>
          </cell>
          <cell r="H465">
            <v>0</v>
          </cell>
          <cell r="I465">
            <v>5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 t="str">
            <v/>
          </cell>
          <cell r="AH465" t="str">
            <v/>
          </cell>
          <cell r="AI465" t="str">
            <v>KR20P17898880</v>
          </cell>
          <cell r="AJ465" t="str">
            <v>TFBMEEBN6FR.ARFQ</v>
          </cell>
          <cell r="AK465" t="str">
            <v>0.001072</v>
          </cell>
          <cell r="AL465" t="str">
            <v>1</v>
          </cell>
          <cell r="AM465" t="str">
            <v>F</v>
          </cell>
          <cell r="AN465" t="str">
            <v>M0</v>
          </cell>
          <cell r="AO465" t="str">
            <v>Active(Model)</v>
          </cell>
          <cell r="AP465" t="str">
            <v/>
          </cell>
          <cell r="AQ465" t="str">
            <v/>
          </cell>
          <cell r="AR465" t="str">
            <v>Y</v>
          </cell>
          <cell r="AS465" t="str">
            <v/>
          </cell>
          <cell r="AT465" t="str">
            <v>IN</v>
          </cell>
          <cell r="AU465" t="str">
            <v>Infotainment</v>
          </cell>
          <cell r="AV465" t="str">
            <v>INCO</v>
          </cell>
          <cell r="AW465" t="str">
            <v>Connectivity</v>
          </cell>
          <cell r="AX465" t="str">
            <v>INCOTE</v>
          </cell>
          <cell r="AY465" t="str">
            <v>Telematics</v>
          </cell>
          <cell r="AZ465" t="str">
            <v>INCOTEFG</v>
          </cell>
          <cell r="BA465" t="str">
            <v>Telematics 5G</v>
          </cell>
        </row>
        <row r="466">
          <cell r="E466" t="str">
            <v>TFBMEEBN6FR.BRN630</v>
          </cell>
          <cell r="F466">
            <v>1</v>
          </cell>
          <cell r="G466">
            <v>0</v>
          </cell>
          <cell r="H466">
            <v>0</v>
          </cell>
          <cell r="I466">
            <v>1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192</v>
          </cell>
          <cell r="O466">
            <v>162</v>
          </cell>
          <cell r="P466">
            <v>192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 t="str">
            <v/>
          </cell>
          <cell r="AH466" t="str">
            <v/>
          </cell>
          <cell r="AI466" t="str">
            <v>KR20P17898880</v>
          </cell>
          <cell r="AJ466" t="str">
            <v>TFBMEEBN6FR.ARFQ</v>
          </cell>
          <cell r="AK466" t="str">
            <v>0.001072</v>
          </cell>
          <cell r="AL466" t="str">
            <v>1</v>
          </cell>
          <cell r="AM466" t="str">
            <v>F</v>
          </cell>
          <cell r="AN466" t="str">
            <v>M0</v>
          </cell>
          <cell r="AO466" t="str">
            <v>Active(Model)</v>
          </cell>
          <cell r="AP466" t="str">
            <v/>
          </cell>
          <cell r="AQ466" t="str">
            <v/>
          </cell>
          <cell r="AR466" t="str">
            <v>Y</v>
          </cell>
          <cell r="AS466" t="str">
            <v/>
          </cell>
          <cell r="AT466" t="str">
            <v>IN</v>
          </cell>
          <cell r="AU466" t="str">
            <v>Infotainment</v>
          </cell>
          <cell r="AV466" t="str">
            <v>INCO</v>
          </cell>
          <cell r="AW466" t="str">
            <v>Connectivity</v>
          </cell>
          <cell r="AX466" t="str">
            <v>INCOTE</v>
          </cell>
          <cell r="AY466" t="str">
            <v>Telematics</v>
          </cell>
          <cell r="AZ466" t="str">
            <v>INCOTEFG</v>
          </cell>
          <cell r="BA466" t="str">
            <v>Telematics 5G</v>
          </cell>
        </row>
        <row r="467">
          <cell r="E467" t="str">
            <v>TFBMEEBN6FU.BUN620</v>
          </cell>
          <cell r="F467">
            <v>1</v>
          </cell>
          <cell r="G467">
            <v>0</v>
          </cell>
          <cell r="H467">
            <v>0</v>
          </cell>
          <cell r="I467">
            <v>1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 t="str">
            <v/>
          </cell>
          <cell r="AH467" t="str">
            <v/>
          </cell>
          <cell r="AI467" t="str">
            <v>KR20P17898880</v>
          </cell>
          <cell r="AJ467" t="str">
            <v>TFBMEEBN6FU.ARFQ</v>
          </cell>
          <cell r="AK467" t="str">
            <v>0.001072</v>
          </cell>
          <cell r="AL467" t="str">
            <v>1</v>
          </cell>
          <cell r="AM467" t="str">
            <v>F</v>
          </cell>
          <cell r="AN467" t="str">
            <v>M0</v>
          </cell>
          <cell r="AO467" t="str">
            <v>Active(Model)</v>
          </cell>
          <cell r="AP467" t="str">
            <v/>
          </cell>
          <cell r="AQ467" t="str">
            <v/>
          </cell>
          <cell r="AR467" t="str">
            <v>Y</v>
          </cell>
          <cell r="AS467" t="str">
            <v/>
          </cell>
          <cell r="AT467" t="str">
            <v>IN</v>
          </cell>
          <cell r="AU467" t="str">
            <v>Infotainment</v>
          </cell>
          <cell r="AV467" t="str">
            <v>INCO</v>
          </cell>
          <cell r="AW467" t="str">
            <v>Connectivity</v>
          </cell>
          <cell r="AX467" t="str">
            <v>INCOTE</v>
          </cell>
          <cell r="AY467" t="str">
            <v>Telematics</v>
          </cell>
          <cell r="AZ467" t="str">
            <v>INCOTEFG</v>
          </cell>
          <cell r="BA467" t="str">
            <v>Telematics 5G</v>
          </cell>
        </row>
        <row r="468">
          <cell r="E468" t="str">
            <v>TFBMEEBN6FU.BUN623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204</v>
          </cell>
          <cell r="O468">
            <v>263</v>
          </cell>
          <cell r="P468">
            <v>204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 t="str">
            <v/>
          </cell>
          <cell r="AH468" t="str">
            <v/>
          </cell>
          <cell r="AI468" t="str">
            <v>KR20P17898880</v>
          </cell>
          <cell r="AJ468" t="str">
            <v>TFBMEEBN6FU.ARFQ</v>
          </cell>
          <cell r="AK468" t="str">
            <v>0.003522</v>
          </cell>
          <cell r="AL468" t="str">
            <v>1</v>
          </cell>
          <cell r="AM468" t="str">
            <v>F</v>
          </cell>
          <cell r="AN468" t="str">
            <v>M0</v>
          </cell>
          <cell r="AO468" t="str">
            <v>Active(Model)</v>
          </cell>
          <cell r="AP468" t="str">
            <v/>
          </cell>
          <cell r="AQ468" t="str">
            <v/>
          </cell>
          <cell r="AR468" t="str">
            <v>Y</v>
          </cell>
          <cell r="AS468" t="str">
            <v/>
          </cell>
          <cell r="AT468" t="str">
            <v>IN</v>
          </cell>
          <cell r="AU468" t="str">
            <v>Infotainment</v>
          </cell>
          <cell r="AV468" t="str">
            <v>INCO</v>
          </cell>
          <cell r="AW468" t="str">
            <v>Connectivity</v>
          </cell>
          <cell r="AX468" t="str">
            <v>INCOTE</v>
          </cell>
          <cell r="AY468" t="str">
            <v>Telematics</v>
          </cell>
          <cell r="AZ468" t="str">
            <v>INCOTEFG</v>
          </cell>
          <cell r="BA468" t="str">
            <v>Telematics 5G</v>
          </cell>
        </row>
        <row r="469">
          <cell r="E469" t="str">
            <v>TFBMEEBN6FU.BUN630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212</v>
          </cell>
          <cell r="O469">
            <v>193</v>
          </cell>
          <cell r="P469">
            <v>212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 t="str">
            <v/>
          </cell>
          <cell r="AH469" t="str">
            <v/>
          </cell>
          <cell r="AI469" t="str">
            <v>KR20P17898880</v>
          </cell>
          <cell r="AJ469" t="str">
            <v>TFBMEEBN6FU.ARFQ</v>
          </cell>
          <cell r="AK469" t="str">
            <v>0.001072</v>
          </cell>
          <cell r="AL469" t="str">
            <v>1</v>
          </cell>
          <cell r="AM469" t="str">
            <v>F</v>
          </cell>
          <cell r="AN469" t="str">
            <v>M0</v>
          </cell>
          <cell r="AO469" t="str">
            <v>Active(Model)</v>
          </cell>
          <cell r="AP469" t="str">
            <v/>
          </cell>
          <cell r="AQ469" t="str">
            <v/>
          </cell>
          <cell r="AR469" t="str">
            <v>Y</v>
          </cell>
          <cell r="AS469" t="str">
            <v/>
          </cell>
          <cell r="AT469" t="str">
            <v>IN</v>
          </cell>
          <cell r="AU469" t="str">
            <v>Infotainment</v>
          </cell>
          <cell r="AV469" t="str">
            <v>INCO</v>
          </cell>
          <cell r="AW469" t="str">
            <v>Connectivity</v>
          </cell>
          <cell r="AX469" t="str">
            <v>INCOTE</v>
          </cell>
          <cell r="AY469" t="str">
            <v>Telematics</v>
          </cell>
          <cell r="AZ469" t="str">
            <v>INCOTEFG</v>
          </cell>
          <cell r="BA469" t="str">
            <v>Telematics 5G</v>
          </cell>
        </row>
        <row r="470">
          <cell r="E470" t="str">
            <v>TFBMEEBN6GE.BEN2742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136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 t="str">
            <v/>
          </cell>
          <cell r="AH470" t="str">
            <v/>
          </cell>
          <cell r="AI470" t="str">
            <v>KR20P17898880</v>
          </cell>
          <cell r="AJ470" t="str">
            <v>TFBMEEBN6GE.ARFQ</v>
          </cell>
          <cell r="AK470" t="str">
            <v>0.001072</v>
          </cell>
          <cell r="AL470" t="str">
            <v>1</v>
          </cell>
          <cell r="AM470" t="str">
            <v>F</v>
          </cell>
          <cell r="AN470" t="str">
            <v>M0</v>
          </cell>
          <cell r="AO470" t="str">
            <v>Active(Model)</v>
          </cell>
          <cell r="AP470" t="str">
            <v/>
          </cell>
          <cell r="AQ470" t="str">
            <v/>
          </cell>
          <cell r="AR470" t="str">
            <v>Y</v>
          </cell>
          <cell r="AS470" t="str">
            <v/>
          </cell>
          <cell r="AT470" t="str">
            <v>IN</v>
          </cell>
          <cell r="AU470" t="str">
            <v>Infotainment</v>
          </cell>
          <cell r="AV470" t="str">
            <v>INCO</v>
          </cell>
          <cell r="AW470" t="str">
            <v>Connectivity</v>
          </cell>
          <cell r="AX470" t="str">
            <v>INCOTE</v>
          </cell>
          <cell r="AY470" t="str">
            <v>Telematics</v>
          </cell>
          <cell r="AZ470" t="str">
            <v>INCOTEFG</v>
          </cell>
          <cell r="BA470" t="str">
            <v>Telematics 5G</v>
          </cell>
        </row>
        <row r="471">
          <cell r="E471" t="str">
            <v>TFBMEEBN6GE.BEN7236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12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 t="str">
            <v/>
          </cell>
          <cell r="AH471" t="str">
            <v/>
          </cell>
          <cell r="AI471" t="str">
            <v>KR20P17898880</v>
          </cell>
          <cell r="AJ471" t="str">
            <v>TFBMEEBN6GE.ARFQ</v>
          </cell>
          <cell r="AK471" t="str">
            <v>0.001072</v>
          </cell>
          <cell r="AL471" t="str">
            <v>1</v>
          </cell>
          <cell r="AM471" t="str">
            <v>F</v>
          </cell>
          <cell r="AN471" t="str">
            <v>M0</v>
          </cell>
          <cell r="AO471" t="str">
            <v>Active(Model)</v>
          </cell>
          <cell r="AP471" t="str">
            <v/>
          </cell>
          <cell r="AQ471" t="str">
            <v/>
          </cell>
          <cell r="AR471" t="str">
            <v>Y</v>
          </cell>
          <cell r="AS471" t="str">
            <v/>
          </cell>
          <cell r="AT471" t="str">
            <v>IN</v>
          </cell>
          <cell r="AU471" t="str">
            <v>Infotainment</v>
          </cell>
          <cell r="AV471" t="str">
            <v>INCO</v>
          </cell>
          <cell r="AW471" t="str">
            <v>Connectivity</v>
          </cell>
          <cell r="AX471" t="str">
            <v>INCOTE</v>
          </cell>
          <cell r="AY471" t="str">
            <v>Telematics</v>
          </cell>
          <cell r="AZ471" t="str">
            <v>INCOTEFG</v>
          </cell>
          <cell r="BA471" t="str">
            <v>Telematics 5G</v>
          </cell>
        </row>
        <row r="472">
          <cell r="E472" t="str">
            <v>TFBMEEBN6GR.BRN7236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10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 t="str">
            <v/>
          </cell>
          <cell r="AH472" t="str">
            <v/>
          </cell>
          <cell r="AI472" t="str">
            <v>KR20P17898880</v>
          </cell>
          <cell r="AJ472" t="str">
            <v>TFBMEEBN6GR.ARFQ</v>
          </cell>
          <cell r="AK472" t="str">
            <v>0.001072</v>
          </cell>
          <cell r="AL472" t="str">
            <v>1</v>
          </cell>
          <cell r="AM472" t="str">
            <v>F</v>
          </cell>
          <cell r="AN472" t="str">
            <v>M0</v>
          </cell>
          <cell r="AO472" t="str">
            <v>Active(Model)</v>
          </cell>
          <cell r="AP472" t="str">
            <v/>
          </cell>
          <cell r="AQ472" t="str">
            <v/>
          </cell>
          <cell r="AR472" t="str">
            <v>Y</v>
          </cell>
          <cell r="AS472" t="str">
            <v/>
          </cell>
          <cell r="AT472" t="str">
            <v>IN</v>
          </cell>
          <cell r="AU472" t="str">
            <v>Infotainment</v>
          </cell>
          <cell r="AV472" t="str">
            <v>INCO</v>
          </cell>
          <cell r="AW472" t="str">
            <v>Connectivity</v>
          </cell>
          <cell r="AX472" t="str">
            <v>INCOTE</v>
          </cell>
          <cell r="AY472" t="str">
            <v>Telematics</v>
          </cell>
          <cell r="AZ472" t="str">
            <v>INCOTEFG</v>
          </cell>
          <cell r="BA472" t="str">
            <v>Telematics 5G</v>
          </cell>
        </row>
        <row r="473">
          <cell r="E473" t="str">
            <v>TFBMEIBN3EE.BEN620</v>
          </cell>
          <cell r="F473">
            <v>0</v>
          </cell>
          <cell r="G473">
            <v>0</v>
          </cell>
          <cell r="H473">
            <v>0</v>
          </cell>
          <cell r="I473">
            <v>1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 t="str">
            <v/>
          </cell>
          <cell r="AH473" t="str">
            <v/>
          </cell>
          <cell r="AI473" t="str">
            <v>KR20P17898880</v>
          </cell>
          <cell r="AJ473" t="str">
            <v>TFBMEIBN3EE.ARFQ</v>
          </cell>
          <cell r="AK473" t="str">
            <v>0.003522</v>
          </cell>
          <cell r="AL473" t="str">
            <v>1</v>
          </cell>
          <cell r="AM473" t="str">
            <v>F</v>
          </cell>
          <cell r="AN473" t="str">
            <v>M0</v>
          </cell>
          <cell r="AO473" t="str">
            <v>Active(Model)</v>
          </cell>
          <cell r="AP473" t="str">
            <v/>
          </cell>
          <cell r="AQ473" t="str">
            <v/>
          </cell>
          <cell r="AR473" t="str">
            <v>Y</v>
          </cell>
          <cell r="AS473" t="str">
            <v/>
          </cell>
          <cell r="AT473" t="str">
            <v>IN</v>
          </cell>
          <cell r="AU473" t="str">
            <v>Infotainment</v>
          </cell>
          <cell r="AV473" t="str">
            <v>INCO</v>
          </cell>
          <cell r="AW473" t="str">
            <v>Connectivity</v>
          </cell>
          <cell r="AX473" t="str">
            <v>INCOTE</v>
          </cell>
          <cell r="AY473" t="str">
            <v>Telematics</v>
          </cell>
          <cell r="AZ473" t="str">
            <v>INCOTEFG</v>
          </cell>
          <cell r="BA473" t="str">
            <v>Telematics 5G</v>
          </cell>
        </row>
        <row r="474">
          <cell r="E474" t="str">
            <v>TFBMEIBN3EE.BEN630</v>
          </cell>
          <cell r="F474">
            <v>0</v>
          </cell>
          <cell r="G474">
            <v>0</v>
          </cell>
          <cell r="H474">
            <v>0</v>
          </cell>
          <cell r="I474">
            <v>492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7651</v>
          </cell>
          <cell r="O474">
            <v>4332</v>
          </cell>
          <cell r="P474">
            <v>7651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 t="str">
            <v/>
          </cell>
          <cell r="AH474" t="str">
            <v/>
          </cell>
          <cell r="AI474" t="str">
            <v>KR20P17898880</v>
          </cell>
          <cell r="AJ474" t="str">
            <v>TFBMEIBN3EE.ARFQ</v>
          </cell>
          <cell r="AK474" t="str">
            <v>0.003522</v>
          </cell>
          <cell r="AL474" t="str">
            <v>1</v>
          </cell>
          <cell r="AM474" t="str">
            <v>F</v>
          </cell>
          <cell r="AN474" t="str">
            <v>M0</v>
          </cell>
          <cell r="AO474" t="str">
            <v>Active(Model)</v>
          </cell>
          <cell r="AP474" t="str">
            <v/>
          </cell>
          <cell r="AQ474" t="str">
            <v/>
          </cell>
          <cell r="AR474" t="str">
            <v>Y</v>
          </cell>
          <cell r="AS474" t="str">
            <v/>
          </cell>
          <cell r="AT474" t="str">
            <v>IN</v>
          </cell>
          <cell r="AU474" t="str">
            <v>Infotainment</v>
          </cell>
          <cell r="AV474" t="str">
            <v>INCO</v>
          </cell>
          <cell r="AW474" t="str">
            <v>Connectivity</v>
          </cell>
          <cell r="AX474" t="str">
            <v>INCOTE</v>
          </cell>
          <cell r="AY474" t="str">
            <v>Telematics</v>
          </cell>
          <cell r="AZ474" t="str">
            <v>INCOTEFG</v>
          </cell>
          <cell r="BA474" t="str">
            <v>Telematics 5G</v>
          </cell>
        </row>
        <row r="475">
          <cell r="E475" t="str">
            <v>TFBMEIBN3EU.BUN630</v>
          </cell>
          <cell r="F475">
            <v>12</v>
          </cell>
          <cell r="G475">
            <v>0</v>
          </cell>
          <cell r="H475">
            <v>0</v>
          </cell>
          <cell r="I475">
            <v>1212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2200</v>
          </cell>
          <cell r="O475">
            <v>1440</v>
          </cell>
          <cell r="P475">
            <v>2200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 t="str">
            <v/>
          </cell>
          <cell r="AH475" t="str">
            <v/>
          </cell>
          <cell r="AI475" t="str">
            <v>KR20P17898880</v>
          </cell>
          <cell r="AJ475" t="str">
            <v>TFBMEIBN3EU.ARFQ</v>
          </cell>
          <cell r="AK475" t="str">
            <v>0.003522</v>
          </cell>
          <cell r="AL475" t="str">
            <v>1</v>
          </cell>
          <cell r="AM475" t="str">
            <v>F</v>
          </cell>
          <cell r="AN475" t="str">
            <v>M0</v>
          </cell>
          <cell r="AO475" t="str">
            <v>Active(Model)</v>
          </cell>
          <cell r="AP475" t="str">
            <v/>
          </cell>
          <cell r="AQ475" t="str">
            <v/>
          </cell>
          <cell r="AR475" t="str">
            <v>Y</v>
          </cell>
          <cell r="AS475" t="str">
            <v/>
          </cell>
          <cell r="AT475" t="str">
            <v>IN</v>
          </cell>
          <cell r="AU475" t="str">
            <v>Infotainment</v>
          </cell>
          <cell r="AV475" t="str">
            <v>INCO</v>
          </cell>
          <cell r="AW475" t="str">
            <v>Connectivity</v>
          </cell>
          <cell r="AX475" t="str">
            <v>INCOTE</v>
          </cell>
          <cell r="AY475" t="str">
            <v>Telematics</v>
          </cell>
          <cell r="AZ475" t="str">
            <v>INCOTEFG</v>
          </cell>
          <cell r="BA475" t="str">
            <v>Telematics 5G</v>
          </cell>
        </row>
        <row r="476">
          <cell r="E476" t="str">
            <v>TFBMEIBN3FC.BCN630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11</v>
          </cell>
          <cell r="O476">
            <v>0</v>
          </cell>
          <cell r="P476">
            <v>11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 t="str">
            <v/>
          </cell>
          <cell r="AH476" t="str">
            <v/>
          </cell>
          <cell r="AI476" t="str">
            <v>KR20P17898880</v>
          </cell>
          <cell r="AJ476" t="str">
            <v>TFBMEIBN3FC.ARFQ</v>
          </cell>
          <cell r="AK476" t="str">
            <v>0.003522</v>
          </cell>
          <cell r="AL476" t="str">
            <v>1</v>
          </cell>
          <cell r="AM476" t="str">
            <v>F</v>
          </cell>
          <cell r="AN476" t="str">
            <v>M0</v>
          </cell>
          <cell r="AO476" t="str">
            <v>Active(Model)</v>
          </cell>
          <cell r="AP476" t="str">
            <v/>
          </cell>
          <cell r="AQ476" t="str">
            <v/>
          </cell>
          <cell r="AR476" t="str">
            <v>Y</v>
          </cell>
          <cell r="AS476" t="str">
            <v/>
          </cell>
          <cell r="AT476" t="str">
            <v>IN</v>
          </cell>
          <cell r="AU476" t="str">
            <v>Infotainment</v>
          </cell>
          <cell r="AV476" t="str">
            <v>INCO</v>
          </cell>
          <cell r="AW476" t="str">
            <v>Connectivity</v>
          </cell>
          <cell r="AX476" t="str">
            <v>INCOTE</v>
          </cell>
          <cell r="AY476" t="str">
            <v>Telematics</v>
          </cell>
          <cell r="AZ476" t="str">
            <v>INCOTEFG</v>
          </cell>
          <cell r="BA476" t="str">
            <v>Telematics 5G</v>
          </cell>
        </row>
        <row r="477">
          <cell r="E477" t="str">
            <v>TFBMEIBN3FR.BRN620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2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235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2</v>
          </cell>
          <cell r="AF477">
            <v>0</v>
          </cell>
          <cell r="AG477" t="str">
            <v/>
          </cell>
          <cell r="AH477" t="str">
            <v/>
          </cell>
          <cell r="AI477" t="str">
            <v>KR20P17898880</v>
          </cell>
          <cell r="AJ477" t="str">
            <v>TFBMEIBN3FR.ARFQ</v>
          </cell>
          <cell r="AK477" t="str">
            <v>0.003522</v>
          </cell>
          <cell r="AL477" t="str">
            <v>1</v>
          </cell>
          <cell r="AM477" t="str">
            <v>F</v>
          </cell>
          <cell r="AN477" t="str">
            <v>M0</v>
          </cell>
          <cell r="AO477" t="str">
            <v>Active(Model)</v>
          </cell>
          <cell r="AP477" t="str">
            <v/>
          </cell>
          <cell r="AQ477" t="str">
            <v/>
          </cell>
          <cell r="AR477" t="str">
            <v>Y</v>
          </cell>
          <cell r="AS477" t="str">
            <v/>
          </cell>
          <cell r="AT477" t="str">
            <v>IN</v>
          </cell>
          <cell r="AU477" t="str">
            <v>Infotainment</v>
          </cell>
          <cell r="AV477" t="str">
            <v>INCO</v>
          </cell>
          <cell r="AW477" t="str">
            <v>Connectivity</v>
          </cell>
          <cell r="AX477" t="str">
            <v>INCOTE</v>
          </cell>
          <cell r="AY477" t="str">
            <v>Telematics</v>
          </cell>
          <cell r="AZ477" t="str">
            <v>INCOTEFG</v>
          </cell>
          <cell r="BA477" t="str">
            <v>Telematics 5G</v>
          </cell>
        </row>
        <row r="478">
          <cell r="E478" t="str">
            <v>TFBMEIBN3FR.BRN630</v>
          </cell>
          <cell r="F478">
            <v>0</v>
          </cell>
          <cell r="G478">
            <v>0</v>
          </cell>
          <cell r="H478">
            <v>0</v>
          </cell>
          <cell r="I478">
            <v>480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868</v>
          </cell>
          <cell r="O478">
            <v>1195</v>
          </cell>
          <cell r="P478">
            <v>868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 t="str">
            <v/>
          </cell>
          <cell r="AH478" t="str">
            <v/>
          </cell>
          <cell r="AI478" t="str">
            <v>KR20P17898880</v>
          </cell>
          <cell r="AJ478" t="str">
            <v>TFBMEIBN3FR.ARFQ</v>
          </cell>
          <cell r="AK478" t="str">
            <v>0.003522</v>
          </cell>
          <cell r="AL478" t="str">
            <v>1</v>
          </cell>
          <cell r="AM478" t="str">
            <v>F</v>
          </cell>
          <cell r="AN478" t="str">
            <v>M0</v>
          </cell>
          <cell r="AO478" t="str">
            <v>Active(Model)</v>
          </cell>
          <cell r="AP478" t="str">
            <v/>
          </cell>
          <cell r="AQ478" t="str">
            <v/>
          </cell>
          <cell r="AR478" t="str">
            <v>Y</v>
          </cell>
          <cell r="AS478" t="str">
            <v/>
          </cell>
          <cell r="AT478" t="str">
            <v>IN</v>
          </cell>
          <cell r="AU478" t="str">
            <v>Infotainment</v>
          </cell>
          <cell r="AV478" t="str">
            <v>INCO</v>
          </cell>
          <cell r="AW478" t="str">
            <v>Connectivity</v>
          </cell>
          <cell r="AX478" t="str">
            <v>INCOTE</v>
          </cell>
          <cell r="AY478" t="str">
            <v>Telematics</v>
          </cell>
          <cell r="AZ478" t="str">
            <v>INCOTEFG</v>
          </cell>
          <cell r="BA478" t="str">
            <v>Telematics 5G</v>
          </cell>
        </row>
        <row r="479">
          <cell r="E479" t="str">
            <v>TFBMNENN0FN.BNN630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16</v>
          </cell>
          <cell r="O479">
            <v>10</v>
          </cell>
          <cell r="P479">
            <v>16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 t="str">
            <v/>
          </cell>
          <cell r="AH479" t="str">
            <v/>
          </cell>
          <cell r="AI479" t="str">
            <v>KR20P17898880</v>
          </cell>
          <cell r="AJ479" t="str">
            <v>TFBMNENN0FN.ARFQ</v>
          </cell>
          <cell r="AK479" t="str">
            <v>0.003522</v>
          </cell>
          <cell r="AL479" t="str">
            <v>1</v>
          </cell>
          <cell r="AM479" t="str">
            <v>F</v>
          </cell>
          <cell r="AN479" t="str">
            <v>M0</v>
          </cell>
          <cell r="AO479" t="str">
            <v>Active(Model)</v>
          </cell>
          <cell r="AP479" t="str">
            <v/>
          </cell>
          <cell r="AQ479" t="str">
            <v/>
          </cell>
          <cell r="AR479" t="str">
            <v>Y</v>
          </cell>
          <cell r="AS479" t="str">
            <v/>
          </cell>
          <cell r="AT479" t="str">
            <v>IN</v>
          </cell>
          <cell r="AU479" t="str">
            <v>Infotainment</v>
          </cell>
          <cell r="AV479" t="str">
            <v>INCO</v>
          </cell>
          <cell r="AW479" t="str">
            <v>Connectivity</v>
          </cell>
          <cell r="AX479" t="str">
            <v>INCOTE</v>
          </cell>
          <cell r="AY479" t="str">
            <v>Telematics</v>
          </cell>
          <cell r="AZ479" t="str">
            <v>INCOTEFG</v>
          </cell>
          <cell r="BA479" t="str">
            <v>Telematics 5G</v>
          </cell>
        </row>
        <row r="480">
          <cell r="E480" t="str">
            <v>TFBMNINN0EN.BNN620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69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 t="str">
            <v/>
          </cell>
          <cell r="AH480" t="str">
            <v/>
          </cell>
          <cell r="AI480" t="str">
            <v>KR20P17898880</v>
          </cell>
          <cell r="AJ480" t="str">
            <v>TFBMNINN0EN.ARFQ</v>
          </cell>
          <cell r="AK480" t="str">
            <v>0.003522</v>
          </cell>
          <cell r="AL480" t="str">
            <v>1</v>
          </cell>
          <cell r="AM480" t="str">
            <v>F</v>
          </cell>
          <cell r="AN480" t="str">
            <v>M0</v>
          </cell>
          <cell r="AO480" t="str">
            <v>Active(Model)</v>
          </cell>
          <cell r="AP480" t="str">
            <v/>
          </cell>
          <cell r="AQ480" t="str">
            <v/>
          </cell>
          <cell r="AR480" t="str">
            <v>Y</v>
          </cell>
          <cell r="AS480" t="str">
            <v/>
          </cell>
          <cell r="AT480" t="str">
            <v>IN</v>
          </cell>
          <cell r="AU480" t="str">
            <v>Infotainment</v>
          </cell>
          <cell r="AV480" t="str">
            <v>INCO</v>
          </cell>
          <cell r="AW480" t="str">
            <v>Connectivity</v>
          </cell>
          <cell r="AX480" t="str">
            <v>INCOTE</v>
          </cell>
          <cell r="AY480" t="str">
            <v>Telematics</v>
          </cell>
          <cell r="AZ480" t="str">
            <v>INCOTEFG</v>
          </cell>
          <cell r="BA480" t="str">
            <v>Telematics 5G</v>
          </cell>
        </row>
        <row r="481">
          <cell r="E481" t="str">
            <v>TFBMNINN0EN.BNN630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33</v>
          </cell>
          <cell r="O481">
            <v>48</v>
          </cell>
          <cell r="P481">
            <v>33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 t="str">
            <v/>
          </cell>
          <cell r="AH481" t="str">
            <v/>
          </cell>
          <cell r="AI481" t="str">
            <v>KR20P17898880</v>
          </cell>
          <cell r="AJ481" t="str">
            <v>TFBMNINN0EN.ARFQ</v>
          </cell>
          <cell r="AK481" t="str">
            <v>0.003522</v>
          </cell>
          <cell r="AL481" t="str">
            <v>1</v>
          </cell>
          <cell r="AM481" t="str">
            <v>F</v>
          </cell>
          <cell r="AN481" t="str">
            <v>M0</v>
          </cell>
          <cell r="AO481" t="str">
            <v>Active(Model)</v>
          </cell>
          <cell r="AP481" t="str">
            <v/>
          </cell>
          <cell r="AQ481" t="str">
            <v/>
          </cell>
          <cell r="AR481" t="str">
            <v>Y</v>
          </cell>
          <cell r="AS481" t="str">
            <v/>
          </cell>
          <cell r="AT481" t="str">
            <v>IN</v>
          </cell>
          <cell r="AU481" t="str">
            <v>Infotainment</v>
          </cell>
          <cell r="AV481" t="str">
            <v>INCO</v>
          </cell>
          <cell r="AW481" t="str">
            <v>Connectivity</v>
          </cell>
          <cell r="AX481" t="str">
            <v>INCOTE</v>
          </cell>
          <cell r="AY481" t="str">
            <v>Telematics</v>
          </cell>
          <cell r="AZ481" t="str">
            <v>INCOTEFG</v>
          </cell>
          <cell r="BA481" t="str">
            <v>Telematics 5G</v>
          </cell>
        </row>
        <row r="482">
          <cell r="E482" t="str">
            <v>TFGMEIBBCD1.BU1TUNN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400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 t="str">
            <v/>
          </cell>
          <cell r="AH482" t="str">
            <v/>
          </cell>
          <cell r="AI482" t="str">
            <v>KR17P13102010</v>
          </cell>
          <cell r="AJ482" t="str">
            <v>TFGMEIBBCD1.ARFQ</v>
          </cell>
          <cell r="AK482" t="str">
            <v>0.003522</v>
          </cell>
          <cell r="AL482" t="str">
            <v>1</v>
          </cell>
          <cell r="AM482" t="str">
            <v>F</v>
          </cell>
          <cell r="AN482" t="str">
            <v>M0</v>
          </cell>
          <cell r="AO482" t="str">
            <v>Active(Model)</v>
          </cell>
          <cell r="AP482" t="str">
            <v/>
          </cell>
          <cell r="AQ482" t="str">
            <v/>
          </cell>
          <cell r="AR482" t="str">
            <v>Y</v>
          </cell>
          <cell r="AS482" t="str">
            <v/>
          </cell>
          <cell r="AT482" t="str">
            <v>IN</v>
          </cell>
          <cell r="AU482" t="str">
            <v>Infotainment</v>
          </cell>
          <cell r="AV482" t="str">
            <v>INCO</v>
          </cell>
          <cell r="AW482" t="str">
            <v>Connectivity</v>
          </cell>
          <cell r="AX482" t="str">
            <v>INCOTE</v>
          </cell>
          <cell r="AY482" t="str">
            <v>Telematics</v>
          </cell>
          <cell r="AZ482" t="str">
            <v>INCOTEFG</v>
          </cell>
          <cell r="BA482" t="str">
            <v>Telematics 5G</v>
          </cell>
        </row>
        <row r="483">
          <cell r="E483" t="str">
            <v>TFGMEIBBCD1.BU1TUSN</v>
          </cell>
          <cell r="F483">
            <v>371</v>
          </cell>
          <cell r="G483">
            <v>0</v>
          </cell>
          <cell r="H483">
            <v>9</v>
          </cell>
          <cell r="I483">
            <v>3460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6491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 t="str">
            <v/>
          </cell>
          <cell r="AH483" t="str">
            <v/>
          </cell>
          <cell r="AI483" t="str">
            <v>KR17P13102010</v>
          </cell>
          <cell r="AJ483" t="str">
            <v>TFGMEIBBCD1.ARFQ</v>
          </cell>
          <cell r="AK483" t="str">
            <v>0.001434</v>
          </cell>
          <cell r="AL483" t="str">
            <v>1</v>
          </cell>
          <cell r="AM483" t="str">
            <v>F</v>
          </cell>
          <cell r="AN483" t="str">
            <v>M0</v>
          </cell>
          <cell r="AO483" t="str">
            <v>Active(Model)</v>
          </cell>
          <cell r="AP483" t="str">
            <v/>
          </cell>
          <cell r="AQ483" t="str">
            <v/>
          </cell>
          <cell r="AR483" t="str">
            <v>Y</v>
          </cell>
          <cell r="AS483" t="str">
            <v/>
          </cell>
          <cell r="AT483" t="str">
            <v>IN</v>
          </cell>
          <cell r="AU483" t="str">
            <v>Infotainment</v>
          </cell>
          <cell r="AV483" t="str">
            <v>INCO</v>
          </cell>
          <cell r="AW483" t="str">
            <v>Connectivity</v>
          </cell>
          <cell r="AX483" t="str">
            <v>INCOTE</v>
          </cell>
          <cell r="AY483" t="str">
            <v>Telematics</v>
          </cell>
          <cell r="AZ483" t="str">
            <v>INCOTEFG</v>
          </cell>
          <cell r="BA483" t="str">
            <v>Telematics 5G</v>
          </cell>
        </row>
        <row r="484">
          <cell r="E484" t="str">
            <v>TFGMEIBBCD2.BCNCM1N</v>
          </cell>
          <cell r="F484">
            <v>4426</v>
          </cell>
          <cell r="G484">
            <v>0</v>
          </cell>
          <cell r="H484">
            <v>0</v>
          </cell>
          <cell r="I484">
            <v>4426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 t="str">
            <v/>
          </cell>
          <cell r="AH484" t="str">
            <v/>
          </cell>
          <cell r="AI484" t="str">
            <v>KR17P13102010</v>
          </cell>
          <cell r="AJ484" t="str">
            <v>TFGMEIBBCD2.ARFQ</v>
          </cell>
          <cell r="AK484" t="str">
            <v>0.001434</v>
          </cell>
          <cell r="AL484" t="str">
            <v>1</v>
          </cell>
          <cell r="AM484" t="str">
            <v>F</v>
          </cell>
          <cell r="AN484" t="str">
            <v>M0</v>
          </cell>
          <cell r="AO484" t="str">
            <v>Active(Model)</v>
          </cell>
          <cell r="AP484" t="str">
            <v/>
          </cell>
          <cell r="AQ484" t="str">
            <v/>
          </cell>
          <cell r="AR484" t="str">
            <v>Y</v>
          </cell>
          <cell r="AS484" t="str">
            <v/>
          </cell>
          <cell r="AT484" t="str">
            <v>IN</v>
          </cell>
          <cell r="AU484" t="str">
            <v>Infotainment</v>
          </cell>
          <cell r="AV484" t="str">
            <v>INCO</v>
          </cell>
          <cell r="AW484" t="str">
            <v>Connectivity</v>
          </cell>
          <cell r="AX484" t="str">
            <v>INCOTE</v>
          </cell>
          <cell r="AY484" t="str">
            <v>Telematics</v>
          </cell>
          <cell r="AZ484" t="str">
            <v>INCOTEFG</v>
          </cell>
          <cell r="BA484" t="str">
            <v>Telematics 5G</v>
          </cell>
        </row>
        <row r="485">
          <cell r="E485" t="str">
            <v>TFGMEIBBCD2.BU1TSNN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1200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 t="str">
            <v/>
          </cell>
          <cell r="AH485" t="str">
            <v/>
          </cell>
          <cell r="AI485" t="str">
            <v>KR17P13102010</v>
          </cell>
          <cell r="AJ485" t="str">
            <v>TFGMEIBBCD2.ARFQ</v>
          </cell>
          <cell r="AK485" t="str">
            <v>0.001434</v>
          </cell>
          <cell r="AL485" t="str">
            <v>1</v>
          </cell>
          <cell r="AM485" t="str">
            <v>F</v>
          </cell>
          <cell r="AN485" t="str">
            <v>M0</v>
          </cell>
          <cell r="AO485" t="str">
            <v>Active(Model)</v>
          </cell>
          <cell r="AP485" t="str">
            <v/>
          </cell>
          <cell r="AQ485" t="str">
            <v/>
          </cell>
          <cell r="AR485" t="str">
            <v>Y</v>
          </cell>
          <cell r="AS485" t="str">
            <v/>
          </cell>
          <cell r="AT485" t="str">
            <v>IN</v>
          </cell>
          <cell r="AU485" t="str">
            <v>Infotainment</v>
          </cell>
          <cell r="AV485" t="str">
            <v>INCO</v>
          </cell>
          <cell r="AW485" t="str">
            <v>Connectivity</v>
          </cell>
          <cell r="AX485" t="str">
            <v>INCOTE</v>
          </cell>
          <cell r="AY485" t="str">
            <v>Telematics</v>
          </cell>
          <cell r="AZ485" t="str">
            <v>INCOTEFG</v>
          </cell>
          <cell r="BA485" t="str">
            <v>Telematics 5G</v>
          </cell>
        </row>
        <row r="486">
          <cell r="E486" t="str">
            <v>TFGMEIBBCD2.BU1TSON</v>
          </cell>
          <cell r="F486">
            <v>28</v>
          </cell>
          <cell r="G486">
            <v>0</v>
          </cell>
          <cell r="H486">
            <v>0</v>
          </cell>
          <cell r="I486">
            <v>28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 t="str">
            <v/>
          </cell>
          <cell r="AH486" t="str">
            <v/>
          </cell>
          <cell r="AI486" t="str">
            <v>KR17P13102010</v>
          </cell>
          <cell r="AJ486" t="str">
            <v>TFGMEIBBCD2.ARFQ</v>
          </cell>
          <cell r="AK486" t="str">
            <v>0.001434</v>
          </cell>
          <cell r="AL486" t="str">
            <v>1</v>
          </cell>
          <cell r="AM486" t="str">
            <v>F</v>
          </cell>
          <cell r="AN486" t="str">
            <v>M0</v>
          </cell>
          <cell r="AO486" t="str">
            <v>Active(Model)</v>
          </cell>
          <cell r="AP486" t="str">
            <v/>
          </cell>
          <cell r="AQ486" t="str">
            <v/>
          </cell>
          <cell r="AR486" t="str">
            <v>Y</v>
          </cell>
          <cell r="AS486" t="str">
            <v/>
          </cell>
          <cell r="AT486" t="str">
            <v>IN</v>
          </cell>
          <cell r="AU486" t="str">
            <v>Infotainment</v>
          </cell>
          <cell r="AV486" t="str">
            <v>INCO</v>
          </cell>
          <cell r="AW486" t="str">
            <v>Connectivity</v>
          </cell>
          <cell r="AX486" t="str">
            <v>INCOTE</v>
          </cell>
          <cell r="AY486" t="str">
            <v>Telematics</v>
          </cell>
          <cell r="AZ486" t="str">
            <v>INCOTEFG</v>
          </cell>
          <cell r="BA486" t="str">
            <v>Telematics 5G</v>
          </cell>
        </row>
        <row r="487">
          <cell r="E487" t="str">
            <v>TFGMEIBBCD2.BU1TSSN</v>
          </cell>
          <cell r="F487">
            <v>23</v>
          </cell>
          <cell r="G487">
            <v>0</v>
          </cell>
          <cell r="H487">
            <v>0</v>
          </cell>
          <cell r="I487">
            <v>7849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17088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 t="str">
            <v/>
          </cell>
          <cell r="AH487" t="str">
            <v/>
          </cell>
          <cell r="AI487" t="str">
            <v>KR17P13102010</v>
          </cell>
          <cell r="AJ487" t="str">
            <v>TFGMEIBBCD2.ARFQ</v>
          </cell>
          <cell r="AK487" t="str">
            <v>0.001434</v>
          </cell>
          <cell r="AL487" t="str">
            <v>1</v>
          </cell>
          <cell r="AM487" t="str">
            <v>F</v>
          </cell>
          <cell r="AN487" t="str">
            <v>M0</v>
          </cell>
          <cell r="AO487" t="str">
            <v>Active(Model)</v>
          </cell>
          <cell r="AP487" t="str">
            <v/>
          </cell>
          <cell r="AQ487" t="str">
            <v/>
          </cell>
          <cell r="AR487" t="str">
            <v>Y</v>
          </cell>
          <cell r="AS487" t="str">
            <v/>
          </cell>
          <cell r="AT487" t="str">
            <v>IN</v>
          </cell>
          <cell r="AU487" t="str">
            <v>Infotainment</v>
          </cell>
          <cell r="AV487" t="str">
            <v>INCO</v>
          </cell>
          <cell r="AW487" t="str">
            <v>Connectivity</v>
          </cell>
          <cell r="AX487" t="str">
            <v>INCOTE</v>
          </cell>
          <cell r="AY487" t="str">
            <v>Telematics</v>
          </cell>
          <cell r="AZ487" t="str">
            <v>INCOTEFG</v>
          </cell>
          <cell r="BA487" t="str">
            <v>Telematics 5G</v>
          </cell>
        </row>
        <row r="488">
          <cell r="E488" t="str">
            <v>TFGMEIBBCD3.BU1TSN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8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 t="str">
            <v/>
          </cell>
          <cell r="AH488" t="str">
            <v/>
          </cell>
          <cell r="AI488" t="str">
            <v/>
          </cell>
          <cell r="AJ488" t="str">
            <v/>
          </cell>
          <cell r="AK488" t="str">
            <v>0.000000</v>
          </cell>
          <cell r="AL488" t="str">
            <v/>
          </cell>
          <cell r="AM488" t="str">
            <v/>
          </cell>
          <cell r="AN488" t="str">
            <v/>
          </cell>
          <cell r="AO488" t="str">
            <v/>
          </cell>
          <cell r="AP488" t="str">
            <v/>
          </cell>
          <cell r="AQ488" t="str">
            <v/>
          </cell>
          <cell r="AR488" t="str">
            <v>N</v>
          </cell>
          <cell r="AS488" t="str">
            <v/>
          </cell>
          <cell r="AT488" t="str">
            <v/>
          </cell>
          <cell r="AU488" t="str">
            <v/>
          </cell>
          <cell r="AV488" t="str">
            <v/>
          </cell>
          <cell r="AW488" t="str">
            <v/>
          </cell>
          <cell r="AX488" t="str">
            <v/>
          </cell>
          <cell r="AY488" t="str">
            <v/>
          </cell>
          <cell r="AZ488" t="str">
            <v/>
          </cell>
          <cell r="BA488" t="str">
            <v/>
          </cell>
        </row>
        <row r="489">
          <cell r="E489" t="str">
            <v>TFGMEIBBCD3.BU1TSNS</v>
          </cell>
          <cell r="F489">
            <v>0</v>
          </cell>
          <cell r="G489">
            <v>0</v>
          </cell>
          <cell r="H489">
            <v>0</v>
          </cell>
          <cell r="I489">
            <v>8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8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 t="str">
            <v/>
          </cell>
          <cell r="AH489" t="str">
            <v/>
          </cell>
          <cell r="AI489" t="str">
            <v>KR17P13102010</v>
          </cell>
          <cell r="AJ489" t="str">
            <v>TFGMEIBBCD3.ARFQ</v>
          </cell>
          <cell r="AK489" t="str">
            <v>0.001434</v>
          </cell>
          <cell r="AL489" t="str">
            <v>1</v>
          </cell>
          <cell r="AM489" t="str">
            <v>F</v>
          </cell>
          <cell r="AN489" t="str">
            <v>M0</v>
          </cell>
          <cell r="AO489" t="str">
            <v>Active(Model)</v>
          </cell>
          <cell r="AP489" t="str">
            <v/>
          </cell>
          <cell r="AQ489" t="str">
            <v/>
          </cell>
          <cell r="AR489" t="str">
            <v>Y</v>
          </cell>
          <cell r="AS489" t="str">
            <v/>
          </cell>
          <cell r="AT489" t="str">
            <v>IN</v>
          </cell>
          <cell r="AU489" t="str">
            <v>Infotainment</v>
          </cell>
          <cell r="AV489" t="str">
            <v>INCO</v>
          </cell>
          <cell r="AW489" t="str">
            <v>Connectivity</v>
          </cell>
          <cell r="AX489" t="str">
            <v>INCOTE</v>
          </cell>
          <cell r="AY489" t="str">
            <v>Telematics</v>
          </cell>
          <cell r="AZ489" t="str">
            <v>INCOTEFG</v>
          </cell>
          <cell r="BA489" t="str">
            <v>Telematics 5G</v>
          </cell>
        </row>
        <row r="490">
          <cell r="E490" t="str">
            <v>TFGMEIBBCD3.BU1TSON</v>
          </cell>
          <cell r="F490">
            <v>2</v>
          </cell>
          <cell r="G490">
            <v>0</v>
          </cell>
          <cell r="H490">
            <v>0</v>
          </cell>
          <cell r="I490">
            <v>2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 t="str">
            <v/>
          </cell>
          <cell r="AH490" t="str">
            <v/>
          </cell>
          <cell r="AI490" t="str">
            <v>KR17P13102010</v>
          </cell>
          <cell r="AJ490" t="str">
            <v>TFGMEIBBCD3.ARFQ</v>
          </cell>
          <cell r="AK490" t="str">
            <v>0.001434</v>
          </cell>
          <cell r="AL490" t="str">
            <v>1</v>
          </cell>
          <cell r="AM490" t="str">
            <v>F</v>
          </cell>
          <cell r="AN490" t="str">
            <v>M0</v>
          </cell>
          <cell r="AO490" t="str">
            <v>Active(Model)</v>
          </cell>
          <cell r="AP490" t="str">
            <v/>
          </cell>
          <cell r="AQ490" t="str">
            <v/>
          </cell>
          <cell r="AR490" t="str">
            <v>Y</v>
          </cell>
          <cell r="AS490" t="str">
            <v/>
          </cell>
          <cell r="AT490" t="str">
            <v>IN</v>
          </cell>
          <cell r="AU490" t="str">
            <v>Infotainment</v>
          </cell>
          <cell r="AV490" t="str">
            <v>INCO</v>
          </cell>
          <cell r="AW490" t="str">
            <v>Connectivity</v>
          </cell>
          <cell r="AX490" t="str">
            <v>INCOTE</v>
          </cell>
          <cell r="AY490" t="str">
            <v>Telematics</v>
          </cell>
          <cell r="AZ490" t="str">
            <v>INCOTEFG</v>
          </cell>
          <cell r="BA490" t="str">
            <v>Telematics 5G</v>
          </cell>
        </row>
        <row r="491">
          <cell r="E491" t="str">
            <v>TFGMEIBBCD3.BU1TSSN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200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 t="str">
            <v/>
          </cell>
          <cell r="AH491" t="str">
            <v/>
          </cell>
          <cell r="AI491" t="str">
            <v>KR17P13102010</v>
          </cell>
          <cell r="AJ491" t="str">
            <v>TFGMEIBBCD3.ARFQ</v>
          </cell>
          <cell r="AK491" t="str">
            <v>0.001434</v>
          </cell>
          <cell r="AL491" t="str">
            <v>1</v>
          </cell>
          <cell r="AM491" t="str">
            <v>F</v>
          </cell>
          <cell r="AN491" t="str">
            <v>M0</v>
          </cell>
          <cell r="AO491" t="str">
            <v>Active(Model)</v>
          </cell>
          <cell r="AP491" t="str">
            <v/>
          </cell>
          <cell r="AQ491" t="str">
            <v/>
          </cell>
          <cell r="AR491" t="str">
            <v>Y</v>
          </cell>
          <cell r="AS491" t="str">
            <v/>
          </cell>
          <cell r="AT491" t="str">
            <v>IN</v>
          </cell>
          <cell r="AU491" t="str">
            <v>Infotainment</v>
          </cell>
          <cell r="AV491" t="str">
            <v>INCO</v>
          </cell>
          <cell r="AW491" t="str">
            <v>Connectivity</v>
          </cell>
          <cell r="AX491" t="str">
            <v>INCOTE</v>
          </cell>
          <cell r="AY491" t="str">
            <v>Telematics</v>
          </cell>
          <cell r="AZ491" t="str">
            <v>INCOTEFG</v>
          </cell>
          <cell r="BA491" t="str">
            <v>Telematics 5G</v>
          </cell>
        </row>
        <row r="492">
          <cell r="E492" t="str">
            <v>TFGMEIBBCD4.BU1CMSN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80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 t="str">
            <v/>
          </cell>
          <cell r="AH492" t="str">
            <v/>
          </cell>
          <cell r="AI492" t="str">
            <v>KR17P13102010</v>
          </cell>
          <cell r="AJ492" t="str">
            <v>TFGMEIBBCD4.ARFQ</v>
          </cell>
          <cell r="AK492" t="str">
            <v>0.001434</v>
          </cell>
          <cell r="AL492" t="str">
            <v>1</v>
          </cell>
          <cell r="AM492" t="str">
            <v>F</v>
          </cell>
          <cell r="AN492" t="str">
            <v>M0</v>
          </cell>
          <cell r="AO492" t="str">
            <v>Active(Model)</v>
          </cell>
          <cell r="AP492" t="str">
            <v/>
          </cell>
          <cell r="AQ492" t="str">
            <v/>
          </cell>
          <cell r="AR492" t="str">
            <v>Y</v>
          </cell>
          <cell r="AS492" t="str">
            <v/>
          </cell>
          <cell r="AT492" t="str">
            <v>IN</v>
          </cell>
          <cell r="AU492" t="str">
            <v>Infotainment</v>
          </cell>
          <cell r="AV492" t="str">
            <v>INCO</v>
          </cell>
          <cell r="AW492" t="str">
            <v>Connectivity</v>
          </cell>
          <cell r="AX492" t="str">
            <v>INCOTE</v>
          </cell>
          <cell r="AY492" t="str">
            <v>Telematics</v>
          </cell>
          <cell r="AZ492" t="str">
            <v>INCOTEFG</v>
          </cell>
          <cell r="BA492" t="str">
            <v>Telematics 5G</v>
          </cell>
        </row>
        <row r="493">
          <cell r="E493" t="str">
            <v>TFGMEIBBCD4.BU1CMVN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10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 t="str">
            <v/>
          </cell>
          <cell r="AH493" t="str">
            <v/>
          </cell>
          <cell r="AI493" t="str">
            <v>KR17P13102010</v>
          </cell>
          <cell r="AJ493" t="str">
            <v>TFGMEIBBCD4.ARFQ</v>
          </cell>
          <cell r="AK493" t="str">
            <v>0.001434</v>
          </cell>
          <cell r="AL493" t="str">
            <v>1</v>
          </cell>
          <cell r="AM493" t="str">
            <v>F</v>
          </cell>
          <cell r="AN493" t="str">
            <v>M0</v>
          </cell>
          <cell r="AO493" t="str">
            <v>Active(Model)</v>
          </cell>
          <cell r="AP493" t="str">
            <v/>
          </cell>
          <cell r="AQ493" t="str">
            <v/>
          </cell>
          <cell r="AR493" t="str">
            <v>Y</v>
          </cell>
          <cell r="AS493" t="str">
            <v/>
          </cell>
          <cell r="AT493" t="str">
            <v>IN</v>
          </cell>
          <cell r="AU493" t="str">
            <v>Infotainment</v>
          </cell>
          <cell r="AV493" t="str">
            <v>INCO</v>
          </cell>
          <cell r="AW493" t="str">
            <v>Connectivity</v>
          </cell>
          <cell r="AX493" t="str">
            <v>INCOTE</v>
          </cell>
          <cell r="AY493" t="str">
            <v>Telematics</v>
          </cell>
          <cell r="AZ493" t="str">
            <v>INCOTEFG</v>
          </cell>
          <cell r="BA493" t="str">
            <v>Telematics 5G</v>
          </cell>
        </row>
        <row r="494">
          <cell r="E494" t="str">
            <v>TFGMEIBBCD5.BU1CMSN</v>
          </cell>
          <cell r="F494">
            <v>2</v>
          </cell>
          <cell r="G494">
            <v>0</v>
          </cell>
          <cell r="H494">
            <v>0</v>
          </cell>
          <cell r="I494">
            <v>2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 t="str">
            <v/>
          </cell>
          <cell r="AH494" t="str">
            <v/>
          </cell>
          <cell r="AI494" t="str">
            <v>KR17P13102010</v>
          </cell>
          <cell r="AJ494" t="str">
            <v>TFGMEIBBCD5.ARFQ</v>
          </cell>
          <cell r="AK494" t="str">
            <v>0.001434</v>
          </cell>
          <cell r="AL494" t="str">
            <v>1</v>
          </cell>
          <cell r="AM494" t="str">
            <v>F</v>
          </cell>
          <cell r="AN494" t="str">
            <v>M0</v>
          </cell>
          <cell r="AO494" t="str">
            <v>Active(Model)</v>
          </cell>
          <cell r="AP494" t="str">
            <v/>
          </cell>
          <cell r="AQ494" t="str">
            <v/>
          </cell>
          <cell r="AR494" t="str">
            <v>Y</v>
          </cell>
          <cell r="AS494" t="str">
            <v/>
          </cell>
          <cell r="AT494" t="str">
            <v>IN</v>
          </cell>
          <cell r="AU494" t="str">
            <v>Infotainment</v>
          </cell>
          <cell r="AV494" t="str">
            <v>INCO</v>
          </cell>
          <cell r="AW494" t="str">
            <v>Connectivity</v>
          </cell>
          <cell r="AX494" t="str">
            <v>INCOTE</v>
          </cell>
          <cell r="AY494" t="str">
            <v>Telematics</v>
          </cell>
          <cell r="AZ494" t="str">
            <v>INCOTEFG</v>
          </cell>
          <cell r="BA494" t="str">
            <v>Telematics 5G</v>
          </cell>
        </row>
        <row r="495">
          <cell r="E495" t="str">
            <v>TFGMEIBBCD6.BU1CMON</v>
          </cell>
          <cell r="F495">
            <v>1</v>
          </cell>
          <cell r="G495">
            <v>0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 t="str">
            <v/>
          </cell>
          <cell r="AH495" t="str">
            <v/>
          </cell>
          <cell r="AI495" t="str">
            <v>KR17P13102010</v>
          </cell>
          <cell r="AJ495" t="str">
            <v>TFGMEIBBCD6.ARFQ</v>
          </cell>
          <cell r="AK495" t="str">
            <v>0.001434</v>
          </cell>
          <cell r="AL495" t="str">
            <v>1</v>
          </cell>
          <cell r="AM495" t="str">
            <v>F</v>
          </cell>
          <cell r="AN495" t="str">
            <v>M0</v>
          </cell>
          <cell r="AO495" t="str">
            <v>Active(Model)</v>
          </cell>
          <cell r="AP495" t="str">
            <v/>
          </cell>
          <cell r="AQ495" t="str">
            <v/>
          </cell>
          <cell r="AR495" t="str">
            <v>Y</v>
          </cell>
          <cell r="AS495" t="str">
            <v/>
          </cell>
          <cell r="AT495" t="str">
            <v>IN</v>
          </cell>
          <cell r="AU495" t="str">
            <v>Infotainment</v>
          </cell>
          <cell r="AV495" t="str">
            <v>INCO</v>
          </cell>
          <cell r="AW495" t="str">
            <v>Connectivity</v>
          </cell>
          <cell r="AX495" t="str">
            <v>INCOTE</v>
          </cell>
          <cell r="AY495" t="str">
            <v>Telematics</v>
          </cell>
          <cell r="AZ495" t="str">
            <v>INCOTEFG</v>
          </cell>
          <cell r="BA495" t="str">
            <v>Telematics 5G</v>
          </cell>
        </row>
        <row r="496">
          <cell r="E496" t="str">
            <v>TFGMEIBBCD6.BU1CMSN</v>
          </cell>
          <cell r="F496">
            <v>1</v>
          </cell>
          <cell r="G496">
            <v>0</v>
          </cell>
          <cell r="H496">
            <v>0</v>
          </cell>
          <cell r="I496">
            <v>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 t="str">
            <v/>
          </cell>
          <cell r="AH496" t="str">
            <v/>
          </cell>
          <cell r="AI496" t="str">
            <v>KR17P13102010</v>
          </cell>
          <cell r="AJ496" t="str">
            <v>TFGMEIBBCD6.ARFQ</v>
          </cell>
          <cell r="AK496" t="str">
            <v>0.001434</v>
          </cell>
          <cell r="AL496" t="str">
            <v>1</v>
          </cell>
          <cell r="AM496" t="str">
            <v>F</v>
          </cell>
          <cell r="AN496" t="str">
            <v>M0</v>
          </cell>
          <cell r="AO496" t="str">
            <v>Active(Model)</v>
          </cell>
          <cell r="AP496" t="str">
            <v/>
          </cell>
          <cell r="AQ496" t="str">
            <v/>
          </cell>
          <cell r="AR496" t="str">
            <v>Y</v>
          </cell>
          <cell r="AS496" t="str">
            <v/>
          </cell>
          <cell r="AT496" t="str">
            <v>IN</v>
          </cell>
          <cell r="AU496" t="str">
            <v>Infotainment</v>
          </cell>
          <cell r="AV496" t="str">
            <v>INCO</v>
          </cell>
          <cell r="AW496" t="str">
            <v>Connectivity</v>
          </cell>
          <cell r="AX496" t="str">
            <v>INCOTE</v>
          </cell>
          <cell r="AY496" t="str">
            <v>Telematics</v>
          </cell>
          <cell r="AZ496" t="str">
            <v>INCOTEFG</v>
          </cell>
          <cell r="BA496" t="str">
            <v>Telematics 5G</v>
          </cell>
        </row>
        <row r="497">
          <cell r="E497" t="str">
            <v>TFGMEIBBCD7.BU1CMNN</v>
          </cell>
          <cell r="F497">
            <v>1</v>
          </cell>
          <cell r="G497">
            <v>0</v>
          </cell>
          <cell r="H497">
            <v>0</v>
          </cell>
          <cell r="I497">
            <v>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 t="str">
            <v/>
          </cell>
          <cell r="AH497" t="str">
            <v/>
          </cell>
          <cell r="AI497" t="str">
            <v>KR17P13102010</v>
          </cell>
          <cell r="AJ497" t="str">
            <v>TFGMEIBBCD7.ARFQ</v>
          </cell>
          <cell r="AK497" t="str">
            <v>0.001434</v>
          </cell>
          <cell r="AL497" t="str">
            <v>1</v>
          </cell>
          <cell r="AM497" t="str">
            <v>F</v>
          </cell>
          <cell r="AN497" t="str">
            <v>M0</v>
          </cell>
          <cell r="AO497" t="str">
            <v>Active(Model)</v>
          </cell>
          <cell r="AP497" t="str">
            <v/>
          </cell>
          <cell r="AQ497" t="str">
            <v/>
          </cell>
          <cell r="AR497" t="str">
            <v>Y</v>
          </cell>
          <cell r="AS497" t="str">
            <v/>
          </cell>
          <cell r="AT497" t="str">
            <v>IN</v>
          </cell>
          <cell r="AU497" t="str">
            <v>Infotainment</v>
          </cell>
          <cell r="AV497" t="str">
            <v>INCO</v>
          </cell>
          <cell r="AW497" t="str">
            <v>Connectivity</v>
          </cell>
          <cell r="AX497" t="str">
            <v>INCOTE</v>
          </cell>
          <cell r="AY497" t="str">
            <v>Telematics</v>
          </cell>
          <cell r="AZ497" t="str">
            <v>INCOTEFG</v>
          </cell>
          <cell r="BA497" t="str">
            <v>Telematics 5G</v>
          </cell>
        </row>
        <row r="498">
          <cell r="E498" t="str">
            <v>TFGMEIBBCD7.BU1CMSN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100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 t="str">
            <v/>
          </cell>
          <cell r="AH498" t="str">
            <v/>
          </cell>
          <cell r="AI498" t="str">
            <v>KR17P13102010</v>
          </cell>
          <cell r="AJ498" t="str">
            <v>TFGMEIBBCD7.ARFQ</v>
          </cell>
          <cell r="AK498" t="str">
            <v>0.001434</v>
          </cell>
          <cell r="AL498" t="str">
            <v>1</v>
          </cell>
          <cell r="AM498" t="str">
            <v>F</v>
          </cell>
          <cell r="AN498" t="str">
            <v>M0</v>
          </cell>
          <cell r="AO498" t="str">
            <v>Active(Model)</v>
          </cell>
          <cell r="AP498" t="str">
            <v/>
          </cell>
          <cell r="AQ498" t="str">
            <v/>
          </cell>
          <cell r="AR498" t="str">
            <v>Y</v>
          </cell>
          <cell r="AS498" t="str">
            <v/>
          </cell>
          <cell r="AT498" t="str">
            <v>IN</v>
          </cell>
          <cell r="AU498" t="str">
            <v>Infotainment</v>
          </cell>
          <cell r="AV498" t="str">
            <v>INCO</v>
          </cell>
          <cell r="AW498" t="str">
            <v>Connectivity</v>
          </cell>
          <cell r="AX498" t="str">
            <v>INCOTE</v>
          </cell>
          <cell r="AY498" t="str">
            <v>Telematics</v>
          </cell>
          <cell r="AZ498" t="str">
            <v>INCOTEFG</v>
          </cell>
          <cell r="BA498" t="str">
            <v>Telematics 5G</v>
          </cell>
        </row>
        <row r="499">
          <cell r="E499" t="str">
            <v>TFGMEIBBCD8.BU1CMSN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200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 t="str">
            <v/>
          </cell>
          <cell r="AH499" t="str">
            <v/>
          </cell>
          <cell r="AI499" t="str">
            <v>KR17P13102010</v>
          </cell>
          <cell r="AJ499" t="str">
            <v>TFGMEIBBCD8.ARFQ</v>
          </cell>
          <cell r="AK499" t="str">
            <v>0.001434</v>
          </cell>
          <cell r="AL499" t="str">
            <v>1</v>
          </cell>
          <cell r="AM499" t="str">
            <v>F</v>
          </cell>
          <cell r="AN499" t="str">
            <v>M0</v>
          </cell>
          <cell r="AO499" t="str">
            <v>Active(Model)</v>
          </cell>
          <cell r="AP499" t="str">
            <v/>
          </cell>
          <cell r="AQ499" t="str">
            <v/>
          </cell>
          <cell r="AR499" t="str">
            <v>Y</v>
          </cell>
          <cell r="AS499" t="str">
            <v/>
          </cell>
          <cell r="AT499" t="str">
            <v>IN</v>
          </cell>
          <cell r="AU499" t="str">
            <v>Infotainment</v>
          </cell>
          <cell r="AV499" t="str">
            <v>INCO</v>
          </cell>
          <cell r="AW499" t="str">
            <v>Connectivity</v>
          </cell>
          <cell r="AX499" t="str">
            <v>INCOTE</v>
          </cell>
          <cell r="AY499" t="str">
            <v>Telematics</v>
          </cell>
          <cell r="AZ499" t="str">
            <v>INCOTEFG</v>
          </cell>
          <cell r="BA499" t="str">
            <v>Telematics 5G</v>
          </cell>
        </row>
        <row r="500">
          <cell r="E500" t="str">
            <v>TFGMEIBBCD9.BU1CMQN</v>
          </cell>
          <cell r="F500">
            <v>1</v>
          </cell>
          <cell r="G500">
            <v>0</v>
          </cell>
          <cell r="H500">
            <v>0</v>
          </cell>
          <cell r="I500">
            <v>1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 t="str">
            <v/>
          </cell>
          <cell r="AH500" t="str">
            <v/>
          </cell>
          <cell r="AI500" t="str">
            <v>KR17P13102010</v>
          </cell>
          <cell r="AJ500" t="str">
            <v>TFGMEIBBCD9.ARFQ</v>
          </cell>
          <cell r="AK500" t="str">
            <v>0.001434</v>
          </cell>
          <cell r="AL500" t="str">
            <v>1</v>
          </cell>
          <cell r="AM500" t="str">
            <v>F</v>
          </cell>
          <cell r="AN500" t="str">
            <v>M0</v>
          </cell>
          <cell r="AO500" t="str">
            <v>Active(Model)</v>
          </cell>
          <cell r="AP500" t="str">
            <v/>
          </cell>
          <cell r="AQ500" t="str">
            <v/>
          </cell>
          <cell r="AR500" t="str">
            <v>Y</v>
          </cell>
          <cell r="AS500" t="str">
            <v/>
          </cell>
          <cell r="AT500" t="str">
            <v>IN</v>
          </cell>
          <cell r="AU500" t="str">
            <v>Infotainment</v>
          </cell>
          <cell r="AV500" t="str">
            <v>INCO</v>
          </cell>
          <cell r="AW500" t="str">
            <v>Connectivity</v>
          </cell>
          <cell r="AX500" t="str">
            <v>INCOTE</v>
          </cell>
          <cell r="AY500" t="str">
            <v>Telematics</v>
          </cell>
          <cell r="AZ500" t="str">
            <v>INCOTEFG</v>
          </cell>
          <cell r="BA500" t="str">
            <v>Telematics 5G</v>
          </cell>
        </row>
        <row r="501">
          <cell r="E501" t="str">
            <v>TFGMEIBBCD9.BU1CMRN</v>
          </cell>
          <cell r="F501">
            <v>40</v>
          </cell>
          <cell r="G501">
            <v>0</v>
          </cell>
          <cell r="H501">
            <v>0</v>
          </cell>
          <cell r="I501">
            <v>40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 t="str">
            <v/>
          </cell>
          <cell r="AH501" t="str">
            <v/>
          </cell>
          <cell r="AI501" t="str">
            <v>KR17P13102010</v>
          </cell>
          <cell r="AJ501" t="str">
            <v>TFGMEIBBCD9.ARFQ</v>
          </cell>
          <cell r="AK501" t="str">
            <v>0.001434</v>
          </cell>
          <cell r="AL501" t="str">
            <v>1</v>
          </cell>
          <cell r="AM501" t="str">
            <v>F</v>
          </cell>
          <cell r="AN501" t="str">
            <v>M0</v>
          </cell>
          <cell r="AO501" t="str">
            <v>Active(Model)</v>
          </cell>
          <cell r="AP501" t="str">
            <v/>
          </cell>
          <cell r="AQ501" t="str">
            <v/>
          </cell>
          <cell r="AR501" t="str">
            <v>Y</v>
          </cell>
          <cell r="AS501" t="str">
            <v/>
          </cell>
          <cell r="AT501" t="str">
            <v>IN</v>
          </cell>
          <cell r="AU501" t="str">
            <v>Infotainment</v>
          </cell>
          <cell r="AV501" t="str">
            <v>INCO</v>
          </cell>
          <cell r="AW501" t="str">
            <v>Connectivity</v>
          </cell>
          <cell r="AX501" t="str">
            <v>INCOTE</v>
          </cell>
          <cell r="AY501" t="str">
            <v>Telematics</v>
          </cell>
          <cell r="AZ501" t="str">
            <v>INCOTEFG</v>
          </cell>
          <cell r="BA501" t="str">
            <v>Telematics 5G</v>
          </cell>
        </row>
        <row r="502">
          <cell r="E502" t="str">
            <v>TFGMEIBBCDA.BU1CMQN</v>
          </cell>
          <cell r="F502">
            <v>1</v>
          </cell>
          <cell r="G502">
            <v>0</v>
          </cell>
          <cell r="H502">
            <v>0</v>
          </cell>
          <cell r="I502">
            <v>1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 t="str">
            <v/>
          </cell>
          <cell r="AH502" t="str">
            <v/>
          </cell>
          <cell r="AI502" t="str">
            <v>KR17P13102010</v>
          </cell>
          <cell r="AJ502" t="str">
            <v>TFGMEIBBCDA.ARFQ</v>
          </cell>
          <cell r="AK502" t="str">
            <v>0.001434</v>
          </cell>
          <cell r="AL502" t="str">
            <v>1</v>
          </cell>
          <cell r="AM502" t="str">
            <v>F</v>
          </cell>
          <cell r="AN502" t="str">
            <v>M0</v>
          </cell>
          <cell r="AO502" t="str">
            <v>Active(Model)</v>
          </cell>
          <cell r="AP502" t="str">
            <v/>
          </cell>
          <cell r="AQ502" t="str">
            <v/>
          </cell>
          <cell r="AR502" t="str">
            <v>Y</v>
          </cell>
          <cell r="AS502" t="str">
            <v/>
          </cell>
          <cell r="AT502" t="str">
            <v>IN</v>
          </cell>
          <cell r="AU502" t="str">
            <v>Infotainment</v>
          </cell>
          <cell r="AV502" t="str">
            <v>INCO</v>
          </cell>
          <cell r="AW502" t="str">
            <v>Connectivity</v>
          </cell>
          <cell r="AX502" t="str">
            <v>INCOTE</v>
          </cell>
          <cell r="AY502" t="str">
            <v>Telematics</v>
          </cell>
          <cell r="AZ502" t="str">
            <v>INCOTEFG</v>
          </cell>
          <cell r="BA502" t="str">
            <v>Telematics 5G</v>
          </cell>
        </row>
        <row r="503">
          <cell r="E503" t="str">
            <v>TFGMEIBBCDB.BU1CMLN</v>
          </cell>
          <cell r="F503">
            <v>3</v>
          </cell>
          <cell r="G503">
            <v>0</v>
          </cell>
          <cell r="H503">
            <v>0</v>
          </cell>
          <cell r="I503">
            <v>3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 t="str">
            <v/>
          </cell>
          <cell r="AH503" t="str">
            <v/>
          </cell>
          <cell r="AI503" t="str">
            <v>KR17P13102010</v>
          </cell>
          <cell r="AJ503" t="str">
            <v>TFGMEIBBCDB.ARFQ</v>
          </cell>
          <cell r="AK503" t="str">
            <v>0.001434</v>
          </cell>
          <cell r="AL503" t="str">
            <v>1</v>
          </cell>
          <cell r="AM503" t="str">
            <v>F</v>
          </cell>
          <cell r="AN503" t="str">
            <v>M0</v>
          </cell>
          <cell r="AO503" t="str">
            <v>Active(Model)</v>
          </cell>
          <cell r="AP503" t="str">
            <v/>
          </cell>
          <cell r="AQ503" t="str">
            <v/>
          </cell>
          <cell r="AR503" t="str">
            <v>Y</v>
          </cell>
          <cell r="AS503" t="str">
            <v/>
          </cell>
          <cell r="AT503" t="str">
            <v>IN</v>
          </cell>
          <cell r="AU503" t="str">
            <v>Infotainment</v>
          </cell>
          <cell r="AV503" t="str">
            <v>INCO</v>
          </cell>
          <cell r="AW503" t="str">
            <v>Connectivity</v>
          </cell>
          <cell r="AX503" t="str">
            <v>INCOTE</v>
          </cell>
          <cell r="AY503" t="str">
            <v>Telematics</v>
          </cell>
          <cell r="AZ503" t="str">
            <v>INCOTEFG</v>
          </cell>
          <cell r="BA503" t="str">
            <v>Telematics 5G</v>
          </cell>
        </row>
        <row r="504">
          <cell r="E504" t="str">
            <v>TFGMEIBBCDB.BU1CMNN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58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 t="str">
            <v/>
          </cell>
          <cell r="AH504" t="str">
            <v/>
          </cell>
          <cell r="AI504" t="str">
            <v>KR17P13102010</v>
          </cell>
          <cell r="AJ504" t="str">
            <v>TFGMEIBBCDB.ARFQ</v>
          </cell>
          <cell r="AK504" t="str">
            <v>0.001434</v>
          </cell>
          <cell r="AL504" t="str">
            <v>1</v>
          </cell>
          <cell r="AM504" t="str">
            <v>F</v>
          </cell>
          <cell r="AN504" t="str">
            <v>M0</v>
          </cell>
          <cell r="AO504" t="str">
            <v>Active(Model)</v>
          </cell>
          <cell r="AP504" t="str">
            <v/>
          </cell>
          <cell r="AQ504" t="str">
            <v/>
          </cell>
          <cell r="AR504" t="str">
            <v>Y</v>
          </cell>
          <cell r="AS504" t="str">
            <v/>
          </cell>
          <cell r="AT504" t="str">
            <v>IN</v>
          </cell>
          <cell r="AU504" t="str">
            <v>Infotainment</v>
          </cell>
          <cell r="AV504" t="str">
            <v>INCO</v>
          </cell>
          <cell r="AW504" t="str">
            <v>Connectivity</v>
          </cell>
          <cell r="AX504" t="str">
            <v>INCOTE</v>
          </cell>
          <cell r="AY504" t="str">
            <v>Telematics</v>
          </cell>
          <cell r="AZ504" t="str">
            <v>INCOTEFG</v>
          </cell>
          <cell r="BA504" t="str">
            <v>Telematics 5G</v>
          </cell>
        </row>
        <row r="505">
          <cell r="E505" t="str">
            <v>TFGMEIBBCDB.BU1CMQN</v>
          </cell>
          <cell r="F505">
            <v>40</v>
          </cell>
          <cell r="G505">
            <v>0</v>
          </cell>
          <cell r="H505">
            <v>0</v>
          </cell>
          <cell r="I505">
            <v>40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 t="str">
            <v/>
          </cell>
          <cell r="AH505" t="str">
            <v/>
          </cell>
          <cell r="AI505" t="str">
            <v>KR17P13102010</v>
          </cell>
          <cell r="AJ505" t="str">
            <v>TFGMEIBBCDB.ARFQ</v>
          </cell>
          <cell r="AK505" t="str">
            <v>0.001434</v>
          </cell>
          <cell r="AL505" t="str">
            <v>1</v>
          </cell>
          <cell r="AM505" t="str">
            <v>F</v>
          </cell>
          <cell r="AN505" t="str">
            <v>M0</v>
          </cell>
          <cell r="AO505" t="str">
            <v>Active(Model)</v>
          </cell>
          <cell r="AP505" t="str">
            <v/>
          </cell>
          <cell r="AQ505" t="str">
            <v/>
          </cell>
          <cell r="AR505" t="str">
            <v>Y</v>
          </cell>
          <cell r="AS505" t="str">
            <v/>
          </cell>
          <cell r="AT505" t="str">
            <v>IN</v>
          </cell>
          <cell r="AU505" t="str">
            <v>Infotainment</v>
          </cell>
          <cell r="AV505" t="str">
            <v>INCO</v>
          </cell>
          <cell r="AW505" t="str">
            <v>Connectivity</v>
          </cell>
          <cell r="AX505" t="str">
            <v>INCOTE</v>
          </cell>
          <cell r="AY505" t="str">
            <v>Telematics</v>
          </cell>
          <cell r="AZ505" t="str">
            <v>INCOTEFG</v>
          </cell>
          <cell r="BA505" t="str">
            <v>Telematics 5G</v>
          </cell>
        </row>
        <row r="506">
          <cell r="E506" t="str">
            <v>TFGMEIBBCDB.BU1CMRN</v>
          </cell>
          <cell r="F506">
            <v>35</v>
          </cell>
          <cell r="G506">
            <v>0</v>
          </cell>
          <cell r="H506">
            <v>0</v>
          </cell>
          <cell r="I506">
            <v>35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 t="str">
            <v/>
          </cell>
          <cell r="AH506" t="str">
            <v/>
          </cell>
          <cell r="AI506" t="str">
            <v>KR17P13102010</v>
          </cell>
          <cell r="AJ506" t="str">
            <v>TFGMEIBBCDB.ARFQ</v>
          </cell>
          <cell r="AK506" t="str">
            <v>0.001434</v>
          </cell>
          <cell r="AL506" t="str">
            <v>1</v>
          </cell>
          <cell r="AM506" t="str">
            <v>F</v>
          </cell>
          <cell r="AN506" t="str">
            <v>M0</v>
          </cell>
          <cell r="AO506" t="str">
            <v>Active(Model)</v>
          </cell>
          <cell r="AP506" t="str">
            <v/>
          </cell>
          <cell r="AQ506" t="str">
            <v/>
          </cell>
          <cell r="AR506" t="str">
            <v>Y</v>
          </cell>
          <cell r="AS506" t="str">
            <v/>
          </cell>
          <cell r="AT506" t="str">
            <v>IN</v>
          </cell>
          <cell r="AU506" t="str">
            <v>Infotainment</v>
          </cell>
          <cell r="AV506" t="str">
            <v>INCO</v>
          </cell>
          <cell r="AW506" t="str">
            <v>Connectivity</v>
          </cell>
          <cell r="AX506" t="str">
            <v>INCOTE</v>
          </cell>
          <cell r="AY506" t="str">
            <v>Telematics</v>
          </cell>
          <cell r="AZ506" t="str">
            <v>INCOTEFG</v>
          </cell>
          <cell r="BA506" t="str">
            <v>Telematics 5G</v>
          </cell>
        </row>
        <row r="507">
          <cell r="E507" t="str">
            <v>TFGMEIBBCDB.BU1CMSN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100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 t="str">
            <v/>
          </cell>
          <cell r="AH507" t="str">
            <v/>
          </cell>
          <cell r="AI507" t="str">
            <v>KR17P13102010</v>
          </cell>
          <cell r="AJ507" t="str">
            <v>TFGMEIBBCDB.ARFQ</v>
          </cell>
          <cell r="AK507" t="str">
            <v>0.001434</v>
          </cell>
          <cell r="AL507" t="str">
            <v>1</v>
          </cell>
          <cell r="AM507" t="str">
            <v>F</v>
          </cell>
          <cell r="AN507" t="str">
            <v>M0</v>
          </cell>
          <cell r="AO507" t="str">
            <v>Active(Model)</v>
          </cell>
          <cell r="AP507" t="str">
            <v/>
          </cell>
          <cell r="AQ507" t="str">
            <v/>
          </cell>
          <cell r="AR507" t="str">
            <v>Y</v>
          </cell>
          <cell r="AS507" t="str">
            <v/>
          </cell>
          <cell r="AT507" t="str">
            <v>IN</v>
          </cell>
          <cell r="AU507" t="str">
            <v>Infotainment</v>
          </cell>
          <cell r="AV507" t="str">
            <v>INCO</v>
          </cell>
          <cell r="AW507" t="str">
            <v>Connectivity</v>
          </cell>
          <cell r="AX507" t="str">
            <v>INCOTE</v>
          </cell>
          <cell r="AY507" t="str">
            <v>Telematics</v>
          </cell>
          <cell r="AZ507" t="str">
            <v>INCOTEFG</v>
          </cell>
          <cell r="BA507" t="str">
            <v>Telematics 5G</v>
          </cell>
        </row>
        <row r="508">
          <cell r="E508" t="str">
            <v>TFGMEIBBCDD.BU1CMLN</v>
          </cell>
          <cell r="F508">
            <v>1</v>
          </cell>
          <cell r="G508">
            <v>0</v>
          </cell>
          <cell r="H508">
            <v>0</v>
          </cell>
          <cell r="I508">
            <v>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 t="str">
            <v/>
          </cell>
          <cell r="AH508" t="str">
            <v/>
          </cell>
          <cell r="AI508" t="str">
            <v>KR17P13102010</v>
          </cell>
          <cell r="AJ508" t="str">
            <v>TFGMEIBBCDD.ARFQ</v>
          </cell>
          <cell r="AK508" t="str">
            <v>0.001434</v>
          </cell>
          <cell r="AL508" t="str">
            <v>1</v>
          </cell>
          <cell r="AM508" t="str">
            <v>F</v>
          </cell>
          <cell r="AN508" t="str">
            <v>M0</v>
          </cell>
          <cell r="AO508" t="str">
            <v>Active(Model)</v>
          </cell>
          <cell r="AP508" t="str">
            <v/>
          </cell>
          <cell r="AQ508" t="str">
            <v/>
          </cell>
          <cell r="AR508" t="str">
            <v>Y</v>
          </cell>
          <cell r="AS508" t="str">
            <v/>
          </cell>
          <cell r="AT508" t="str">
            <v>IN</v>
          </cell>
          <cell r="AU508" t="str">
            <v>Infotainment</v>
          </cell>
          <cell r="AV508" t="str">
            <v>INCO</v>
          </cell>
          <cell r="AW508" t="str">
            <v>Connectivity</v>
          </cell>
          <cell r="AX508" t="str">
            <v>INCOTE</v>
          </cell>
          <cell r="AY508" t="str">
            <v>Telematics</v>
          </cell>
          <cell r="AZ508" t="str">
            <v>INCOTEFG</v>
          </cell>
          <cell r="BA508" t="str">
            <v>Telematics 5G</v>
          </cell>
        </row>
        <row r="509">
          <cell r="E509" t="str">
            <v>TFGMEIBBCDD.BU1CMRN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1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 t="str">
            <v/>
          </cell>
          <cell r="AH509" t="str">
            <v/>
          </cell>
          <cell r="AI509" t="str">
            <v>KR17P13102010</v>
          </cell>
          <cell r="AJ509" t="str">
            <v>TFGMEIBBCDD.ARFQ</v>
          </cell>
          <cell r="AK509" t="str">
            <v>0.001434</v>
          </cell>
          <cell r="AL509" t="str">
            <v>1</v>
          </cell>
          <cell r="AM509" t="str">
            <v>F</v>
          </cell>
          <cell r="AN509" t="str">
            <v>M0</v>
          </cell>
          <cell r="AO509" t="str">
            <v>Active(Model)</v>
          </cell>
          <cell r="AP509" t="str">
            <v/>
          </cell>
          <cell r="AQ509" t="str">
            <v/>
          </cell>
          <cell r="AR509" t="str">
            <v>Y</v>
          </cell>
          <cell r="AS509" t="str">
            <v/>
          </cell>
          <cell r="AT509" t="str">
            <v>IN</v>
          </cell>
          <cell r="AU509" t="str">
            <v>Infotainment</v>
          </cell>
          <cell r="AV509" t="str">
            <v>INCO</v>
          </cell>
          <cell r="AW509" t="str">
            <v>Connectivity</v>
          </cell>
          <cell r="AX509" t="str">
            <v>INCOTE</v>
          </cell>
          <cell r="AY509" t="str">
            <v>Telematics</v>
          </cell>
          <cell r="AZ509" t="str">
            <v>INCOTEFG</v>
          </cell>
          <cell r="BA509" t="str">
            <v>Telematics 5G</v>
          </cell>
        </row>
        <row r="510">
          <cell r="E510" t="str">
            <v>TFVWAIBE1FA.BDEQV1N</v>
          </cell>
          <cell r="F510">
            <v>7214</v>
          </cell>
          <cell r="G510">
            <v>0</v>
          </cell>
          <cell r="H510">
            <v>0</v>
          </cell>
          <cell r="I510">
            <v>7214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1414</v>
          </cell>
          <cell r="O510">
            <v>14682</v>
          </cell>
          <cell r="P510">
            <v>1414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 t="str">
            <v/>
          </cell>
          <cell r="AH510" t="str">
            <v/>
          </cell>
          <cell r="AI510" t="str">
            <v>KR21P14292960</v>
          </cell>
          <cell r="AJ510" t="str">
            <v>TFVWAIBE1FA.ARFQ</v>
          </cell>
          <cell r="AK510" t="str">
            <v>0.000990</v>
          </cell>
          <cell r="AL510" t="str">
            <v>1</v>
          </cell>
          <cell r="AM510" t="str">
            <v>F</v>
          </cell>
          <cell r="AN510" t="str">
            <v>M0</v>
          </cell>
          <cell r="AO510" t="str">
            <v>Active(Model)</v>
          </cell>
          <cell r="AP510" t="str">
            <v/>
          </cell>
          <cell r="AQ510" t="str">
            <v/>
          </cell>
          <cell r="AR510" t="str">
            <v>Y</v>
          </cell>
          <cell r="AS510" t="str">
            <v/>
          </cell>
          <cell r="AT510" t="str">
            <v>IN</v>
          </cell>
          <cell r="AU510" t="str">
            <v>Infotainment</v>
          </cell>
          <cell r="AV510" t="str">
            <v>INCO</v>
          </cell>
          <cell r="AW510" t="str">
            <v>Connectivity</v>
          </cell>
          <cell r="AX510" t="str">
            <v>INCOTE</v>
          </cell>
          <cell r="AY510" t="str">
            <v>Telematics</v>
          </cell>
          <cell r="AZ510" t="str">
            <v>INCOTEFG</v>
          </cell>
          <cell r="BA510" t="str">
            <v>Telematics 5G</v>
          </cell>
        </row>
        <row r="511">
          <cell r="E511" t="str">
            <v>TFVWAIBE1FC.BDEQV1N</v>
          </cell>
          <cell r="F511">
            <v>2</v>
          </cell>
          <cell r="G511">
            <v>0</v>
          </cell>
          <cell r="H511">
            <v>0</v>
          </cell>
          <cell r="I511">
            <v>2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210</v>
          </cell>
          <cell r="O511">
            <v>0</v>
          </cell>
          <cell r="P511">
            <v>210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 t="str">
            <v/>
          </cell>
          <cell r="AH511" t="str">
            <v/>
          </cell>
          <cell r="AI511" t="str">
            <v>KR21P14292960</v>
          </cell>
          <cell r="AJ511" t="str">
            <v>TFVWAIBE1FC.ARFQ</v>
          </cell>
          <cell r="AK511" t="str">
            <v>0.000041</v>
          </cell>
          <cell r="AL511" t="str">
            <v>1</v>
          </cell>
          <cell r="AM511" t="str">
            <v>F</v>
          </cell>
          <cell r="AN511" t="str">
            <v>M0</v>
          </cell>
          <cell r="AO511" t="str">
            <v>Active(Model)</v>
          </cell>
          <cell r="AP511" t="str">
            <v/>
          </cell>
          <cell r="AQ511" t="str">
            <v/>
          </cell>
          <cell r="AR511" t="str">
            <v>Y</v>
          </cell>
          <cell r="AS511" t="str">
            <v/>
          </cell>
          <cell r="AT511" t="str">
            <v>IN</v>
          </cell>
          <cell r="AU511" t="str">
            <v>Infotainment</v>
          </cell>
          <cell r="AV511" t="str">
            <v>INCO</v>
          </cell>
          <cell r="AW511" t="str">
            <v>Connectivity</v>
          </cell>
          <cell r="AX511" t="str">
            <v>INCOTE</v>
          </cell>
          <cell r="AY511" t="str">
            <v>Telematics</v>
          </cell>
          <cell r="AZ511" t="str">
            <v>INCOTEFG</v>
          </cell>
          <cell r="BA511" t="str">
            <v>Telematics 5G</v>
          </cell>
        </row>
        <row r="512">
          <cell r="E512" t="str">
            <v>TFVWAIBG1FE.BDE7W1N</v>
          </cell>
          <cell r="F512">
            <v>5298</v>
          </cell>
          <cell r="G512">
            <v>0</v>
          </cell>
          <cell r="H512">
            <v>0</v>
          </cell>
          <cell r="I512">
            <v>15378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5538</v>
          </cell>
          <cell r="O512">
            <v>5040</v>
          </cell>
          <cell r="P512">
            <v>5538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 t="str">
            <v/>
          </cell>
          <cell r="AH512" t="str">
            <v/>
          </cell>
          <cell r="AI512" t="str">
            <v>KR21P14292960</v>
          </cell>
          <cell r="AJ512" t="str">
            <v>TFVWAIBG1FE.ARFQ</v>
          </cell>
          <cell r="AK512" t="str">
            <v>0.000041</v>
          </cell>
          <cell r="AL512" t="str">
            <v>1</v>
          </cell>
          <cell r="AM512" t="str">
            <v>F</v>
          </cell>
          <cell r="AN512" t="str">
            <v>M0</v>
          </cell>
          <cell r="AO512" t="str">
            <v>Active(Model)</v>
          </cell>
          <cell r="AP512" t="str">
            <v/>
          </cell>
          <cell r="AQ512" t="str">
            <v/>
          </cell>
          <cell r="AR512" t="str">
            <v>Y</v>
          </cell>
          <cell r="AS512" t="str">
            <v/>
          </cell>
          <cell r="AT512" t="str">
            <v>IN</v>
          </cell>
          <cell r="AU512" t="str">
            <v>Infotainment</v>
          </cell>
          <cell r="AV512" t="str">
            <v>INCO</v>
          </cell>
          <cell r="AW512" t="str">
            <v>Connectivity</v>
          </cell>
          <cell r="AX512" t="str">
            <v>INCOTE</v>
          </cell>
          <cell r="AY512" t="str">
            <v>Telematics</v>
          </cell>
          <cell r="AZ512" t="str">
            <v>INCOTEFG</v>
          </cell>
          <cell r="BA512" t="str">
            <v>Telematics 5G</v>
          </cell>
        </row>
        <row r="513">
          <cell r="E513" t="str">
            <v>TFVWAIBG1FF.BDE7W1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105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 t="str">
            <v/>
          </cell>
          <cell r="AH513" t="str">
            <v/>
          </cell>
          <cell r="AI513" t="str">
            <v/>
          </cell>
          <cell r="AJ513" t="str">
            <v/>
          </cell>
          <cell r="AK513" t="str">
            <v>0.000000</v>
          </cell>
          <cell r="AL513" t="str">
            <v/>
          </cell>
          <cell r="AM513" t="str">
            <v/>
          </cell>
          <cell r="AN513" t="str">
            <v/>
          </cell>
          <cell r="AO513" t="str">
            <v/>
          </cell>
          <cell r="AP513" t="str">
            <v/>
          </cell>
          <cell r="AQ513" t="str">
            <v/>
          </cell>
          <cell r="AR513" t="str">
            <v>N</v>
          </cell>
          <cell r="AS513" t="str">
            <v/>
          </cell>
          <cell r="AT513" t="str">
            <v/>
          </cell>
          <cell r="AU513" t="str">
            <v/>
          </cell>
          <cell r="AV513" t="str">
            <v/>
          </cell>
          <cell r="AW513" t="str">
            <v/>
          </cell>
          <cell r="AX513" t="str">
            <v/>
          </cell>
          <cell r="AY513" t="str">
            <v/>
          </cell>
          <cell r="AZ513" t="str">
            <v/>
          </cell>
          <cell r="BA513" t="str">
            <v/>
          </cell>
        </row>
        <row r="514">
          <cell r="E514" t="str">
            <v>TFVWAIBG1FF.BDE7W1N</v>
          </cell>
          <cell r="F514">
            <v>11510</v>
          </cell>
          <cell r="G514">
            <v>0</v>
          </cell>
          <cell r="H514">
            <v>0</v>
          </cell>
          <cell r="I514">
            <v>11615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35</v>
          </cell>
          <cell r="O514">
            <v>36</v>
          </cell>
          <cell r="P514">
            <v>35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105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 t="str">
            <v/>
          </cell>
          <cell r="AH514" t="str">
            <v/>
          </cell>
          <cell r="AI514" t="str">
            <v>KR21P14292960</v>
          </cell>
          <cell r="AJ514" t="str">
            <v>TFVWAIBG1FF.ARFQ</v>
          </cell>
          <cell r="AK514" t="str">
            <v>0.000041</v>
          </cell>
          <cell r="AL514" t="str">
            <v>1</v>
          </cell>
          <cell r="AM514" t="str">
            <v>F</v>
          </cell>
          <cell r="AN514" t="str">
            <v>M0</v>
          </cell>
          <cell r="AO514" t="str">
            <v>Active(Model)</v>
          </cell>
          <cell r="AP514" t="str">
            <v/>
          </cell>
          <cell r="AQ514" t="str">
            <v/>
          </cell>
          <cell r="AR514" t="str">
            <v>Y</v>
          </cell>
          <cell r="AS514" t="str">
            <v/>
          </cell>
          <cell r="AT514" t="str">
            <v>IN</v>
          </cell>
          <cell r="AU514" t="str">
            <v>Infotainment</v>
          </cell>
          <cell r="AV514" t="str">
            <v>INCO</v>
          </cell>
          <cell r="AW514" t="str">
            <v>Connectivity</v>
          </cell>
          <cell r="AX514" t="str">
            <v>INCOTE</v>
          </cell>
          <cell r="AY514" t="str">
            <v>Telematics</v>
          </cell>
          <cell r="AZ514" t="str">
            <v>INCOTEFG</v>
          </cell>
          <cell r="BA514" t="str">
            <v>Telematics 5G</v>
          </cell>
        </row>
        <row r="515">
          <cell r="E515" t="str">
            <v>TFVWAIBG1FG.BDE7W1N</v>
          </cell>
          <cell r="F515">
            <v>15</v>
          </cell>
          <cell r="G515">
            <v>0</v>
          </cell>
          <cell r="H515">
            <v>0</v>
          </cell>
          <cell r="I515">
            <v>15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322</v>
          </cell>
          <cell r="O515">
            <v>0</v>
          </cell>
          <cell r="P515">
            <v>322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 t="str">
            <v/>
          </cell>
          <cell r="AH515" t="str">
            <v/>
          </cell>
          <cell r="AI515" t="str">
            <v>KR21P14292960</v>
          </cell>
          <cell r="AJ515" t="str">
            <v>TFVWAIBG1FG.ARFQ</v>
          </cell>
          <cell r="AK515" t="str">
            <v>0.000041</v>
          </cell>
          <cell r="AL515" t="str">
            <v>1</v>
          </cell>
          <cell r="AM515" t="str">
            <v>F</v>
          </cell>
          <cell r="AN515" t="str">
            <v>M0</v>
          </cell>
          <cell r="AO515" t="str">
            <v>Active(Model)</v>
          </cell>
          <cell r="AP515" t="str">
            <v/>
          </cell>
          <cell r="AQ515" t="str">
            <v/>
          </cell>
          <cell r="AR515" t="str">
            <v>Y</v>
          </cell>
          <cell r="AS515" t="str">
            <v/>
          </cell>
          <cell r="AT515" t="str">
            <v>IN</v>
          </cell>
          <cell r="AU515" t="str">
            <v>Infotainment</v>
          </cell>
          <cell r="AV515" t="str">
            <v>INCO</v>
          </cell>
          <cell r="AW515" t="str">
            <v>Connectivity</v>
          </cell>
          <cell r="AX515" t="str">
            <v>INCOTE</v>
          </cell>
          <cell r="AY515" t="str">
            <v>Telematics</v>
          </cell>
          <cell r="AZ515" t="str">
            <v>INCOTEFG</v>
          </cell>
          <cell r="BA515" t="str">
            <v>Telematics 5G</v>
          </cell>
        </row>
        <row r="516">
          <cell r="E516" t="str">
            <v>TFVWAIBG1FH.BDE7W1N</v>
          </cell>
          <cell r="F516">
            <v>33</v>
          </cell>
          <cell r="G516">
            <v>0</v>
          </cell>
          <cell r="H516">
            <v>0</v>
          </cell>
          <cell r="I516">
            <v>33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28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 t="str">
            <v/>
          </cell>
          <cell r="AH516" t="str">
            <v/>
          </cell>
          <cell r="AI516" t="str">
            <v>KR21P14292960</v>
          </cell>
          <cell r="AJ516" t="str">
            <v>TFVWAIBG1FH.ARFQ</v>
          </cell>
          <cell r="AK516" t="str">
            <v>0.000041</v>
          </cell>
          <cell r="AL516" t="str">
            <v>1</v>
          </cell>
          <cell r="AM516" t="str">
            <v>F</v>
          </cell>
          <cell r="AN516" t="str">
            <v>M0</v>
          </cell>
          <cell r="AO516" t="str">
            <v>Active(Model)</v>
          </cell>
          <cell r="AP516" t="str">
            <v/>
          </cell>
          <cell r="AQ516" t="str">
            <v/>
          </cell>
          <cell r="AR516" t="str">
            <v>Y</v>
          </cell>
          <cell r="AS516" t="str">
            <v/>
          </cell>
          <cell r="AT516" t="str">
            <v>IN</v>
          </cell>
          <cell r="AU516" t="str">
            <v>Infotainment</v>
          </cell>
          <cell r="AV516" t="str">
            <v>INCO</v>
          </cell>
          <cell r="AW516" t="str">
            <v>Connectivity</v>
          </cell>
          <cell r="AX516" t="str">
            <v>INCOTE</v>
          </cell>
          <cell r="AY516" t="str">
            <v>Telematics</v>
          </cell>
          <cell r="AZ516" t="str">
            <v>INCOTEFG</v>
          </cell>
          <cell r="BA516" t="str">
            <v>Telematics 5G</v>
          </cell>
        </row>
        <row r="517">
          <cell r="E517" t="str">
            <v>TFVWAIBG1FH.BDE7WD1</v>
          </cell>
          <cell r="F517">
            <v>3</v>
          </cell>
          <cell r="G517">
            <v>0</v>
          </cell>
          <cell r="H517">
            <v>0</v>
          </cell>
          <cell r="I517">
            <v>3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 t="str">
            <v/>
          </cell>
          <cell r="AH517" t="str">
            <v/>
          </cell>
          <cell r="AI517" t="str">
            <v>KR21P14292960</v>
          </cell>
          <cell r="AJ517" t="str">
            <v>TFVWAIBG1FH.ARFQ</v>
          </cell>
          <cell r="AK517" t="str">
            <v>0.000041</v>
          </cell>
          <cell r="AL517" t="str">
            <v>1</v>
          </cell>
          <cell r="AM517" t="str">
            <v>F</v>
          </cell>
          <cell r="AN517" t="str">
            <v>M0</v>
          </cell>
          <cell r="AO517" t="str">
            <v>Active(Model)</v>
          </cell>
          <cell r="AP517" t="str">
            <v/>
          </cell>
          <cell r="AQ517" t="str">
            <v/>
          </cell>
          <cell r="AR517" t="str">
            <v>Y</v>
          </cell>
          <cell r="AS517" t="str">
            <v/>
          </cell>
          <cell r="AT517" t="str">
            <v>IN</v>
          </cell>
          <cell r="AU517" t="str">
            <v>Infotainment</v>
          </cell>
          <cell r="AV517" t="str">
            <v>INCO</v>
          </cell>
          <cell r="AW517" t="str">
            <v>Connectivity</v>
          </cell>
          <cell r="AX517" t="str">
            <v>INCOTE</v>
          </cell>
          <cell r="AY517" t="str">
            <v>Telematics</v>
          </cell>
          <cell r="AZ517" t="str">
            <v>INCOTEFG</v>
          </cell>
          <cell r="BA517" t="str">
            <v>Telematics 5G</v>
          </cell>
        </row>
        <row r="518">
          <cell r="E518" t="str">
            <v>TL1M23NE.BEB008</v>
          </cell>
          <cell r="F518">
            <v>0</v>
          </cell>
          <cell r="G518">
            <v>0</v>
          </cell>
          <cell r="H518">
            <v>0</v>
          </cell>
          <cell r="I518">
            <v>224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960</v>
          </cell>
          <cell r="O518">
            <v>1198</v>
          </cell>
          <cell r="P518">
            <v>960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 t="str">
            <v/>
          </cell>
          <cell r="AH518" t="str">
            <v/>
          </cell>
          <cell r="AI518" t="str">
            <v>KR17P15455980</v>
          </cell>
          <cell r="AJ518" t="str">
            <v>TLBMAINN1B1.ARFQ</v>
          </cell>
          <cell r="AK518" t="str">
            <v>0.001200</v>
          </cell>
          <cell r="AL518" t="str">
            <v>1</v>
          </cell>
          <cell r="AM518" t="str">
            <v>F</v>
          </cell>
          <cell r="AN518" t="str">
            <v>M0</v>
          </cell>
          <cell r="AO518" t="str">
            <v>Active(Model)</v>
          </cell>
          <cell r="AP518" t="str">
            <v/>
          </cell>
          <cell r="AQ518" t="str">
            <v/>
          </cell>
          <cell r="AR518" t="str">
            <v>Y</v>
          </cell>
          <cell r="AS518" t="str">
            <v/>
          </cell>
          <cell r="AT518" t="str">
            <v>IN</v>
          </cell>
          <cell r="AU518" t="str">
            <v>Infotainment</v>
          </cell>
          <cell r="AV518" t="str">
            <v>INCO</v>
          </cell>
          <cell r="AW518" t="str">
            <v>Connectivity</v>
          </cell>
          <cell r="AX518" t="str">
            <v>INCOTE</v>
          </cell>
          <cell r="AY518" t="str">
            <v>Telematics</v>
          </cell>
          <cell r="AZ518" t="str">
            <v>INCOTELT</v>
          </cell>
          <cell r="BA518" t="str">
            <v>Telematics LTE</v>
          </cell>
        </row>
        <row r="519">
          <cell r="E519" t="str">
            <v>TL1M23NN.BUB008</v>
          </cell>
          <cell r="F519">
            <v>0</v>
          </cell>
          <cell r="G519">
            <v>0</v>
          </cell>
          <cell r="H519">
            <v>0</v>
          </cell>
          <cell r="I519">
            <v>239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239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 t="str">
            <v/>
          </cell>
          <cell r="AH519" t="str">
            <v/>
          </cell>
          <cell r="AI519" t="str">
            <v>KR17P15455980</v>
          </cell>
          <cell r="AJ519" t="str">
            <v>TLBMAINN1B2.ARFQ</v>
          </cell>
          <cell r="AK519" t="str">
            <v>0.001200</v>
          </cell>
          <cell r="AL519" t="str">
            <v>1</v>
          </cell>
          <cell r="AM519" t="str">
            <v>F</v>
          </cell>
          <cell r="AN519" t="str">
            <v>M0</v>
          </cell>
          <cell r="AO519" t="str">
            <v>Active(Model)</v>
          </cell>
          <cell r="AP519" t="str">
            <v/>
          </cell>
          <cell r="AQ519" t="str">
            <v/>
          </cell>
          <cell r="AR519" t="str">
            <v>Y</v>
          </cell>
          <cell r="AS519" t="str">
            <v/>
          </cell>
          <cell r="AT519" t="str">
            <v>IN</v>
          </cell>
          <cell r="AU519" t="str">
            <v>Infotainment</v>
          </cell>
          <cell r="AV519" t="str">
            <v>INCO</v>
          </cell>
          <cell r="AW519" t="str">
            <v>Connectivity</v>
          </cell>
          <cell r="AX519" t="str">
            <v>INCOTE</v>
          </cell>
          <cell r="AY519" t="str">
            <v>Telematics</v>
          </cell>
          <cell r="AZ519" t="str">
            <v>INCOTELT</v>
          </cell>
          <cell r="BA519" t="str">
            <v>Telematics LTE</v>
          </cell>
        </row>
        <row r="520">
          <cell r="E520" t="str">
            <v>TL1P22NE.BEB029</v>
          </cell>
          <cell r="F520">
            <v>0</v>
          </cell>
          <cell r="G520">
            <v>0</v>
          </cell>
          <cell r="H520">
            <v>0</v>
          </cell>
          <cell r="I520">
            <v>329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610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 t="str">
            <v/>
          </cell>
          <cell r="AH520" t="str">
            <v/>
          </cell>
          <cell r="AI520" t="str">
            <v>KR19P10178610</v>
          </cell>
          <cell r="AJ520" t="str">
            <v>TLBMAINN1A1.ARFQ</v>
          </cell>
          <cell r="AK520" t="str">
            <v>0.001000</v>
          </cell>
          <cell r="AL520" t="str">
            <v>1</v>
          </cell>
          <cell r="AM520" t="str">
            <v>F</v>
          </cell>
          <cell r="AN520" t="str">
            <v>M0</v>
          </cell>
          <cell r="AO520" t="str">
            <v>Active(Model)</v>
          </cell>
          <cell r="AP520" t="str">
            <v/>
          </cell>
          <cell r="AQ520" t="str">
            <v/>
          </cell>
          <cell r="AR520" t="str">
            <v>Y</v>
          </cell>
          <cell r="AS520" t="str">
            <v/>
          </cell>
          <cell r="AT520" t="str">
            <v>IN</v>
          </cell>
          <cell r="AU520" t="str">
            <v>Infotainment</v>
          </cell>
          <cell r="AV520" t="str">
            <v>INCO</v>
          </cell>
          <cell r="AW520" t="str">
            <v>Connectivity</v>
          </cell>
          <cell r="AX520" t="str">
            <v>INCOTE</v>
          </cell>
          <cell r="AY520" t="str">
            <v>Telematics</v>
          </cell>
          <cell r="AZ520" t="str">
            <v>INCOTELT</v>
          </cell>
          <cell r="BA520" t="str">
            <v>Telematics LTE</v>
          </cell>
        </row>
        <row r="521">
          <cell r="E521" t="str">
            <v>TL1P22NN.BUB029</v>
          </cell>
          <cell r="F521">
            <v>0</v>
          </cell>
          <cell r="G521">
            <v>0</v>
          </cell>
          <cell r="H521">
            <v>0</v>
          </cell>
          <cell r="I521">
            <v>143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143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 t="str">
            <v/>
          </cell>
          <cell r="AH521" t="str">
            <v/>
          </cell>
          <cell r="AI521" t="str">
            <v>KR19P10178610</v>
          </cell>
          <cell r="AJ521" t="str">
            <v>TLBMAINN1A2.ARFQ</v>
          </cell>
          <cell r="AK521" t="str">
            <v>0.001000</v>
          </cell>
          <cell r="AL521" t="str">
            <v>1</v>
          </cell>
          <cell r="AM521" t="str">
            <v>F</v>
          </cell>
          <cell r="AN521" t="str">
            <v>M0</v>
          </cell>
          <cell r="AO521" t="str">
            <v>Active(Model)</v>
          </cell>
          <cell r="AP521" t="str">
            <v/>
          </cell>
          <cell r="AQ521" t="str">
            <v/>
          </cell>
          <cell r="AR521" t="str">
            <v>Y</v>
          </cell>
          <cell r="AS521" t="str">
            <v/>
          </cell>
          <cell r="AT521" t="str">
            <v>IN</v>
          </cell>
          <cell r="AU521" t="str">
            <v>Infotainment</v>
          </cell>
          <cell r="AV521" t="str">
            <v>INCO</v>
          </cell>
          <cell r="AW521" t="str">
            <v>Connectivity</v>
          </cell>
          <cell r="AX521" t="str">
            <v>INCOTE</v>
          </cell>
          <cell r="AY521" t="str">
            <v>Telematics</v>
          </cell>
          <cell r="AZ521" t="str">
            <v>INCOTELT</v>
          </cell>
          <cell r="BA521" t="str">
            <v>Telematics LTE</v>
          </cell>
        </row>
        <row r="522">
          <cell r="E522" t="str">
            <v>TL1R22NE.BEB620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842</v>
          </cell>
          <cell r="O522">
            <v>0</v>
          </cell>
          <cell r="P522">
            <v>842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 t="str">
            <v/>
          </cell>
          <cell r="AH522" t="str">
            <v/>
          </cell>
          <cell r="AI522" t="str">
            <v>KR16P10449290</v>
          </cell>
          <cell r="AJ522" t="str">
            <v>TLBMANBN1A2.ARFQ</v>
          </cell>
          <cell r="AK522" t="str">
            <v>0.001600</v>
          </cell>
          <cell r="AL522" t="str">
            <v>1</v>
          </cell>
          <cell r="AM522" t="str">
            <v>F</v>
          </cell>
          <cell r="AN522" t="str">
            <v>M0</v>
          </cell>
          <cell r="AO522" t="str">
            <v>Active(Model)</v>
          </cell>
          <cell r="AP522" t="str">
            <v/>
          </cell>
          <cell r="AQ522" t="str">
            <v/>
          </cell>
          <cell r="AR522" t="str">
            <v>Y</v>
          </cell>
          <cell r="AS522" t="str">
            <v/>
          </cell>
          <cell r="AT522" t="str">
            <v>IN</v>
          </cell>
          <cell r="AU522" t="str">
            <v>Infotainment</v>
          </cell>
          <cell r="AV522" t="str">
            <v>INCO</v>
          </cell>
          <cell r="AW522" t="str">
            <v>Connectivity</v>
          </cell>
          <cell r="AX522" t="str">
            <v>INCOTE</v>
          </cell>
          <cell r="AY522" t="str">
            <v>Telematics</v>
          </cell>
          <cell r="AZ522" t="str">
            <v>INCOTELT</v>
          </cell>
          <cell r="BA522" t="str">
            <v>Telematics LTE</v>
          </cell>
        </row>
        <row r="523">
          <cell r="E523" t="str">
            <v>TL1R22NN.BUB615</v>
          </cell>
          <cell r="F523">
            <v>0</v>
          </cell>
          <cell r="G523">
            <v>0</v>
          </cell>
          <cell r="H523">
            <v>0</v>
          </cell>
          <cell r="I523">
            <v>6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13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 t="str">
            <v/>
          </cell>
          <cell r="AH523" t="str">
            <v/>
          </cell>
          <cell r="AI523" t="str">
            <v>KR16P10449290</v>
          </cell>
          <cell r="AJ523" t="str">
            <v>TLBMANBN1A5.ARFQ</v>
          </cell>
          <cell r="AK523" t="str">
            <v>0.001600</v>
          </cell>
          <cell r="AL523" t="str">
            <v>1</v>
          </cell>
          <cell r="AM523" t="str">
            <v>F</v>
          </cell>
          <cell r="AN523" t="str">
            <v>M0</v>
          </cell>
          <cell r="AO523" t="str">
            <v>Active(Model)</v>
          </cell>
          <cell r="AP523" t="str">
            <v/>
          </cell>
          <cell r="AQ523" t="str">
            <v/>
          </cell>
          <cell r="AR523" t="str">
            <v>Y</v>
          </cell>
          <cell r="AS523" t="str">
            <v/>
          </cell>
          <cell r="AT523" t="str">
            <v>IN</v>
          </cell>
          <cell r="AU523" t="str">
            <v>Infotainment</v>
          </cell>
          <cell r="AV523" t="str">
            <v>INCO</v>
          </cell>
          <cell r="AW523" t="str">
            <v>Connectivity</v>
          </cell>
          <cell r="AX523" t="str">
            <v>INCOTE</v>
          </cell>
          <cell r="AY523" t="str">
            <v>Telematics</v>
          </cell>
          <cell r="AZ523" t="str">
            <v>INCOTELT</v>
          </cell>
          <cell r="BA523" t="str">
            <v>Telematics LTE</v>
          </cell>
        </row>
        <row r="524">
          <cell r="E524" t="str">
            <v>TL1R22NR.BRB620</v>
          </cell>
          <cell r="F524">
            <v>0</v>
          </cell>
          <cell r="G524">
            <v>0</v>
          </cell>
          <cell r="H524">
            <v>0</v>
          </cell>
          <cell r="I524">
            <v>1819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100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 t="str">
            <v/>
          </cell>
          <cell r="AH524" t="str">
            <v/>
          </cell>
          <cell r="AI524" t="str">
            <v>KR16P10449290</v>
          </cell>
          <cell r="AJ524" t="str">
            <v>TLBMANBN1A4.ARFQ</v>
          </cell>
          <cell r="AK524" t="str">
            <v>0.001600</v>
          </cell>
          <cell r="AL524" t="str">
            <v>1</v>
          </cell>
          <cell r="AM524" t="str">
            <v>F</v>
          </cell>
          <cell r="AN524" t="str">
            <v>M0</v>
          </cell>
          <cell r="AO524" t="str">
            <v>Active(Model)</v>
          </cell>
          <cell r="AP524" t="str">
            <v/>
          </cell>
          <cell r="AQ524" t="str">
            <v/>
          </cell>
          <cell r="AR524" t="str">
            <v>Y</v>
          </cell>
          <cell r="AS524" t="str">
            <v/>
          </cell>
          <cell r="AT524" t="str">
            <v>IN</v>
          </cell>
          <cell r="AU524" t="str">
            <v>Infotainment</v>
          </cell>
          <cell r="AV524" t="str">
            <v>INCO</v>
          </cell>
          <cell r="AW524" t="str">
            <v>Connectivity</v>
          </cell>
          <cell r="AX524" t="str">
            <v>INCOTE</v>
          </cell>
          <cell r="AY524" t="str">
            <v>Telematics</v>
          </cell>
          <cell r="AZ524" t="str">
            <v>INCOTELT</v>
          </cell>
          <cell r="BA524" t="str">
            <v>Telematics LTE</v>
          </cell>
        </row>
        <row r="525">
          <cell r="E525" t="str">
            <v>TL1T22NE.BEB620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1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 t="str">
            <v/>
          </cell>
          <cell r="AH525" t="str">
            <v/>
          </cell>
          <cell r="AI525" t="str">
            <v>KR16P10449290</v>
          </cell>
          <cell r="AJ525" t="str">
            <v>TLBMANBN1A7.ARFQ</v>
          </cell>
          <cell r="AK525" t="str">
            <v>0.002040</v>
          </cell>
          <cell r="AL525" t="str">
            <v>1</v>
          </cell>
          <cell r="AM525" t="str">
            <v>F</v>
          </cell>
          <cell r="AN525" t="str">
            <v>M0</v>
          </cell>
          <cell r="AO525" t="str">
            <v>Active(Model)</v>
          </cell>
          <cell r="AP525" t="str">
            <v/>
          </cell>
          <cell r="AQ525" t="str">
            <v/>
          </cell>
          <cell r="AR525" t="str">
            <v>Y</v>
          </cell>
          <cell r="AS525" t="str">
            <v/>
          </cell>
          <cell r="AT525" t="str">
            <v>IN</v>
          </cell>
          <cell r="AU525" t="str">
            <v>Infotainment</v>
          </cell>
          <cell r="AV525" t="str">
            <v>INCO</v>
          </cell>
          <cell r="AW525" t="str">
            <v>Connectivity</v>
          </cell>
          <cell r="AX525" t="str">
            <v>INCOTE</v>
          </cell>
          <cell r="AY525" t="str">
            <v>Telematics</v>
          </cell>
          <cell r="AZ525" t="str">
            <v>INCOTELT</v>
          </cell>
          <cell r="BA525" t="str">
            <v>Telematics LTE</v>
          </cell>
        </row>
        <row r="526">
          <cell r="E526" t="str">
            <v>TL1T22NR.BRB620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12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 t="str">
            <v/>
          </cell>
          <cell r="AH526" t="str">
            <v/>
          </cell>
          <cell r="AI526" t="str">
            <v>KR16P10449290</v>
          </cell>
          <cell r="AJ526" t="str">
            <v>TLBMANBN1A9.ARFQ</v>
          </cell>
          <cell r="AK526" t="str">
            <v>0.002040</v>
          </cell>
          <cell r="AL526" t="str">
            <v>1</v>
          </cell>
          <cell r="AM526" t="str">
            <v>F</v>
          </cell>
          <cell r="AN526" t="str">
            <v>M0</v>
          </cell>
          <cell r="AO526" t="str">
            <v>Active(Model)</v>
          </cell>
          <cell r="AP526" t="str">
            <v/>
          </cell>
          <cell r="AQ526" t="str">
            <v/>
          </cell>
          <cell r="AR526" t="str">
            <v>Y</v>
          </cell>
          <cell r="AS526" t="str">
            <v/>
          </cell>
          <cell r="AT526" t="str">
            <v>IN</v>
          </cell>
          <cell r="AU526" t="str">
            <v>Infotainment</v>
          </cell>
          <cell r="AV526" t="str">
            <v>INCO</v>
          </cell>
          <cell r="AW526" t="str">
            <v>Connectivity</v>
          </cell>
          <cell r="AX526" t="str">
            <v>INCOTE</v>
          </cell>
          <cell r="AY526" t="str">
            <v>Telematics</v>
          </cell>
          <cell r="AZ526" t="str">
            <v>INCOTELT</v>
          </cell>
          <cell r="BA526" t="str">
            <v>Telematics LTE</v>
          </cell>
        </row>
        <row r="527">
          <cell r="E527" t="str">
            <v>TL21BNK2.BJPTO5D</v>
          </cell>
          <cell r="F527">
            <v>0</v>
          </cell>
          <cell r="G527">
            <v>0</v>
          </cell>
          <cell r="H527">
            <v>360</v>
          </cell>
          <cell r="I527">
            <v>360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899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 t="str">
            <v/>
          </cell>
          <cell r="AH527" t="str">
            <v/>
          </cell>
          <cell r="AI527" t="str">
            <v>KR16P00108000</v>
          </cell>
          <cell r="AJ527" t="str">
            <v>TLTYNIBN0AH.ARFQ</v>
          </cell>
          <cell r="AK527" t="str">
            <v>0.001265</v>
          </cell>
          <cell r="AL527" t="str">
            <v>1</v>
          </cell>
          <cell r="AM527" t="str">
            <v>F</v>
          </cell>
          <cell r="AN527" t="str">
            <v>M0</v>
          </cell>
          <cell r="AO527" t="str">
            <v>Active(Model)</v>
          </cell>
          <cell r="AP527" t="str">
            <v/>
          </cell>
          <cell r="AQ527" t="str">
            <v/>
          </cell>
          <cell r="AR527" t="str">
            <v>Y</v>
          </cell>
          <cell r="AS527" t="str">
            <v/>
          </cell>
          <cell r="AT527" t="str">
            <v>IN</v>
          </cell>
          <cell r="AU527" t="str">
            <v>Infotainment</v>
          </cell>
          <cell r="AV527" t="str">
            <v>INCO</v>
          </cell>
          <cell r="AW527" t="str">
            <v>Connectivity</v>
          </cell>
          <cell r="AX527" t="str">
            <v>INCOTE</v>
          </cell>
          <cell r="AY527" t="str">
            <v>Telematics</v>
          </cell>
          <cell r="AZ527" t="str">
            <v>INCOTELT</v>
          </cell>
          <cell r="BA527" t="str">
            <v>Telematics LTE</v>
          </cell>
        </row>
        <row r="528">
          <cell r="E528" t="str">
            <v>TL21BNN1.BUSTOB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4000</v>
          </cell>
          <cell r="O528">
            <v>0</v>
          </cell>
          <cell r="P528">
            <v>4000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 t="str">
            <v/>
          </cell>
          <cell r="AH528" t="str">
            <v/>
          </cell>
          <cell r="AI528" t="str">
            <v>KR16P00108000</v>
          </cell>
          <cell r="AJ528" t="str">
            <v>TLTYNIBN0A5.ARFQ</v>
          </cell>
          <cell r="AK528" t="str">
            <v>0.001265</v>
          </cell>
          <cell r="AL528" t="str">
            <v>1</v>
          </cell>
          <cell r="AM528" t="str">
            <v>F</v>
          </cell>
          <cell r="AN528" t="str">
            <v>M0</v>
          </cell>
          <cell r="AO528" t="str">
            <v>Active(Model)</v>
          </cell>
          <cell r="AP528" t="str">
            <v/>
          </cell>
          <cell r="AQ528" t="str">
            <v/>
          </cell>
          <cell r="AR528" t="str">
            <v>Y</v>
          </cell>
          <cell r="AS528" t="str">
            <v/>
          </cell>
          <cell r="AT528" t="str">
            <v>IN</v>
          </cell>
          <cell r="AU528" t="str">
            <v>Infotainment</v>
          </cell>
          <cell r="AV528" t="str">
            <v>INCO</v>
          </cell>
          <cell r="AW528" t="str">
            <v>Connectivity</v>
          </cell>
          <cell r="AX528" t="str">
            <v>INCOTE</v>
          </cell>
          <cell r="AY528" t="str">
            <v>Telematics</v>
          </cell>
          <cell r="AZ528" t="str">
            <v>INCOTELT</v>
          </cell>
          <cell r="BA528" t="str">
            <v>Telematics LTE</v>
          </cell>
        </row>
        <row r="529">
          <cell r="E529" t="str">
            <v>TL21BNN1.BUSTUB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1224</v>
          </cell>
          <cell r="O529">
            <v>0</v>
          </cell>
          <cell r="P529">
            <v>1224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 t="str">
            <v/>
          </cell>
          <cell r="AH529" t="str">
            <v/>
          </cell>
          <cell r="AI529" t="str">
            <v>KR16P00108000</v>
          </cell>
          <cell r="AJ529" t="str">
            <v>TLTYNIBN0A5.ARFQ</v>
          </cell>
          <cell r="AK529" t="str">
            <v>0.001265</v>
          </cell>
          <cell r="AL529" t="str">
            <v>1</v>
          </cell>
          <cell r="AM529" t="str">
            <v>F</v>
          </cell>
          <cell r="AN529" t="str">
            <v>M0</v>
          </cell>
          <cell r="AO529" t="str">
            <v>Active(Model)</v>
          </cell>
          <cell r="AP529" t="str">
            <v/>
          </cell>
          <cell r="AQ529" t="str">
            <v/>
          </cell>
          <cell r="AR529" t="str">
            <v>Y</v>
          </cell>
          <cell r="AS529" t="str">
            <v/>
          </cell>
          <cell r="AT529" t="str">
            <v>IN</v>
          </cell>
          <cell r="AU529" t="str">
            <v>Infotainment</v>
          </cell>
          <cell r="AV529" t="str">
            <v>INCO</v>
          </cell>
          <cell r="AW529" t="str">
            <v>Connectivity</v>
          </cell>
          <cell r="AX529" t="str">
            <v>INCOTE</v>
          </cell>
          <cell r="AY529" t="str">
            <v>Telematics</v>
          </cell>
          <cell r="AZ529" t="str">
            <v>INCOTELT</v>
          </cell>
          <cell r="BA529" t="str">
            <v>Telematics LTE</v>
          </cell>
        </row>
        <row r="530">
          <cell r="E530" t="str">
            <v>TL21BNN2.BJPTOF</v>
          </cell>
          <cell r="F530">
            <v>0</v>
          </cell>
          <cell r="G530">
            <v>0</v>
          </cell>
          <cell r="H530">
            <v>4524</v>
          </cell>
          <cell r="I530">
            <v>4524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2000</v>
          </cell>
          <cell r="O530">
            <v>8731</v>
          </cell>
          <cell r="P530">
            <v>2000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 t="str">
            <v/>
          </cell>
          <cell r="AH530" t="str">
            <v/>
          </cell>
          <cell r="AI530" t="str">
            <v>KR16P00108000</v>
          </cell>
          <cell r="AJ530" t="str">
            <v>TLTYNIBN0A1.ARFQ</v>
          </cell>
          <cell r="AK530" t="str">
            <v>0.001265</v>
          </cell>
          <cell r="AL530" t="str">
            <v>1</v>
          </cell>
          <cell r="AM530" t="str">
            <v>F</v>
          </cell>
          <cell r="AN530" t="str">
            <v>M0</v>
          </cell>
          <cell r="AO530" t="str">
            <v>Active(Model)</v>
          </cell>
          <cell r="AP530" t="str">
            <v/>
          </cell>
          <cell r="AQ530" t="str">
            <v/>
          </cell>
          <cell r="AR530" t="str">
            <v>Y</v>
          </cell>
          <cell r="AS530" t="str">
            <v/>
          </cell>
          <cell r="AT530" t="str">
            <v>IN</v>
          </cell>
          <cell r="AU530" t="str">
            <v>Infotainment</v>
          </cell>
          <cell r="AV530" t="str">
            <v>INCO</v>
          </cell>
          <cell r="AW530" t="str">
            <v>Connectivity</v>
          </cell>
          <cell r="AX530" t="str">
            <v>INCOTE</v>
          </cell>
          <cell r="AY530" t="str">
            <v>Telematics</v>
          </cell>
          <cell r="AZ530" t="str">
            <v>INCOTELT</v>
          </cell>
          <cell r="BA530" t="str">
            <v>Telematics LTE</v>
          </cell>
        </row>
        <row r="531">
          <cell r="E531" t="str">
            <v>TL21BNN2.BJPTP1</v>
          </cell>
          <cell r="F531">
            <v>0</v>
          </cell>
          <cell r="G531">
            <v>0</v>
          </cell>
          <cell r="H531">
            <v>200</v>
          </cell>
          <cell r="I531">
            <v>200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1818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 t="str">
            <v/>
          </cell>
          <cell r="AH531" t="str">
            <v/>
          </cell>
          <cell r="AI531" t="str">
            <v>KR16P00108000</v>
          </cell>
          <cell r="AJ531" t="str">
            <v>TLTYNIBN0A1.ARFQ</v>
          </cell>
          <cell r="AK531" t="str">
            <v>0.001292</v>
          </cell>
          <cell r="AL531" t="str">
            <v>1</v>
          </cell>
          <cell r="AM531" t="str">
            <v>F</v>
          </cell>
          <cell r="AN531" t="str">
            <v>M0</v>
          </cell>
          <cell r="AO531" t="str">
            <v>Active(Model)</v>
          </cell>
          <cell r="AP531" t="str">
            <v/>
          </cell>
          <cell r="AQ531" t="str">
            <v/>
          </cell>
          <cell r="AR531" t="str">
            <v>Y</v>
          </cell>
          <cell r="AS531" t="str">
            <v/>
          </cell>
          <cell r="AT531" t="str">
            <v>IN</v>
          </cell>
          <cell r="AU531" t="str">
            <v>Infotainment</v>
          </cell>
          <cell r="AV531" t="str">
            <v>INCO</v>
          </cell>
          <cell r="AW531" t="str">
            <v>Connectivity</v>
          </cell>
          <cell r="AX531" t="str">
            <v>INCOTE</v>
          </cell>
          <cell r="AY531" t="str">
            <v>Telematics</v>
          </cell>
          <cell r="AZ531" t="str">
            <v>INCOTELT</v>
          </cell>
          <cell r="BA531" t="str">
            <v>Telematics LTE</v>
          </cell>
        </row>
        <row r="532">
          <cell r="E532" t="str">
            <v>TL21BNN2.BJPTP3</v>
          </cell>
          <cell r="F532">
            <v>1715</v>
          </cell>
          <cell r="G532">
            <v>0</v>
          </cell>
          <cell r="H532">
            <v>355</v>
          </cell>
          <cell r="I532">
            <v>2070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2880</v>
          </cell>
          <cell r="O532">
            <v>1008</v>
          </cell>
          <cell r="P532">
            <v>2880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 t="str">
            <v/>
          </cell>
          <cell r="AH532" t="str">
            <v/>
          </cell>
          <cell r="AI532" t="str">
            <v>KR16P00108000</v>
          </cell>
          <cell r="AJ532" t="str">
            <v>TLTYNIBN0A1.ARFQ</v>
          </cell>
          <cell r="AK532" t="str">
            <v>0.001292</v>
          </cell>
          <cell r="AL532" t="str">
            <v>1</v>
          </cell>
          <cell r="AM532" t="str">
            <v>F</v>
          </cell>
          <cell r="AN532" t="str">
            <v>M0</v>
          </cell>
          <cell r="AO532" t="str">
            <v>Active(Model)</v>
          </cell>
          <cell r="AP532" t="str">
            <v/>
          </cell>
          <cell r="AQ532" t="str">
            <v/>
          </cell>
          <cell r="AR532" t="str">
            <v>Y</v>
          </cell>
          <cell r="AS532" t="str">
            <v/>
          </cell>
          <cell r="AT532" t="str">
            <v>IN</v>
          </cell>
          <cell r="AU532" t="str">
            <v>Infotainment</v>
          </cell>
          <cell r="AV532" t="str">
            <v>INCO</v>
          </cell>
          <cell r="AW532" t="str">
            <v>Connectivity</v>
          </cell>
          <cell r="AX532" t="str">
            <v>INCOTE</v>
          </cell>
          <cell r="AY532" t="str">
            <v>Telematics</v>
          </cell>
          <cell r="AZ532" t="str">
            <v>INCOTELT</v>
          </cell>
          <cell r="BA532" t="str">
            <v>Telematics LTE</v>
          </cell>
        </row>
        <row r="533">
          <cell r="E533" t="str">
            <v>TL21BNN2.BJPTP3E</v>
          </cell>
          <cell r="F533">
            <v>2052</v>
          </cell>
          <cell r="G533">
            <v>0</v>
          </cell>
          <cell r="H533">
            <v>1440</v>
          </cell>
          <cell r="I533">
            <v>3492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3492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 t="str">
            <v/>
          </cell>
          <cell r="AH533" t="str">
            <v/>
          </cell>
          <cell r="AI533" t="str">
            <v>KR16P00108000</v>
          </cell>
          <cell r="AJ533" t="str">
            <v>TLTYNIBN0A1.ARFQ</v>
          </cell>
          <cell r="AK533" t="str">
            <v>0.001292</v>
          </cell>
          <cell r="AL533" t="str">
            <v>1</v>
          </cell>
          <cell r="AM533" t="str">
            <v>F</v>
          </cell>
          <cell r="AN533" t="str">
            <v>M0</v>
          </cell>
          <cell r="AO533" t="str">
            <v>Active(Model)</v>
          </cell>
          <cell r="AP533" t="str">
            <v/>
          </cell>
          <cell r="AQ533" t="str">
            <v/>
          </cell>
          <cell r="AR533" t="str">
            <v>Y</v>
          </cell>
          <cell r="AS533" t="str">
            <v/>
          </cell>
          <cell r="AT533" t="str">
            <v>IN</v>
          </cell>
          <cell r="AU533" t="str">
            <v>Infotainment</v>
          </cell>
          <cell r="AV533" t="str">
            <v>INCO</v>
          </cell>
          <cell r="AW533" t="str">
            <v>Connectivity</v>
          </cell>
          <cell r="AX533" t="str">
            <v>INCOTE</v>
          </cell>
          <cell r="AY533" t="str">
            <v>Telematics</v>
          </cell>
          <cell r="AZ533" t="str">
            <v>INCOTELT</v>
          </cell>
          <cell r="BA533" t="str">
            <v>Telematics LTE</v>
          </cell>
        </row>
        <row r="534">
          <cell r="E534" t="str">
            <v>TL21BNN2.BJPTP3H</v>
          </cell>
          <cell r="F534">
            <v>0</v>
          </cell>
          <cell r="G534">
            <v>0</v>
          </cell>
          <cell r="H534">
            <v>271</v>
          </cell>
          <cell r="I534">
            <v>271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550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 t="str">
            <v/>
          </cell>
          <cell r="AH534" t="str">
            <v/>
          </cell>
          <cell r="AI534" t="str">
            <v>KR16P00108000</v>
          </cell>
          <cell r="AJ534" t="str">
            <v>TLTYNIBN0A1.ARFQ</v>
          </cell>
          <cell r="AK534" t="str">
            <v>0.001292</v>
          </cell>
          <cell r="AL534" t="str">
            <v>1</v>
          </cell>
          <cell r="AM534" t="str">
            <v>F</v>
          </cell>
          <cell r="AN534" t="str">
            <v>M0</v>
          </cell>
          <cell r="AO534" t="str">
            <v>Active(Model)</v>
          </cell>
          <cell r="AP534" t="str">
            <v/>
          </cell>
          <cell r="AQ534" t="str">
            <v/>
          </cell>
          <cell r="AR534" t="str">
            <v>Y</v>
          </cell>
          <cell r="AS534" t="str">
            <v/>
          </cell>
          <cell r="AT534" t="str">
            <v>IN</v>
          </cell>
          <cell r="AU534" t="str">
            <v>Infotainment</v>
          </cell>
          <cell r="AV534" t="str">
            <v>INCO</v>
          </cell>
          <cell r="AW534" t="str">
            <v>Connectivity</v>
          </cell>
          <cell r="AX534" t="str">
            <v>INCOTE</v>
          </cell>
          <cell r="AY534" t="str">
            <v>Telematics</v>
          </cell>
          <cell r="AZ534" t="str">
            <v>INCOTELT</v>
          </cell>
          <cell r="BA534" t="str">
            <v>Telematics LTE</v>
          </cell>
        </row>
        <row r="535">
          <cell r="E535" t="str">
            <v>TL21BNN2.BJPTUF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324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 t="str">
            <v/>
          </cell>
          <cell r="AH535" t="str">
            <v/>
          </cell>
          <cell r="AI535" t="str">
            <v>KR16P00108000</v>
          </cell>
          <cell r="AJ535" t="str">
            <v>TLTYNIBN0A1.ARFQ</v>
          </cell>
          <cell r="AK535" t="str">
            <v>0.001265</v>
          </cell>
          <cell r="AL535" t="str">
            <v>1</v>
          </cell>
          <cell r="AM535" t="str">
            <v>F</v>
          </cell>
          <cell r="AN535" t="str">
            <v>M0</v>
          </cell>
          <cell r="AO535" t="str">
            <v>Active(Model)</v>
          </cell>
          <cell r="AP535" t="str">
            <v/>
          </cell>
          <cell r="AQ535" t="str">
            <v/>
          </cell>
          <cell r="AR535" t="str">
            <v>Y</v>
          </cell>
          <cell r="AS535" t="str">
            <v/>
          </cell>
          <cell r="AT535" t="str">
            <v>IN</v>
          </cell>
          <cell r="AU535" t="str">
            <v>Infotainment</v>
          </cell>
          <cell r="AV535" t="str">
            <v>INCO</v>
          </cell>
          <cell r="AW535" t="str">
            <v>Connectivity</v>
          </cell>
          <cell r="AX535" t="str">
            <v>INCOTE</v>
          </cell>
          <cell r="AY535" t="str">
            <v>Telematics</v>
          </cell>
          <cell r="AZ535" t="str">
            <v>INCOTELT</v>
          </cell>
          <cell r="BA535" t="str">
            <v>Telematics LTE</v>
          </cell>
        </row>
        <row r="536">
          <cell r="E536" t="str">
            <v>TL21BNN2.BUSTOF</v>
          </cell>
          <cell r="F536">
            <v>0</v>
          </cell>
          <cell r="G536">
            <v>0</v>
          </cell>
          <cell r="H536">
            <v>6966</v>
          </cell>
          <cell r="I536">
            <v>15606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17665</v>
          </cell>
          <cell r="O536">
            <v>0</v>
          </cell>
          <cell r="P536">
            <v>17665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 t="str">
            <v/>
          </cell>
          <cell r="AH536" t="str">
            <v/>
          </cell>
          <cell r="AI536" t="str">
            <v>KR16P00108000</v>
          </cell>
          <cell r="AJ536" t="str">
            <v>TLTYNIBN0A1.ARFQ</v>
          </cell>
          <cell r="AK536" t="str">
            <v>0.001265</v>
          </cell>
          <cell r="AL536" t="str">
            <v>1</v>
          </cell>
          <cell r="AM536" t="str">
            <v>F</v>
          </cell>
          <cell r="AN536" t="str">
            <v>M0</v>
          </cell>
          <cell r="AO536" t="str">
            <v>Active(Model)</v>
          </cell>
          <cell r="AP536" t="str">
            <v/>
          </cell>
          <cell r="AQ536" t="str">
            <v/>
          </cell>
          <cell r="AR536" t="str">
            <v>Y</v>
          </cell>
          <cell r="AS536" t="str">
            <v/>
          </cell>
          <cell r="AT536" t="str">
            <v>IN</v>
          </cell>
          <cell r="AU536" t="str">
            <v>Infotainment</v>
          </cell>
          <cell r="AV536" t="str">
            <v>INCO</v>
          </cell>
          <cell r="AW536" t="str">
            <v>Connectivity</v>
          </cell>
          <cell r="AX536" t="str">
            <v>INCOTE</v>
          </cell>
          <cell r="AY536" t="str">
            <v>Telematics</v>
          </cell>
          <cell r="AZ536" t="str">
            <v>INCOTELT</v>
          </cell>
          <cell r="BA536" t="str">
            <v>Telematics LTE</v>
          </cell>
        </row>
        <row r="537">
          <cell r="E537" t="str">
            <v>TL21BNN2.BUSTP3</v>
          </cell>
          <cell r="F537">
            <v>186</v>
          </cell>
          <cell r="G537">
            <v>0</v>
          </cell>
          <cell r="H537">
            <v>2929</v>
          </cell>
          <cell r="I537">
            <v>3115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26904</v>
          </cell>
          <cell r="O537">
            <v>2816</v>
          </cell>
          <cell r="P537">
            <v>26904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 t="str">
            <v/>
          </cell>
          <cell r="AH537" t="str">
            <v/>
          </cell>
          <cell r="AI537" t="str">
            <v>KR16P00108000</v>
          </cell>
          <cell r="AJ537" t="str">
            <v>TLTYNIBN0A1.ARFQ</v>
          </cell>
          <cell r="AK537" t="str">
            <v>0.001292</v>
          </cell>
          <cell r="AL537" t="str">
            <v>1</v>
          </cell>
          <cell r="AM537" t="str">
            <v>F</v>
          </cell>
          <cell r="AN537" t="str">
            <v>M0</v>
          </cell>
          <cell r="AO537" t="str">
            <v>Active(Model)</v>
          </cell>
          <cell r="AP537" t="str">
            <v/>
          </cell>
          <cell r="AQ537" t="str">
            <v/>
          </cell>
          <cell r="AR537" t="str">
            <v>Y</v>
          </cell>
          <cell r="AS537" t="str">
            <v/>
          </cell>
          <cell r="AT537" t="str">
            <v>IN</v>
          </cell>
          <cell r="AU537" t="str">
            <v>Infotainment</v>
          </cell>
          <cell r="AV537" t="str">
            <v>INCO</v>
          </cell>
          <cell r="AW537" t="str">
            <v>Connectivity</v>
          </cell>
          <cell r="AX537" t="str">
            <v>INCOTE</v>
          </cell>
          <cell r="AY537" t="str">
            <v>Telematics</v>
          </cell>
          <cell r="AZ537" t="str">
            <v>INCOTELT</v>
          </cell>
          <cell r="BA537" t="str">
            <v>Telematics LTE</v>
          </cell>
        </row>
        <row r="538">
          <cell r="E538" t="str">
            <v>TL21BNU1.BJPCOS1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217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 t="str">
            <v/>
          </cell>
          <cell r="AH538" t="str">
            <v/>
          </cell>
          <cell r="AI538" t="str">
            <v>KR16P00108000</v>
          </cell>
          <cell r="AJ538" t="str">
            <v>TLTYNIBN0C0.ARFQ</v>
          </cell>
          <cell r="AK538" t="str">
            <v>0.001265</v>
          </cell>
          <cell r="AL538" t="str">
            <v>1</v>
          </cell>
          <cell r="AM538" t="str">
            <v>F</v>
          </cell>
          <cell r="AN538" t="str">
            <v>M0</v>
          </cell>
          <cell r="AO538" t="str">
            <v>Active(Model)</v>
          </cell>
          <cell r="AP538" t="str">
            <v/>
          </cell>
          <cell r="AQ538" t="str">
            <v/>
          </cell>
          <cell r="AR538" t="str">
            <v>Y</v>
          </cell>
          <cell r="AS538" t="str">
            <v/>
          </cell>
          <cell r="AT538" t="str">
            <v>IN</v>
          </cell>
          <cell r="AU538" t="str">
            <v>Infotainment</v>
          </cell>
          <cell r="AV538" t="str">
            <v>INCO</v>
          </cell>
          <cell r="AW538" t="str">
            <v>Connectivity</v>
          </cell>
          <cell r="AX538" t="str">
            <v>INCOTE</v>
          </cell>
          <cell r="AY538" t="str">
            <v>Telematics</v>
          </cell>
          <cell r="AZ538" t="str">
            <v>INCOTELT</v>
          </cell>
          <cell r="BA538" t="str">
            <v>Telematics LTE</v>
          </cell>
        </row>
        <row r="539">
          <cell r="E539" t="str">
            <v>TL21BNU1.BJPTOB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18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 t="str">
            <v/>
          </cell>
          <cell r="AH539" t="str">
            <v/>
          </cell>
          <cell r="AI539" t="str">
            <v>KR16P00108000</v>
          </cell>
          <cell r="AJ539" t="str">
            <v>TLTYNIBN0AD.ARFQ</v>
          </cell>
          <cell r="AK539" t="str">
            <v>0.001265</v>
          </cell>
          <cell r="AL539" t="str">
            <v>1</v>
          </cell>
          <cell r="AM539" t="str">
            <v>F</v>
          </cell>
          <cell r="AN539" t="str">
            <v>M0</v>
          </cell>
          <cell r="AO539" t="str">
            <v>Active(Model)</v>
          </cell>
          <cell r="AP539" t="str">
            <v/>
          </cell>
          <cell r="AQ539" t="str">
            <v/>
          </cell>
          <cell r="AR539" t="str">
            <v>Y</v>
          </cell>
          <cell r="AS539" t="str">
            <v/>
          </cell>
          <cell r="AT539" t="str">
            <v>IN</v>
          </cell>
          <cell r="AU539" t="str">
            <v>Infotainment</v>
          </cell>
          <cell r="AV539" t="str">
            <v>INCO</v>
          </cell>
          <cell r="AW539" t="str">
            <v>Connectivity</v>
          </cell>
          <cell r="AX539" t="str">
            <v>INCOTE</v>
          </cell>
          <cell r="AY539" t="str">
            <v>Telematics</v>
          </cell>
          <cell r="AZ539" t="str">
            <v>INCOTELT</v>
          </cell>
          <cell r="BA539" t="str">
            <v>Telematics LTE</v>
          </cell>
        </row>
        <row r="540">
          <cell r="E540" t="str">
            <v>TL21BNU1.BJPTOS1</v>
          </cell>
          <cell r="F540">
            <v>0</v>
          </cell>
          <cell r="G540">
            <v>0</v>
          </cell>
          <cell r="H540">
            <v>767</v>
          </cell>
          <cell r="I540">
            <v>767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755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 t="str">
            <v/>
          </cell>
          <cell r="AH540" t="str">
            <v/>
          </cell>
          <cell r="AI540" t="str">
            <v>KR16P00108000</v>
          </cell>
          <cell r="AJ540" t="str">
            <v>TLTYNIBN0C0.ARFQ</v>
          </cell>
          <cell r="AK540" t="str">
            <v>0.001265</v>
          </cell>
          <cell r="AL540" t="str">
            <v>1</v>
          </cell>
          <cell r="AM540" t="str">
            <v>F</v>
          </cell>
          <cell r="AN540" t="str">
            <v>M0</v>
          </cell>
          <cell r="AO540" t="str">
            <v>Active(Model)</v>
          </cell>
          <cell r="AP540" t="str">
            <v/>
          </cell>
          <cell r="AQ540" t="str">
            <v/>
          </cell>
          <cell r="AR540" t="str">
            <v>Y</v>
          </cell>
          <cell r="AS540" t="str">
            <v/>
          </cell>
          <cell r="AT540" t="str">
            <v>IN</v>
          </cell>
          <cell r="AU540" t="str">
            <v>Infotainment</v>
          </cell>
          <cell r="AV540" t="str">
            <v>INCO</v>
          </cell>
          <cell r="AW540" t="str">
            <v>Connectivity</v>
          </cell>
          <cell r="AX540" t="str">
            <v>INCOTE</v>
          </cell>
          <cell r="AY540" t="str">
            <v>Telematics</v>
          </cell>
          <cell r="AZ540" t="str">
            <v>INCOTELT</v>
          </cell>
          <cell r="BA540" t="str">
            <v>Telematics LTE</v>
          </cell>
        </row>
        <row r="541">
          <cell r="E541" t="str">
            <v>TL21BNU1.BJPTUQB</v>
          </cell>
          <cell r="F541">
            <v>18</v>
          </cell>
          <cell r="G541">
            <v>0</v>
          </cell>
          <cell r="H541">
            <v>0</v>
          </cell>
          <cell r="I541">
            <v>18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 t="str">
            <v/>
          </cell>
          <cell r="AH541" t="str">
            <v/>
          </cell>
          <cell r="AI541" t="str">
            <v>KR16P00108000</v>
          </cell>
          <cell r="AJ541" t="str">
            <v>TLTYNIBN0AD.ARFQ</v>
          </cell>
          <cell r="AK541" t="str">
            <v>0.001265</v>
          </cell>
          <cell r="AL541" t="str">
            <v>1</v>
          </cell>
          <cell r="AM541" t="str">
            <v>F</v>
          </cell>
          <cell r="AN541" t="str">
            <v>M0</v>
          </cell>
          <cell r="AO541" t="str">
            <v>Active(Model)</v>
          </cell>
          <cell r="AP541" t="str">
            <v/>
          </cell>
          <cell r="AQ541" t="str">
            <v/>
          </cell>
          <cell r="AR541" t="str">
            <v>Y</v>
          </cell>
          <cell r="AS541" t="str">
            <v/>
          </cell>
          <cell r="AT541" t="str">
            <v>IN</v>
          </cell>
          <cell r="AU541" t="str">
            <v>Infotainment</v>
          </cell>
          <cell r="AV541" t="str">
            <v>INCO</v>
          </cell>
          <cell r="AW541" t="str">
            <v>Connectivity</v>
          </cell>
          <cell r="AX541" t="str">
            <v>INCOTE</v>
          </cell>
          <cell r="AY541" t="str">
            <v>Telematics</v>
          </cell>
          <cell r="AZ541" t="str">
            <v>INCOTELT</v>
          </cell>
          <cell r="BA541" t="str">
            <v>Telematics LTE</v>
          </cell>
        </row>
        <row r="542">
          <cell r="E542" t="str">
            <v>TL21BNU2.BJPCOS2</v>
          </cell>
          <cell r="F542">
            <v>0</v>
          </cell>
          <cell r="G542">
            <v>0</v>
          </cell>
          <cell r="H542">
            <v>288</v>
          </cell>
          <cell r="I542">
            <v>288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124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 t="str">
            <v/>
          </cell>
          <cell r="AH542" t="str">
            <v/>
          </cell>
          <cell r="AI542" t="str">
            <v>KR16P00108000</v>
          </cell>
          <cell r="AJ542" t="str">
            <v>TLTYNIBN0C0.ARFQ</v>
          </cell>
          <cell r="AK542" t="str">
            <v>0.001266</v>
          </cell>
          <cell r="AL542" t="str">
            <v>1</v>
          </cell>
          <cell r="AM542" t="str">
            <v>F</v>
          </cell>
          <cell r="AN542" t="str">
            <v>M0</v>
          </cell>
          <cell r="AO542" t="str">
            <v>Active(Model)</v>
          </cell>
          <cell r="AP542" t="str">
            <v/>
          </cell>
          <cell r="AQ542" t="str">
            <v/>
          </cell>
          <cell r="AR542" t="str">
            <v>Y</v>
          </cell>
          <cell r="AS542" t="str">
            <v/>
          </cell>
          <cell r="AT542" t="str">
            <v>IN</v>
          </cell>
          <cell r="AU542" t="str">
            <v>Infotainment</v>
          </cell>
          <cell r="AV542" t="str">
            <v>INCO</v>
          </cell>
          <cell r="AW542" t="str">
            <v>Connectivity</v>
          </cell>
          <cell r="AX542" t="str">
            <v>INCOTE</v>
          </cell>
          <cell r="AY542" t="str">
            <v>Telematics</v>
          </cell>
          <cell r="AZ542" t="str">
            <v>INCOTELT</v>
          </cell>
          <cell r="BA542" t="str">
            <v>Telematics LTE</v>
          </cell>
        </row>
        <row r="543">
          <cell r="E543" t="str">
            <v>TL21BNU2.BJPTO9</v>
          </cell>
          <cell r="F543">
            <v>0</v>
          </cell>
          <cell r="G543">
            <v>0</v>
          </cell>
          <cell r="H543">
            <v>180</v>
          </cell>
          <cell r="I543">
            <v>180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576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 t="str">
            <v/>
          </cell>
          <cell r="AH543" t="str">
            <v/>
          </cell>
          <cell r="AI543" t="str">
            <v>KR16P00108000</v>
          </cell>
          <cell r="AJ543" t="str">
            <v>TLTYNIBN0AE.ARFQ</v>
          </cell>
          <cell r="AK543" t="str">
            <v>0.001265</v>
          </cell>
          <cell r="AL543" t="str">
            <v>1</v>
          </cell>
          <cell r="AM543" t="str">
            <v>F</v>
          </cell>
          <cell r="AN543" t="str">
            <v>M0</v>
          </cell>
          <cell r="AO543" t="str">
            <v>Active(Model)</v>
          </cell>
          <cell r="AP543" t="str">
            <v/>
          </cell>
          <cell r="AQ543" t="str">
            <v/>
          </cell>
          <cell r="AR543" t="str">
            <v>Y</v>
          </cell>
          <cell r="AS543" t="str">
            <v/>
          </cell>
          <cell r="AT543" t="str">
            <v>IN</v>
          </cell>
          <cell r="AU543" t="str">
            <v>Infotainment</v>
          </cell>
          <cell r="AV543" t="str">
            <v>INCO</v>
          </cell>
          <cell r="AW543" t="str">
            <v>Connectivity</v>
          </cell>
          <cell r="AX543" t="str">
            <v>INCOTE</v>
          </cell>
          <cell r="AY543" t="str">
            <v>Telematics</v>
          </cell>
          <cell r="AZ543" t="str">
            <v>INCOTELT</v>
          </cell>
          <cell r="BA543" t="str">
            <v>Telematics LTE</v>
          </cell>
        </row>
        <row r="544">
          <cell r="E544" t="str">
            <v>TL21BNU2.BJPTOS1</v>
          </cell>
          <cell r="F544">
            <v>0</v>
          </cell>
          <cell r="G544">
            <v>0</v>
          </cell>
          <cell r="H544">
            <v>235</v>
          </cell>
          <cell r="I544">
            <v>235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 t="str">
            <v/>
          </cell>
          <cell r="AH544" t="str">
            <v/>
          </cell>
          <cell r="AI544" t="str">
            <v>KR16P00108000</v>
          </cell>
          <cell r="AJ544" t="str">
            <v>TLTYNIBN0AE.ARFQ</v>
          </cell>
          <cell r="AK544" t="str">
            <v>0.001265</v>
          </cell>
          <cell r="AL544" t="str">
            <v>1</v>
          </cell>
          <cell r="AM544" t="str">
            <v>F</v>
          </cell>
          <cell r="AN544" t="str">
            <v>M0</v>
          </cell>
          <cell r="AO544" t="str">
            <v>Active(Model)</v>
          </cell>
          <cell r="AP544" t="str">
            <v/>
          </cell>
          <cell r="AQ544" t="str">
            <v/>
          </cell>
          <cell r="AR544" t="str">
            <v>Y</v>
          </cell>
          <cell r="AS544" t="str">
            <v/>
          </cell>
          <cell r="AT544" t="str">
            <v>IN</v>
          </cell>
          <cell r="AU544" t="str">
            <v>Infotainment</v>
          </cell>
          <cell r="AV544" t="str">
            <v>INCO</v>
          </cell>
          <cell r="AW544" t="str">
            <v>Connectivity</v>
          </cell>
          <cell r="AX544" t="str">
            <v>INCOTE</v>
          </cell>
          <cell r="AY544" t="str">
            <v>Telematics</v>
          </cell>
          <cell r="AZ544" t="str">
            <v>INCOTELT</v>
          </cell>
          <cell r="BA544" t="str">
            <v>Telematics LTE</v>
          </cell>
        </row>
        <row r="545">
          <cell r="E545" t="str">
            <v>TL21BNU2.BJPTP1C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72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 t="str">
            <v/>
          </cell>
          <cell r="AH545" t="str">
            <v/>
          </cell>
          <cell r="AI545" t="str">
            <v>KR16P00108000</v>
          </cell>
          <cell r="AJ545" t="str">
            <v>TLTYNIBN0AE.ARFQ</v>
          </cell>
          <cell r="AK545" t="str">
            <v>0.001265</v>
          </cell>
          <cell r="AL545" t="str">
            <v>1</v>
          </cell>
          <cell r="AM545" t="str">
            <v>F</v>
          </cell>
          <cell r="AN545" t="str">
            <v>M0</v>
          </cell>
          <cell r="AO545" t="str">
            <v>Active(Model)</v>
          </cell>
          <cell r="AP545" t="str">
            <v/>
          </cell>
          <cell r="AQ545" t="str">
            <v/>
          </cell>
          <cell r="AR545" t="str">
            <v>Y</v>
          </cell>
          <cell r="AS545" t="str">
            <v/>
          </cell>
          <cell r="AT545" t="str">
            <v>IN</v>
          </cell>
          <cell r="AU545" t="str">
            <v>Infotainment</v>
          </cell>
          <cell r="AV545" t="str">
            <v>INCO</v>
          </cell>
          <cell r="AW545" t="str">
            <v>Connectivity</v>
          </cell>
          <cell r="AX545" t="str">
            <v>INCOTE</v>
          </cell>
          <cell r="AY545" t="str">
            <v>Telematics</v>
          </cell>
          <cell r="AZ545" t="str">
            <v>INCOTELT</v>
          </cell>
          <cell r="BA545" t="str">
            <v>Telematics LTE</v>
          </cell>
        </row>
        <row r="546">
          <cell r="E546" t="str">
            <v>TL21BNU2.BJPTP1S</v>
          </cell>
          <cell r="F546">
            <v>0</v>
          </cell>
          <cell r="G546">
            <v>0</v>
          </cell>
          <cell r="H546">
            <v>144</v>
          </cell>
          <cell r="I546">
            <v>144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270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 t="str">
            <v/>
          </cell>
          <cell r="AH546" t="str">
            <v/>
          </cell>
          <cell r="AI546" t="str">
            <v>KR16P00108000</v>
          </cell>
          <cell r="AJ546" t="str">
            <v>TLTYNIBN0AE.ARFQ</v>
          </cell>
          <cell r="AK546" t="str">
            <v>0.001265</v>
          </cell>
          <cell r="AL546" t="str">
            <v>1</v>
          </cell>
          <cell r="AM546" t="str">
            <v>F</v>
          </cell>
          <cell r="AN546" t="str">
            <v>M0</v>
          </cell>
          <cell r="AO546" t="str">
            <v>Active(Model)</v>
          </cell>
          <cell r="AP546" t="str">
            <v/>
          </cell>
          <cell r="AQ546" t="str">
            <v/>
          </cell>
          <cell r="AR546" t="str">
            <v>Y</v>
          </cell>
          <cell r="AS546" t="str">
            <v/>
          </cell>
          <cell r="AT546" t="str">
            <v>IN</v>
          </cell>
          <cell r="AU546" t="str">
            <v>Infotainment</v>
          </cell>
          <cell r="AV546" t="str">
            <v>INCO</v>
          </cell>
          <cell r="AW546" t="str">
            <v>Connectivity</v>
          </cell>
          <cell r="AX546" t="str">
            <v>INCOTE</v>
          </cell>
          <cell r="AY546" t="str">
            <v>Telematics</v>
          </cell>
          <cell r="AZ546" t="str">
            <v>INCOTELT</v>
          </cell>
          <cell r="BA546" t="str">
            <v>Telematics LTE</v>
          </cell>
        </row>
        <row r="547">
          <cell r="E547" t="str">
            <v>TL21BNU2.BJPTP2</v>
          </cell>
          <cell r="F547">
            <v>0</v>
          </cell>
          <cell r="G547">
            <v>0</v>
          </cell>
          <cell r="H547">
            <v>36</v>
          </cell>
          <cell r="I547">
            <v>36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 t="str">
            <v/>
          </cell>
          <cell r="AH547" t="str">
            <v/>
          </cell>
          <cell r="AI547" t="str">
            <v>KR16P00108000</v>
          </cell>
          <cell r="AJ547" t="str">
            <v>TLTYNIBN0AE.ARFQ</v>
          </cell>
          <cell r="AK547" t="str">
            <v>0.001265</v>
          </cell>
          <cell r="AL547" t="str">
            <v>1</v>
          </cell>
          <cell r="AM547" t="str">
            <v>F</v>
          </cell>
          <cell r="AN547" t="str">
            <v>M0</v>
          </cell>
          <cell r="AO547" t="str">
            <v>Active(Model)</v>
          </cell>
          <cell r="AP547" t="str">
            <v/>
          </cell>
          <cell r="AQ547" t="str">
            <v/>
          </cell>
          <cell r="AR547" t="str">
            <v>Y</v>
          </cell>
          <cell r="AS547" t="str">
            <v/>
          </cell>
          <cell r="AT547" t="str">
            <v>IN</v>
          </cell>
          <cell r="AU547" t="str">
            <v>Infotainment</v>
          </cell>
          <cell r="AV547" t="str">
            <v>INCO</v>
          </cell>
          <cell r="AW547" t="str">
            <v>Connectivity</v>
          </cell>
          <cell r="AX547" t="str">
            <v>INCOTE</v>
          </cell>
          <cell r="AY547" t="str">
            <v>Telematics</v>
          </cell>
          <cell r="AZ547" t="str">
            <v>INCOTELT</v>
          </cell>
          <cell r="BA547" t="str">
            <v>Telematics LTE</v>
          </cell>
        </row>
        <row r="548">
          <cell r="E548" t="str">
            <v>TL21BNU2.BJPTP2C</v>
          </cell>
          <cell r="F548">
            <v>0</v>
          </cell>
          <cell r="G548">
            <v>0</v>
          </cell>
          <cell r="H548">
            <v>599</v>
          </cell>
          <cell r="I548">
            <v>599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234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 t="str">
            <v/>
          </cell>
          <cell r="AH548" t="str">
            <v/>
          </cell>
          <cell r="AI548" t="str">
            <v>KR16P00108000</v>
          </cell>
          <cell r="AJ548" t="str">
            <v>TLTYNIBN0AE.ARFQ</v>
          </cell>
          <cell r="AK548" t="str">
            <v>0.001265</v>
          </cell>
          <cell r="AL548" t="str">
            <v>1</v>
          </cell>
          <cell r="AM548" t="str">
            <v>F</v>
          </cell>
          <cell r="AN548" t="str">
            <v>M0</v>
          </cell>
          <cell r="AO548" t="str">
            <v>Active(Model)</v>
          </cell>
          <cell r="AP548" t="str">
            <v/>
          </cell>
          <cell r="AQ548" t="str">
            <v/>
          </cell>
          <cell r="AR548" t="str">
            <v>Y</v>
          </cell>
          <cell r="AS548" t="str">
            <v/>
          </cell>
          <cell r="AT548" t="str">
            <v>IN</v>
          </cell>
          <cell r="AU548" t="str">
            <v>Infotainment</v>
          </cell>
          <cell r="AV548" t="str">
            <v>INCO</v>
          </cell>
          <cell r="AW548" t="str">
            <v>Connectivity</v>
          </cell>
          <cell r="AX548" t="str">
            <v>INCOTE</v>
          </cell>
          <cell r="AY548" t="str">
            <v>Telematics</v>
          </cell>
          <cell r="AZ548" t="str">
            <v>INCOTELT</v>
          </cell>
          <cell r="BA548" t="str">
            <v>Telematics LTE</v>
          </cell>
        </row>
        <row r="549">
          <cell r="E549" t="str">
            <v>TL21BNU2.BJPTPW1</v>
          </cell>
          <cell r="F549">
            <v>0</v>
          </cell>
          <cell r="G549">
            <v>0</v>
          </cell>
          <cell r="H549">
            <v>36</v>
          </cell>
          <cell r="I549">
            <v>36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54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 t="str">
            <v/>
          </cell>
          <cell r="AH549" t="str">
            <v/>
          </cell>
          <cell r="AI549" t="str">
            <v>KR16P00108000</v>
          </cell>
          <cell r="AJ549" t="str">
            <v>TLTYNIBN0AE.ARFQ</v>
          </cell>
          <cell r="AK549" t="str">
            <v>0.001265</v>
          </cell>
          <cell r="AL549" t="str">
            <v>1</v>
          </cell>
          <cell r="AM549" t="str">
            <v>F</v>
          </cell>
          <cell r="AN549" t="str">
            <v>M0</v>
          </cell>
          <cell r="AO549" t="str">
            <v>Active(Model)</v>
          </cell>
          <cell r="AP549" t="str">
            <v/>
          </cell>
          <cell r="AQ549" t="str">
            <v/>
          </cell>
          <cell r="AR549" t="str">
            <v>Y</v>
          </cell>
          <cell r="AS549" t="str">
            <v/>
          </cell>
          <cell r="AT549" t="str">
            <v>IN</v>
          </cell>
          <cell r="AU549" t="str">
            <v>Infotainment</v>
          </cell>
          <cell r="AV549" t="str">
            <v>INCO</v>
          </cell>
          <cell r="AW549" t="str">
            <v>Connectivity</v>
          </cell>
          <cell r="AX549" t="str">
            <v>INCOTE</v>
          </cell>
          <cell r="AY549" t="str">
            <v>Telematics</v>
          </cell>
          <cell r="AZ549" t="str">
            <v>INCOTELT</v>
          </cell>
          <cell r="BA549" t="str">
            <v>Telematics LTE</v>
          </cell>
        </row>
        <row r="550">
          <cell r="E550" t="str">
            <v>TL21BNU2.BJPTPW2</v>
          </cell>
          <cell r="F550">
            <v>0</v>
          </cell>
          <cell r="G550">
            <v>0</v>
          </cell>
          <cell r="H550">
            <v>180</v>
          </cell>
          <cell r="I550">
            <v>180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36</v>
          </cell>
          <cell r="O550">
            <v>72</v>
          </cell>
          <cell r="P550">
            <v>36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 t="str">
            <v/>
          </cell>
          <cell r="AH550" t="str">
            <v/>
          </cell>
          <cell r="AI550" t="str">
            <v>KR16P00108000</v>
          </cell>
          <cell r="AJ550" t="str">
            <v>TLTYNIBN0AE.ARFQ</v>
          </cell>
          <cell r="AK550" t="str">
            <v>0.001265</v>
          </cell>
          <cell r="AL550" t="str">
            <v>1</v>
          </cell>
          <cell r="AM550" t="str">
            <v>F</v>
          </cell>
          <cell r="AN550" t="str">
            <v>M0</v>
          </cell>
          <cell r="AO550" t="str">
            <v>Active(Model)</v>
          </cell>
          <cell r="AP550" t="str">
            <v/>
          </cell>
          <cell r="AQ550" t="str">
            <v/>
          </cell>
          <cell r="AR550" t="str">
            <v>Y</v>
          </cell>
          <cell r="AS550" t="str">
            <v/>
          </cell>
          <cell r="AT550" t="str">
            <v>IN</v>
          </cell>
          <cell r="AU550" t="str">
            <v>Infotainment</v>
          </cell>
          <cell r="AV550" t="str">
            <v>INCO</v>
          </cell>
          <cell r="AW550" t="str">
            <v>Connectivity</v>
          </cell>
          <cell r="AX550" t="str">
            <v>INCOTE</v>
          </cell>
          <cell r="AY550" t="str">
            <v>Telematics</v>
          </cell>
          <cell r="AZ550" t="str">
            <v>INCOTELT</v>
          </cell>
          <cell r="BA550" t="str">
            <v>Telematics LTE</v>
          </cell>
        </row>
        <row r="551">
          <cell r="E551" t="str">
            <v>TL21BNU2.BJPTU9C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828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 t="str">
            <v/>
          </cell>
          <cell r="AH551" t="str">
            <v/>
          </cell>
          <cell r="AI551" t="str">
            <v>KR16P00108000</v>
          </cell>
          <cell r="AJ551" t="str">
            <v>TLTYNIBN0AE.ARFQ</v>
          </cell>
          <cell r="AK551" t="str">
            <v>0.001265</v>
          </cell>
          <cell r="AL551" t="str">
            <v>1</v>
          </cell>
          <cell r="AM551" t="str">
            <v>F</v>
          </cell>
          <cell r="AN551" t="str">
            <v>M0</v>
          </cell>
          <cell r="AO551" t="str">
            <v>Active(Model)</v>
          </cell>
          <cell r="AP551" t="str">
            <v/>
          </cell>
          <cell r="AQ551" t="str">
            <v/>
          </cell>
          <cell r="AR551" t="str">
            <v>Y</v>
          </cell>
          <cell r="AS551" t="str">
            <v/>
          </cell>
          <cell r="AT551" t="str">
            <v>IN</v>
          </cell>
          <cell r="AU551" t="str">
            <v>Infotainment</v>
          </cell>
          <cell r="AV551" t="str">
            <v>INCO</v>
          </cell>
          <cell r="AW551" t="str">
            <v>Connectivity</v>
          </cell>
          <cell r="AX551" t="str">
            <v>INCOTE</v>
          </cell>
          <cell r="AY551" t="str">
            <v>Telematics</v>
          </cell>
          <cell r="AZ551" t="str">
            <v>INCOTELT</v>
          </cell>
          <cell r="BA551" t="str">
            <v>Telematics LTE</v>
          </cell>
        </row>
        <row r="552">
          <cell r="E552" t="str">
            <v>TL21BNU2.BJPTUQ9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450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 t="str">
            <v/>
          </cell>
          <cell r="AH552" t="str">
            <v/>
          </cell>
          <cell r="AI552" t="str">
            <v>KR16P00108000</v>
          </cell>
          <cell r="AJ552" t="str">
            <v>TLTYNIBN0AE.ARFQ</v>
          </cell>
          <cell r="AK552" t="str">
            <v>0.001265</v>
          </cell>
          <cell r="AL552" t="str">
            <v>1</v>
          </cell>
          <cell r="AM552" t="str">
            <v>F</v>
          </cell>
          <cell r="AN552" t="str">
            <v>M0</v>
          </cell>
          <cell r="AO552" t="str">
            <v>Active(Model)</v>
          </cell>
          <cell r="AP552" t="str">
            <v/>
          </cell>
          <cell r="AQ552" t="str">
            <v/>
          </cell>
          <cell r="AR552" t="str">
            <v>Y</v>
          </cell>
          <cell r="AS552" t="str">
            <v/>
          </cell>
          <cell r="AT552" t="str">
            <v>IN</v>
          </cell>
          <cell r="AU552" t="str">
            <v>Infotainment</v>
          </cell>
          <cell r="AV552" t="str">
            <v>INCO</v>
          </cell>
          <cell r="AW552" t="str">
            <v>Connectivity</v>
          </cell>
          <cell r="AX552" t="str">
            <v>INCOTE</v>
          </cell>
          <cell r="AY552" t="str">
            <v>Telematics</v>
          </cell>
          <cell r="AZ552" t="str">
            <v>INCOTELT</v>
          </cell>
          <cell r="BA552" t="str">
            <v>Telematics LTE</v>
          </cell>
        </row>
        <row r="553">
          <cell r="E553" t="str">
            <v>TL21BNU2.BJPTUW9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216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 t="str">
            <v/>
          </cell>
          <cell r="AH553" t="str">
            <v/>
          </cell>
          <cell r="AI553" t="str">
            <v>KR16P00108000</v>
          </cell>
          <cell r="AJ553" t="str">
            <v>TLTYNIBN0AE.ARFQ</v>
          </cell>
          <cell r="AK553" t="str">
            <v>0.001265</v>
          </cell>
          <cell r="AL553" t="str">
            <v>1</v>
          </cell>
          <cell r="AM553" t="str">
            <v>F</v>
          </cell>
          <cell r="AN553" t="str">
            <v>M0</v>
          </cell>
          <cell r="AO553" t="str">
            <v>Active(Model)</v>
          </cell>
          <cell r="AP553" t="str">
            <v/>
          </cell>
          <cell r="AQ553" t="str">
            <v/>
          </cell>
          <cell r="AR553" t="str">
            <v>Y</v>
          </cell>
          <cell r="AS553" t="str">
            <v/>
          </cell>
          <cell r="AT553" t="str">
            <v>IN</v>
          </cell>
          <cell r="AU553" t="str">
            <v>Infotainment</v>
          </cell>
          <cell r="AV553" t="str">
            <v>INCO</v>
          </cell>
          <cell r="AW553" t="str">
            <v>Connectivity</v>
          </cell>
          <cell r="AX553" t="str">
            <v>INCOTE</v>
          </cell>
          <cell r="AY553" t="str">
            <v>Telematics</v>
          </cell>
          <cell r="AZ553" t="str">
            <v>INCOTELT</v>
          </cell>
          <cell r="BA553" t="str">
            <v>Telematics LTE</v>
          </cell>
        </row>
        <row r="554">
          <cell r="E554" t="str">
            <v>TL24IEDE.BJPTO5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125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 t="str">
            <v/>
          </cell>
          <cell r="AH554" t="str">
            <v/>
          </cell>
          <cell r="AI554" t="str">
            <v>KR20P09336350</v>
          </cell>
          <cell r="AJ554" t="str">
            <v>TATYNNBN0E3.ARFQ</v>
          </cell>
          <cell r="AK554" t="str">
            <v>0.001084</v>
          </cell>
          <cell r="AL554" t="str">
            <v>1</v>
          </cell>
          <cell r="AM554" t="str">
            <v>F</v>
          </cell>
          <cell r="AN554" t="str">
            <v>M0</v>
          </cell>
          <cell r="AO554" t="str">
            <v>Active(Model)</v>
          </cell>
          <cell r="AP554" t="str">
            <v/>
          </cell>
          <cell r="AQ554" t="str">
            <v/>
          </cell>
          <cell r="AR554" t="str">
            <v>Y</v>
          </cell>
          <cell r="AS554" t="str">
            <v/>
          </cell>
          <cell r="AT554" t="str">
            <v>IN</v>
          </cell>
          <cell r="AU554" t="str">
            <v>Infotainment</v>
          </cell>
          <cell r="AV554" t="str">
            <v>INCO</v>
          </cell>
          <cell r="AW554" t="str">
            <v>Connectivity</v>
          </cell>
          <cell r="AX554" t="str">
            <v>INCOTE</v>
          </cell>
          <cell r="AY554" t="str">
            <v>Telematics</v>
          </cell>
          <cell r="AZ554" t="str">
            <v>INCOTELA</v>
          </cell>
          <cell r="BA554" t="str">
            <v>Telematics LTE-A</v>
          </cell>
        </row>
        <row r="555">
          <cell r="E555" t="str">
            <v>TL24IEGE.BJPTO5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41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 t="str">
            <v/>
          </cell>
          <cell r="AH555" t="str">
            <v/>
          </cell>
          <cell r="AI555" t="str">
            <v>KR20P09336350</v>
          </cell>
          <cell r="AJ555" t="str">
            <v>TATYNNBN0F1.ARFQ</v>
          </cell>
          <cell r="AK555" t="str">
            <v>0.001084</v>
          </cell>
          <cell r="AL555" t="str">
            <v>1</v>
          </cell>
          <cell r="AM555" t="str">
            <v>F</v>
          </cell>
          <cell r="AN555" t="str">
            <v>M0</v>
          </cell>
          <cell r="AO555" t="str">
            <v>Active(Model)</v>
          </cell>
          <cell r="AP555" t="str">
            <v/>
          </cell>
          <cell r="AQ555" t="str">
            <v/>
          </cell>
          <cell r="AR555" t="str">
            <v>Y</v>
          </cell>
          <cell r="AS555" t="str">
            <v/>
          </cell>
          <cell r="AT555" t="str">
            <v>IN</v>
          </cell>
          <cell r="AU555" t="str">
            <v>Infotainment</v>
          </cell>
          <cell r="AV555" t="str">
            <v>INCO</v>
          </cell>
          <cell r="AW555" t="str">
            <v>Connectivity</v>
          </cell>
          <cell r="AX555" t="str">
            <v>INCOTE</v>
          </cell>
          <cell r="AY555" t="str">
            <v>Telematics</v>
          </cell>
          <cell r="AZ555" t="str">
            <v>INCOTELA</v>
          </cell>
          <cell r="BA555" t="str">
            <v>Telematics LTE-A</v>
          </cell>
        </row>
        <row r="556">
          <cell r="E556" t="str">
            <v>TL24IEIE.BJPTO5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42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 t="str">
            <v/>
          </cell>
          <cell r="AH556" t="str">
            <v/>
          </cell>
          <cell r="AI556" t="str">
            <v>KR20P09336350</v>
          </cell>
          <cell r="AJ556" t="str">
            <v>TATYNNBN0E7.ARFQ</v>
          </cell>
          <cell r="AK556" t="str">
            <v>0.001084</v>
          </cell>
          <cell r="AL556" t="str">
            <v>1</v>
          </cell>
          <cell r="AM556" t="str">
            <v>F</v>
          </cell>
          <cell r="AN556" t="str">
            <v>M0</v>
          </cell>
          <cell r="AO556" t="str">
            <v>Active(Model)</v>
          </cell>
          <cell r="AP556" t="str">
            <v/>
          </cell>
          <cell r="AQ556" t="str">
            <v/>
          </cell>
          <cell r="AR556" t="str">
            <v>Y</v>
          </cell>
          <cell r="AS556" t="str">
            <v/>
          </cell>
          <cell r="AT556" t="str">
            <v>IN</v>
          </cell>
          <cell r="AU556" t="str">
            <v>Infotainment</v>
          </cell>
          <cell r="AV556" t="str">
            <v>INCO</v>
          </cell>
          <cell r="AW556" t="str">
            <v>Connectivity</v>
          </cell>
          <cell r="AX556" t="str">
            <v>INCOTE</v>
          </cell>
          <cell r="AY556" t="str">
            <v>Telematics</v>
          </cell>
          <cell r="AZ556" t="str">
            <v>INCOTELA</v>
          </cell>
          <cell r="BA556" t="str">
            <v>Telematics LTE-A</v>
          </cell>
        </row>
        <row r="557">
          <cell r="E557" t="str">
            <v>TL24IEJE.BJPTO5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273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 t="str">
            <v/>
          </cell>
          <cell r="AH557" t="str">
            <v/>
          </cell>
          <cell r="AI557" t="str">
            <v>KR20P09336350</v>
          </cell>
          <cell r="AJ557" t="str">
            <v>TATYNNBN0E9.ARFQ</v>
          </cell>
          <cell r="AK557" t="str">
            <v>0.001084</v>
          </cell>
          <cell r="AL557" t="str">
            <v>1</v>
          </cell>
          <cell r="AM557" t="str">
            <v>F</v>
          </cell>
          <cell r="AN557" t="str">
            <v>M0</v>
          </cell>
          <cell r="AO557" t="str">
            <v>Active(Model)</v>
          </cell>
          <cell r="AP557" t="str">
            <v/>
          </cell>
          <cell r="AQ557" t="str">
            <v/>
          </cell>
          <cell r="AR557" t="str">
            <v>Y</v>
          </cell>
          <cell r="AS557" t="str">
            <v/>
          </cell>
          <cell r="AT557" t="str">
            <v>IN</v>
          </cell>
          <cell r="AU557" t="str">
            <v>Infotainment</v>
          </cell>
          <cell r="AV557" t="str">
            <v>INCO</v>
          </cell>
          <cell r="AW557" t="str">
            <v>Connectivity</v>
          </cell>
          <cell r="AX557" t="str">
            <v>INCOTE</v>
          </cell>
          <cell r="AY557" t="str">
            <v>Telematics</v>
          </cell>
          <cell r="AZ557" t="str">
            <v>INCOTELT</v>
          </cell>
          <cell r="BA557" t="str">
            <v>Telematics LTE</v>
          </cell>
        </row>
        <row r="558">
          <cell r="E558" t="str">
            <v>TL24IERE.BJPTO5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21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 t="str">
            <v/>
          </cell>
          <cell r="AH558" t="str">
            <v/>
          </cell>
          <cell r="AI558" t="str">
            <v>KR20P09336350</v>
          </cell>
          <cell r="AJ558" t="str">
            <v>TATYNNBN0F1.ARFQ</v>
          </cell>
          <cell r="AK558" t="str">
            <v>0.001084</v>
          </cell>
          <cell r="AL558" t="str">
            <v>1</v>
          </cell>
          <cell r="AM558" t="str">
            <v>F</v>
          </cell>
          <cell r="AN558" t="str">
            <v>M0</v>
          </cell>
          <cell r="AO558" t="str">
            <v>Active(Model)</v>
          </cell>
          <cell r="AP558" t="str">
            <v/>
          </cell>
          <cell r="AQ558" t="str">
            <v/>
          </cell>
          <cell r="AR558" t="str">
            <v>Y</v>
          </cell>
          <cell r="AS558" t="str">
            <v/>
          </cell>
          <cell r="AT558" t="str">
            <v>IN</v>
          </cell>
          <cell r="AU558" t="str">
            <v>Infotainment</v>
          </cell>
          <cell r="AV558" t="str">
            <v>INCO</v>
          </cell>
          <cell r="AW558" t="str">
            <v>Connectivity</v>
          </cell>
          <cell r="AX558" t="str">
            <v>INCOTE</v>
          </cell>
          <cell r="AY558" t="str">
            <v>Telematics</v>
          </cell>
          <cell r="AZ558" t="str">
            <v>INCOTELA</v>
          </cell>
          <cell r="BA558" t="str">
            <v>Telematics LTE-A</v>
          </cell>
        </row>
        <row r="559">
          <cell r="E559" t="str">
            <v>TL24IETE.BJPTO5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40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 t="str">
            <v/>
          </cell>
          <cell r="AH559" t="str">
            <v/>
          </cell>
          <cell r="AI559" t="str">
            <v>KR20P09336350</v>
          </cell>
          <cell r="AJ559" t="str">
            <v>TATYNNBN0F1.ARFQ</v>
          </cell>
          <cell r="AK559" t="str">
            <v>0.001084</v>
          </cell>
          <cell r="AL559" t="str">
            <v>1</v>
          </cell>
          <cell r="AM559" t="str">
            <v>F</v>
          </cell>
          <cell r="AN559" t="str">
            <v>M0</v>
          </cell>
          <cell r="AO559" t="str">
            <v>Active(Model)</v>
          </cell>
          <cell r="AP559" t="str">
            <v/>
          </cell>
          <cell r="AQ559" t="str">
            <v/>
          </cell>
          <cell r="AR559" t="str">
            <v>Y</v>
          </cell>
          <cell r="AS559" t="str">
            <v/>
          </cell>
          <cell r="AT559" t="str">
            <v>IN</v>
          </cell>
          <cell r="AU559" t="str">
            <v>Infotainment</v>
          </cell>
          <cell r="AV559" t="str">
            <v>INCO</v>
          </cell>
          <cell r="AW559" t="str">
            <v>Connectivity</v>
          </cell>
          <cell r="AX559" t="str">
            <v>INCOTE</v>
          </cell>
          <cell r="AY559" t="str">
            <v>Telematics</v>
          </cell>
          <cell r="AZ559" t="str">
            <v>INCOTELA</v>
          </cell>
          <cell r="BA559" t="str">
            <v>Telematics LTE-A</v>
          </cell>
        </row>
        <row r="560">
          <cell r="E560" t="str">
            <v>TL24IEUE.BJPTO5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42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 t="str">
            <v/>
          </cell>
          <cell r="AH560" t="str">
            <v/>
          </cell>
          <cell r="AI560" t="str">
            <v>KR20P09336350</v>
          </cell>
          <cell r="AJ560" t="str">
            <v>TATYNNBN0E1.ARFQ</v>
          </cell>
          <cell r="AK560" t="str">
            <v>0.001084</v>
          </cell>
          <cell r="AL560" t="str">
            <v>1</v>
          </cell>
          <cell r="AM560" t="str">
            <v>F</v>
          </cell>
          <cell r="AN560" t="str">
            <v>M0</v>
          </cell>
          <cell r="AO560" t="str">
            <v>Active(Model)</v>
          </cell>
          <cell r="AP560" t="str">
            <v/>
          </cell>
          <cell r="AQ560" t="str">
            <v/>
          </cell>
          <cell r="AR560" t="str">
            <v>Y</v>
          </cell>
          <cell r="AS560" t="str">
            <v/>
          </cell>
          <cell r="AT560" t="str">
            <v>IN</v>
          </cell>
          <cell r="AU560" t="str">
            <v>Infotainment</v>
          </cell>
          <cell r="AV560" t="str">
            <v>INCO</v>
          </cell>
          <cell r="AW560" t="str">
            <v>Connectivity</v>
          </cell>
          <cell r="AX560" t="str">
            <v>INCOTE</v>
          </cell>
          <cell r="AY560" t="str">
            <v>Telematics</v>
          </cell>
          <cell r="AZ560" t="str">
            <v>INCOTELA</v>
          </cell>
          <cell r="BA560" t="str">
            <v>Telematics LTE-A</v>
          </cell>
        </row>
        <row r="561">
          <cell r="E561" t="str">
            <v>TL24IEYE.BJPTO5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62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 t="str">
            <v/>
          </cell>
          <cell r="AH561" t="str">
            <v/>
          </cell>
          <cell r="AI561" t="str">
            <v>KR20P09336350</v>
          </cell>
          <cell r="AJ561" t="str">
            <v>TATYNNBN0F1.ARFQ</v>
          </cell>
          <cell r="AK561" t="str">
            <v>0.001084</v>
          </cell>
          <cell r="AL561" t="str">
            <v>1</v>
          </cell>
          <cell r="AM561" t="str">
            <v>F</v>
          </cell>
          <cell r="AN561" t="str">
            <v>M0</v>
          </cell>
          <cell r="AO561" t="str">
            <v>Active(Model)</v>
          </cell>
          <cell r="AP561" t="str">
            <v/>
          </cell>
          <cell r="AQ561" t="str">
            <v/>
          </cell>
          <cell r="AR561" t="str">
            <v>Y</v>
          </cell>
          <cell r="AS561" t="str">
            <v/>
          </cell>
          <cell r="AT561" t="str">
            <v>IN</v>
          </cell>
          <cell r="AU561" t="str">
            <v>Infotainment</v>
          </cell>
          <cell r="AV561" t="str">
            <v>INCO</v>
          </cell>
          <cell r="AW561" t="str">
            <v>Connectivity</v>
          </cell>
          <cell r="AX561" t="str">
            <v>INCOTE</v>
          </cell>
          <cell r="AY561" t="str">
            <v>Telematics</v>
          </cell>
          <cell r="AZ561" t="str">
            <v>INCOTELA</v>
          </cell>
          <cell r="BA561" t="str">
            <v>Telematics LTE-A</v>
          </cell>
        </row>
        <row r="562">
          <cell r="E562" t="str">
            <v>TL24INHE.BJPTO3</v>
          </cell>
          <cell r="F562">
            <v>327</v>
          </cell>
          <cell r="G562">
            <v>0</v>
          </cell>
          <cell r="H562">
            <v>0</v>
          </cell>
          <cell r="I562">
            <v>327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 t="str">
            <v/>
          </cell>
          <cell r="AH562" t="str">
            <v/>
          </cell>
          <cell r="AI562" t="str">
            <v>KR20P09336350</v>
          </cell>
          <cell r="AJ562" t="str">
            <v>TATYNNBN0ED.ARFQ</v>
          </cell>
          <cell r="AK562" t="str">
            <v>0.001896</v>
          </cell>
          <cell r="AL562" t="str">
            <v>1</v>
          </cell>
          <cell r="AM562" t="str">
            <v>F</v>
          </cell>
          <cell r="AN562" t="str">
            <v>M0</v>
          </cell>
          <cell r="AO562" t="str">
            <v>Active(Model)</v>
          </cell>
          <cell r="AP562" t="str">
            <v/>
          </cell>
          <cell r="AQ562" t="str">
            <v/>
          </cell>
          <cell r="AR562" t="str">
            <v>Y</v>
          </cell>
          <cell r="AS562" t="str">
            <v/>
          </cell>
          <cell r="AT562" t="str">
            <v>IN</v>
          </cell>
          <cell r="AU562" t="str">
            <v>Infotainment</v>
          </cell>
          <cell r="AV562" t="str">
            <v>INCO</v>
          </cell>
          <cell r="AW562" t="str">
            <v>Connectivity</v>
          </cell>
          <cell r="AX562" t="str">
            <v>INCOTE</v>
          </cell>
          <cell r="AY562" t="str">
            <v>Telematics</v>
          </cell>
          <cell r="AZ562" t="str">
            <v>INCOTELA</v>
          </cell>
          <cell r="BA562" t="str">
            <v>Telematics LTE-A</v>
          </cell>
        </row>
        <row r="563">
          <cell r="E563" t="str">
            <v>TL24INHE.BTHTO3</v>
          </cell>
          <cell r="F563">
            <v>672</v>
          </cell>
          <cell r="G563">
            <v>0</v>
          </cell>
          <cell r="H563">
            <v>0</v>
          </cell>
          <cell r="I563">
            <v>672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 t="str">
            <v/>
          </cell>
          <cell r="AH563" t="str">
            <v/>
          </cell>
          <cell r="AI563" t="str">
            <v>KR20P09336350</v>
          </cell>
          <cell r="AJ563" t="str">
            <v>TATYNNBN0ED.ARFQ</v>
          </cell>
          <cell r="AK563" t="str">
            <v>0.001084</v>
          </cell>
          <cell r="AL563" t="str">
            <v>1</v>
          </cell>
          <cell r="AM563" t="str">
            <v>F</v>
          </cell>
          <cell r="AN563" t="str">
            <v>M0</v>
          </cell>
          <cell r="AO563" t="str">
            <v>Active(Model)</v>
          </cell>
          <cell r="AP563" t="str">
            <v/>
          </cell>
          <cell r="AQ563" t="str">
            <v/>
          </cell>
          <cell r="AR563" t="str">
            <v>Y</v>
          </cell>
          <cell r="AS563" t="str">
            <v/>
          </cell>
          <cell r="AT563" t="str">
            <v>IN</v>
          </cell>
          <cell r="AU563" t="str">
            <v>Infotainment</v>
          </cell>
          <cell r="AV563" t="str">
            <v>INCO</v>
          </cell>
          <cell r="AW563" t="str">
            <v>Connectivity</v>
          </cell>
          <cell r="AX563" t="str">
            <v>INCOTE</v>
          </cell>
          <cell r="AY563" t="str">
            <v>Telematics</v>
          </cell>
          <cell r="AZ563" t="str">
            <v>INCOTELA</v>
          </cell>
          <cell r="BA563" t="str">
            <v>Telematics LTE-A</v>
          </cell>
        </row>
        <row r="564">
          <cell r="E564" t="str">
            <v>TL24INRE.BJPTO3</v>
          </cell>
          <cell r="F564">
            <v>2</v>
          </cell>
          <cell r="G564">
            <v>0</v>
          </cell>
          <cell r="H564">
            <v>0</v>
          </cell>
          <cell r="I564">
            <v>2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543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 t="str">
            <v/>
          </cell>
          <cell r="AH564" t="str">
            <v/>
          </cell>
          <cell r="AI564" t="str">
            <v>KR20P09336350</v>
          </cell>
          <cell r="AJ564" t="str">
            <v>TATYNNBN0ED.ARFQ</v>
          </cell>
          <cell r="AK564" t="str">
            <v>0.001896</v>
          </cell>
          <cell r="AL564" t="str">
            <v>1</v>
          </cell>
          <cell r="AM564" t="str">
            <v>F</v>
          </cell>
          <cell r="AN564" t="str">
            <v>M0</v>
          </cell>
          <cell r="AO564" t="str">
            <v>Active(Model)</v>
          </cell>
          <cell r="AP564" t="str">
            <v/>
          </cell>
          <cell r="AQ564" t="str">
            <v/>
          </cell>
          <cell r="AR564" t="str">
            <v>Y</v>
          </cell>
          <cell r="AS564" t="str">
            <v/>
          </cell>
          <cell r="AT564" t="str">
            <v>IN</v>
          </cell>
          <cell r="AU564" t="str">
            <v>Infotainment</v>
          </cell>
          <cell r="AV564" t="str">
            <v>INCO</v>
          </cell>
          <cell r="AW564" t="str">
            <v>Connectivity</v>
          </cell>
          <cell r="AX564" t="str">
            <v>INCOTE</v>
          </cell>
          <cell r="AY564" t="str">
            <v>Telematics</v>
          </cell>
          <cell r="AZ564" t="str">
            <v>INCOTELA</v>
          </cell>
          <cell r="BA564" t="str">
            <v>Telematics LTE-A</v>
          </cell>
        </row>
        <row r="565">
          <cell r="E565" t="str">
            <v>TL24INVE.BJPTO3</v>
          </cell>
          <cell r="F565">
            <v>66</v>
          </cell>
          <cell r="G565">
            <v>0</v>
          </cell>
          <cell r="H565">
            <v>0</v>
          </cell>
          <cell r="I565">
            <v>66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311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 t="str">
            <v/>
          </cell>
          <cell r="AH565" t="str">
            <v/>
          </cell>
          <cell r="AI565" t="str">
            <v>KR20P09336350</v>
          </cell>
          <cell r="AJ565" t="str">
            <v>TATYNNBN0ED.ARFQ</v>
          </cell>
          <cell r="AK565" t="str">
            <v>0.001896</v>
          </cell>
          <cell r="AL565" t="str">
            <v>1</v>
          </cell>
          <cell r="AM565" t="str">
            <v>F</v>
          </cell>
          <cell r="AN565" t="str">
            <v>M0</v>
          </cell>
          <cell r="AO565" t="str">
            <v>Active(Model)</v>
          </cell>
          <cell r="AP565" t="str">
            <v/>
          </cell>
          <cell r="AQ565" t="str">
            <v/>
          </cell>
          <cell r="AR565" t="str">
            <v>Y</v>
          </cell>
          <cell r="AS565" t="str">
            <v/>
          </cell>
          <cell r="AT565" t="str">
            <v>IN</v>
          </cell>
          <cell r="AU565" t="str">
            <v>Infotainment</v>
          </cell>
          <cell r="AV565" t="str">
            <v>INCO</v>
          </cell>
          <cell r="AW565" t="str">
            <v>Connectivity</v>
          </cell>
          <cell r="AX565" t="str">
            <v>INCOTE</v>
          </cell>
          <cell r="AY565" t="str">
            <v>Telematics</v>
          </cell>
          <cell r="AZ565" t="str">
            <v>INCOTELA</v>
          </cell>
          <cell r="BA565" t="str">
            <v>Telematics LTE-A</v>
          </cell>
        </row>
        <row r="566">
          <cell r="E566" t="str">
            <v>TL24INYE.BJPTO3</v>
          </cell>
          <cell r="F566">
            <v>132</v>
          </cell>
          <cell r="G566">
            <v>0</v>
          </cell>
          <cell r="H566">
            <v>0</v>
          </cell>
          <cell r="I566">
            <v>132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 t="str">
            <v/>
          </cell>
          <cell r="AH566" t="str">
            <v/>
          </cell>
          <cell r="AI566" t="str">
            <v>KR20P09336350</v>
          </cell>
          <cell r="AJ566" t="str">
            <v>TATYNNBN0ED.ARFQ</v>
          </cell>
          <cell r="AK566" t="str">
            <v>0.001896</v>
          </cell>
          <cell r="AL566" t="str">
            <v>1</v>
          </cell>
          <cell r="AM566" t="str">
            <v>F</v>
          </cell>
          <cell r="AN566" t="str">
            <v>M0</v>
          </cell>
          <cell r="AO566" t="str">
            <v>Active(Model)</v>
          </cell>
          <cell r="AP566" t="str">
            <v/>
          </cell>
          <cell r="AQ566" t="str">
            <v/>
          </cell>
          <cell r="AR566" t="str">
            <v>Y</v>
          </cell>
          <cell r="AS566" t="str">
            <v/>
          </cell>
          <cell r="AT566" t="str">
            <v>IN</v>
          </cell>
          <cell r="AU566" t="str">
            <v>Infotainment</v>
          </cell>
          <cell r="AV566" t="str">
            <v>INCO</v>
          </cell>
          <cell r="AW566" t="str">
            <v>Connectivity</v>
          </cell>
          <cell r="AX566" t="str">
            <v>INCOTE</v>
          </cell>
          <cell r="AY566" t="str">
            <v>Telematics</v>
          </cell>
          <cell r="AZ566" t="str">
            <v>INCOTELA</v>
          </cell>
          <cell r="BA566" t="str">
            <v>Telematics LTE-A</v>
          </cell>
        </row>
        <row r="567">
          <cell r="E567" t="str">
            <v>TL24INZE.BZATO3</v>
          </cell>
          <cell r="F567">
            <v>5</v>
          </cell>
          <cell r="G567">
            <v>0</v>
          </cell>
          <cell r="H567">
            <v>0</v>
          </cell>
          <cell r="I567">
            <v>5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 t="str">
            <v/>
          </cell>
          <cell r="AH567" t="str">
            <v/>
          </cell>
          <cell r="AI567" t="str">
            <v>KR20P09336350</v>
          </cell>
          <cell r="AJ567" t="str">
            <v>TATYNNBN0F3.ARFQ</v>
          </cell>
          <cell r="AK567" t="str">
            <v>0.001084</v>
          </cell>
          <cell r="AL567" t="str">
            <v>1</v>
          </cell>
          <cell r="AM567" t="str">
            <v>F</v>
          </cell>
          <cell r="AN567" t="str">
            <v>M0</v>
          </cell>
          <cell r="AO567" t="str">
            <v>Active(Model)</v>
          </cell>
          <cell r="AP567" t="str">
            <v/>
          </cell>
          <cell r="AQ567" t="str">
            <v/>
          </cell>
          <cell r="AR567" t="str">
            <v>Y</v>
          </cell>
          <cell r="AS567" t="str">
            <v/>
          </cell>
          <cell r="AT567" t="str">
            <v>IN</v>
          </cell>
          <cell r="AU567" t="str">
            <v>Infotainment</v>
          </cell>
          <cell r="AV567" t="str">
            <v>INCO</v>
          </cell>
          <cell r="AW567" t="str">
            <v>Connectivity</v>
          </cell>
          <cell r="AX567" t="str">
            <v>INCOTE</v>
          </cell>
          <cell r="AY567" t="str">
            <v>Telematics</v>
          </cell>
          <cell r="AZ567" t="str">
            <v>INCOTELA</v>
          </cell>
          <cell r="BA567" t="str">
            <v>Telematics LTE-A</v>
          </cell>
        </row>
        <row r="568">
          <cell r="E568" t="str">
            <v>TL24SEDE.BJPTO5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839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 t="str">
            <v/>
          </cell>
          <cell r="AH568" t="str">
            <v/>
          </cell>
          <cell r="AI568" t="str">
            <v>KR20P09336350</v>
          </cell>
          <cell r="AJ568" t="str">
            <v>TATYNNBN0E4.ARFQ</v>
          </cell>
          <cell r="AK568" t="str">
            <v>0.001084</v>
          </cell>
          <cell r="AL568" t="str">
            <v>1</v>
          </cell>
          <cell r="AM568" t="str">
            <v>F</v>
          </cell>
          <cell r="AN568" t="str">
            <v>M0</v>
          </cell>
          <cell r="AO568" t="str">
            <v>Active(Model)</v>
          </cell>
          <cell r="AP568" t="str">
            <v/>
          </cell>
          <cell r="AQ568" t="str">
            <v/>
          </cell>
          <cell r="AR568" t="str">
            <v>Y</v>
          </cell>
          <cell r="AS568" t="str">
            <v/>
          </cell>
          <cell r="AT568" t="str">
            <v>IN</v>
          </cell>
          <cell r="AU568" t="str">
            <v>Infotainment</v>
          </cell>
          <cell r="AV568" t="str">
            <v>INCO</v>
          </cell>
          <cell r="AW568" t="str">
            <v>Connectivity</v>
          </cell>
          <cell r="AX568" t="str">
            <v>INCOTE</v>
          </cell>
          <cell r="AY568" t="str">
            <v>Telematics</v>
          </cell>
          <cell r="AZ568" t="str">
            <v>INCOTELA</v>
          </cell>
          <cell r="BA568" t="str">
            <v>Telematics LTE-A</v>
          </cell>
        </row>
        <row r="569">
          <cell r="E569" t="str">
            <v>TL24SEJE.BJPTO5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2392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 t="str">
            <v/>
          </cell>
          <cell r="AH569" t="str">
            <v/>
          </cell>
          <cell r="AI569" t="str">
            <v>KR20P09336350</v>
          </cell>
          <cell r="AJ569" t="str">
            <v>TATYNNBN0EA.ARFQ</v>
          </cell>
          <cell r="AK569" t="str">
            <v>0.001084</v>
          </cell>
          <cell r="AL569" t="str">
            <v>1</v>
          </cell>
          <cell r="AM569" t="str">
            <v>F</v>
          </cell>
          <cell r="AN569" t="str">
            <v>M0</v>
          </cell>
          <cell r="AO569" t="str">
            <v>Active(Model)</v>
          </cell>
          <cell r="AP569" t="str">
            <v/>
          </cell>
          <cell r="AQ569" t="str">
            <v/>
          </cell>
          <cell r="AR569" t="str">
            <v>Y</v>
          </cell>
          <cell r="AS569" t="str">
            <v/>
          </cell>
          <cell r="AT569" t="str">
            <v>IN</v>
          </cell>
          <cell r="AU569" t="str">
            <v>Infotainment</v>
          </cell>
          <cell r="AV569" t="str">
            <v>INCO</v>
          </cell>
          <cell r="AW569" t="str">
            <v>Connectivity</v>
          </cell>
          <cell r="AX569" t="str">
            <v>INCOTE</v>
          </cell>
          <cell r="AY569" t="str">
            <v>Telematics</v>
          </cell>
          <cell r="AZ569" t="str">
            <v>INCOTELA</v>
          </cell>
          <cell r="BA569" t="str">
            <v>Telematics LTE-A</v>
          </cell>
        </row>
        <row r="570">
          <cell r="E570" t="str">
            <v>TL24SEUE.BJPTO3</v>
          </cell>
          <cell r="F570">
            <v>3</v>
          </cell>
          <cell r="G570">
            <v>0</v>
          </cell>
          <cell r="H570">
            <v>0</v>
          </cell>
          <cell r="I570">
            <v>3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 t="str">
            <v/>
          </cell>
          <cell r="AH570" t="str">
            <v/>
          </cell>
          <cell r="AI570" t="str">
            <v>KR20P09336350</v>
          </cell>
          <cell r="AJ570" t="str">
            <v>TATYNNBN0E2.ARFQ</v>
          </cell>
          <cell r="AK570" t="str">
            <v>0.001896</v>
          </cell>
          <cell r="AL570" t="str">
            <v>1</v>
          </cell>
          <cell r="AM570" t="str">
            <v>F</v>
          </cell>
          <cell r="AN570" t="str">
            <v>M0</v>
          </cell>
          <cell r="AO570" t="str">
            <v>Active(Model)</v>
          </cell>
          <cell r="AP570" t="str">
            <v/>
          </cell>
          <cell r="AQ570" t="str">
            <v/>
          </cell>
          <cell r="AR570" t="str">
            <v>Y</v>
          </cell>
          <cell r="AS570" t="str">
            <v/>
          </cell>
          <cell r="AT570" t="str">
            <v>IN</v>
          </cell>
          <cell r="AU570" t="str">
            <v>Infotainment</v>
          </cell>
          <cell r="AV570" t="str">
            <v>INCO</v>
          </cell>
          <cell r="AW570" t="str">
            <v>Connectivity</v>
          </cell>
          <cell r="AX570" t="str">
            <v>INCOTE</v>
          </cell>
          <cell r="AY570" t="str">
            <v>Telematics</v>
          </cell>
          <cell r="AZ570" t="str">
            <v>INCOTELA</v>
          </cell>
          <cell r="BA570" t="str">
            <v>Telematics LTE-A</v>
          </cell>
        </row>
        <row r="571">
          <cell r="E571" t="str">
            <v>TL24SEUE.BJPTO5</v>
          </cell>
          <cell r="F571">
            <v>834</v>
          </cell>
          <cell r="G571">
            <v>0</v>
          </cell>
          <cell r="H571">
            <v>0</v>
          </cell>
          <cell r="I571">
            <v>834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60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 t="str">
            <v/>
          </cell>
          <cell r="AH571" t="str">
            <v/>
          </cell>
          <cell r="AI571" t="str">
            <v>KR20P09336350</v>
          </cell>
          <cell r="AJ571" t="str">
            <v>TATYNNBN0E2.ARFQ</v>
          </cell>
          <cell r="AK571" t="str">
            <v>0.001084</v>
          </cell>
          <cell r="AL571" t="str">
            <v>1</v>
          </cell>
          <cell r="AM571" t="str">
            <v>F</v>
          </cell>
          <cell r="AN571" t="str">
            <v>M0</v>
          </cell>
          <cell r="AO571" t="str">
            <v>Active(Model)</v>
          </cell>
          <cell r="AP571" t="str">
            <v/>
          </cell>
          <cell r="AQ571" t="str">
            <v/>
          </cell>
          <cell r="AR571" t="str">
            <v>Y</v>
          </cell>
          <cell r="AS571" t="str">
            <v/>
          </cell>
          <cell r="AT571" t="str">
            <v>IN</v>
          </cell>
          <cell r="AU571" t="str">
            <v>Infotainment</v>
          </cell>
          <cell r="AV571" t="str">
            <v>INCO</v>
          </cell>
          <cell r="AW571" t="str">
            <v>Connectivity</v>
          </cell>
          <cell r="AX571" t="str">
            <v>INCOTE</v>
          </cell>
          <cell r="AY571" t="str">
            <v>Telematics</v>
          </cell>
          <cell r="AZ571" t="str">
            <v>INCOTELA</v>
          </cell>
          <cell r="BA571" t="str">
            <v>Telematics LTE-A</v>
          </cell>
        </row>
        <row r="572">
          <cell r="E572" t="str">
            <v>TLHOBENN0D1.BU1MD21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450</v>
          </cell>
          <cell r="O572">
            <v>0</v>
          </cell>
          <cell r="P572">
            <v>450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 t="str">
            <v/>
          </cell>
          <cell r="AH572" t="str">
            <v/>
          </cell>
          <cell r="AI572" t="str">
            <v>KR19P03852270</v>
          </cell>
          <cell r="AJ572" t="str">
            <v>TLHOBENN0D1.ARFQ</v>
          </cell>
          <cell r="AK572" t="str">
            <v>0.003519</v>
          </cell>
          <cell r="AL572" t="str">
            <v>1</v>
          </cell>
          <cell r="AM572" t="str">
            <v>F</v>
          </cell>
          <cell r="AN572" t="str">
            <v>M0</v>
          </cell>
          <cell r="AO572" t="str">
            <v>Active(Model)</v>
          </cell>
          <cell r="AP572" t="str">
            <v/>
          </cell>
          <cell r="AQ572" t="str">
            <v/>
          </cell>
          <cell r="AR572" t="str">
            <v>Y</v>
          </cell>
          <cell r="AS572" t="str">
            <v/>
          </cell>
          <cell r="AT572" t="str">
            <v>IN</v>
          </cell>
          <cell r="AU572" t="str">
            <v>Infotainment</v>
          </cell>
          <cell r="AV572" t="str">
            <v>INCO</v>
          </cell>
          <cell r="AW572" t="str">
            <v>Connectivity</v>
          </cell>
          <cell r="AX572" t="str">
            <v>INCOTE</v>
          </cell>
          <cell r="AY572" t="str">
            <v>Telematics</v>
          </cell>
          <cell r="AZ572" t="str">
            <v>INCOTELT</v>
          </cell>
          <cell r="BA572" t="str">
            <v>Telematics LTE</v>
          </cell>
        </row>
        <row r="573">
          <cell r="E573" t="str">
            <v>TLHOBENN0D1.BU1MD22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349</v>
          </cell>
          <cell r="O573">
            <v>0</v>
          </cell>
          <cell r="P573">
            <v>349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 t="str">
            <v/>
          </cell>
          <cell r="AH573" t="str">
            <v/>
          </cell>
          <cell r="AI573" t="str">
            <v>KR19P03852270</v>
          </cell>
          <cell r="AJ573" t="str">
            <v>TLHOBENN0D1.ARFQ</v>
          </cell>
          <cell r="AK573" t="str">
            <v>0.003519</v>
          </cell>
          <cell r="AL573" t="str">
            <v>1</v>
          </cell>
          <cell r="AM573" t="str">
            <v>F</v>
          </cell>
          <cell r="AN573" t="str">
            <v>M0</v>
          </cell>
          <cell r="AO573" t="str">
            <v>Active(Model)</v>
          </cell>
          <cell r="AP573" t="str">
            <v/>
          </cell>
          <cell r="AQ573" t="str">
            <v/>
          </cell>
          <cell r="AR573" t="str">
            <v>Y</v>
          </cell>
          <cell r="AS573" t="str">
            <v/>
          </cell>
          <cell r="AT573" t="str">
            <v>IN</v>
          </cell>
          <cell r="AU573" t="str">
            <v>Infotainment</v>
          </cell>
          <cell r="AV573" t="str">
            <v>INCO</v>
          </cell>
          <cell r="AW573" t="str">
            <v>Connectivity</v>
          </cell>
          <cell r="AX573" t="str">
            <v>INCOTE</v>
          </cell>
          <cell r="AY573" t="str">
            <v>Telematics</v>
          </cell>
          <cell r="AZ573" t="str">
            <v>INCOTELT</v>
          </cell>
          <cell r="BA573" t="str">
            <v>Telematics LTE</v>
          </cell>
        </row>
        <row r="574">
          <cell r="E574" t="str">
            <v>TLHOBENN0D1.BU1MD23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1096</v>
          </cell>
          <cell r="O574">
            <v>0</v>
          </cell>
          <cell r="P574">
            <v>1096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 t="str">
            <v/>
          </cell>
          <cell r="AH574" t="str">
            <v/>
          </cell>
          <cell r="AI574" t="str">
            <v>KR19P03852270</v>
          </cell>
          <cell r="AJ574" t="str">
            <v>TLHOBENN0D1.ARFQ</v>
          </cell>
          <cell r="AK574" t="str">
            <v>0.003519</v>
          </cell>
          <cell r="AL574" t="str">
            <v>1</v>
          </cell>
          <cell r="AM574" t="str">
            <v>F</v>
          </cell>
          <cell r="AN574" t="str">
            <v>M0</v>
          </cell>
          <cell r="AO574" t="str">
            <v>Active(Model)</v>
          </cell>
          <cell r="AP574" t="str">
            <v/>
          </cell>
          <cell r="AQ574" t="str">
            <v/>
          </cell>
          <cell r="AR574" t="str">
            <v>Y</v>
          </cell>
          <cell r="AS574" t="str">
            <v/>
          </cell>
          <cell r="AT574" t="str">
            <v>IN</v>
          </cell>
          <cell r="AU574" t="str">
            <v>Infotainment</v>
          </cell>
          <cell r="AV574" t="str">
            <v>INCO</v>
          </cell>
          <cell r="AW574" t="str">
            <v>Connectivity</v>
          </cell>
          <cell r="AX574" t="str">
            <v>INCOTE</v>
          </cell>
          <cell r="AY574" t="str">
            <v>Telematics</v>
          </cell>
          <cell r="AZ574" t="str">
            <v>INCOTELT</v>
          </cell>
          <cell r="BA574" t="str">
            <v>Telematics LTE</v>
          </cell>
        </row>
        <row r="575">
          <cell r="E575" t="str">
            <v>TLHOBENN0D1.BU1MD24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150</v>
          </cell>
          <cell r="O575">
            <v>0</v>
          </cell>
          <cell r="P575">
            <v>150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 t="str">
            <v/>
          </cell>
          <cell r="AH575" t="str">
            <v/>
          </cell>
          <cell r="AI575" t="str">
            <v>KR19P03852270</v>
          </cell>
          <cell r="AJ575" t="str">
            <v>TLHOBENN0D1.ARFQ</v>
          </cell>
          <cell r="AK575" t="str">
            <v>0.003519</v>
          </cell>
          <cell r="AL575" t="str">
            <v>1</v>
          </cell>
          <cell r="AM575" t="str">
            <v>F</v>
          </cell>
          <cell r="AN575" t="str">
            <v>M0</v>
          </cell>
          <cell r="AO575" t="str">
            <v>Active(Model)</v>
          </cell>
          <cell r="AP575" t="str">
            <v/>
          </cell>
          <cell r="AQ575" t="str">
            <v/>
          </cell>
          <cell r="AR575" t="str">
            <v>Y</v>
          </cell>
          <cell r="AS575" t="str">
            <v/>
          </cell>
          <cell r="AT575" t="str">
            <v>IN</v>
          </cell>
          <cell r="AU575" t="str">
            <v>Infotainment</v>
          </cell>
          <cell r="AV575" t="str">
            <v>INCO</v>
          </cell>
          <cell r="AW575" t="str">
            <v>Connectivity</v>
          </cell>
          <cell r="AX575" t="str">
            <v>INCOTE</v>
          </cell>
          <cell r="AY575" t="str">
            <v>Telematics</v>
          </cell>
          <cell r="AZ575" t="str">
            <v>INCOTELT</v>
          </cell>
          <cell r="BA575" t="str">
            <v>Telematics LTE</v>
          </cell>
        </row>
        <row r="576">
          <cell r="E576" t="str">
            <v>TLHOBINN0D1.BU1CI12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119</v>
          </cell>
          <cell r="O576">
            <v>0</v>
          </cell>
          <cell r="P576">
            <v>119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 t="str">
            <v/>
          </cell>
          <cell r="AH576" t="str">
            <v/>
          </cell>
          <cell r="AI576" t="str">
            <v>KR19P03852270</v>
          </cell>
          <cell r="AJ576" t="str">
            <v>TLHOBINN0D1.ARFQ</v>
          </cell>
          <cell r="AK576" t="str">
            <v>0.002819</v>
          </cell>
          <cell r="AL576" t="str">
            <v>1</v>
          </cell>
          <cell r="AM576" t="str">
            <v>F</v>
          </cell>
          <cell r="AN576" t="str">
            <v>M0</v>
          </cell>
          <cell r="AO576" t="str">
            <v>Active(Model)</v>
          </cell>
          <cell r="AP576" t="str">
            <v/>
          </cell>
          <cell r="AQ576" t="str">
            <v/>
          </cell>
          <cell r="AR576" t="str">
            <v>Y</v>
          </cell>
          <cell r="AS576" t="str">
            <v/>
          </cell>
          <cell r="AT576" t="str">
            <v>IN</v>
          </cell>
          <cell r="AU576" t="str">
            <v>Infotainment</v>
          </cell>
          <cell r="AV576" t="str">
            <v>INCO</v>
          </cell>
          <cell r="AW576" t="str">
            <v>Connectivity</v>
          </cell>
          <cell r="AX576" t="str">
            <v>INCOTE</v>
          </cell>
          <cell r="AY576" t="str">
            <v>Telematics</v>
          </cell>
          <cell r="AZ576" t="str">
            <v>INCOTELT</v>
          </cell>
          <cell r="BA576" t="str">
            <v>Telematics LTE</v>
          </cell>
        </row>
        <row r="577">
          <cell r="E577" t="str">
            <v>TLHOBINN0D5.BMYCR10</v>
          </cell>
          <cell r="F577">
            <v>495</v>
          </cell>
          <cell r="G577">
            <v>0</v>
          </cell>
          <cell r="H577">
            <v>0</v>
          </cell>
          <cell r="I577">
            <v>495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 t="str">
            <v/>
          </cell>
          <cell r="AH577" t="str">
            <v/>
          </cell>
          <cell r="AI577" t="str">
            <v>KR19P03852270</v>
          </cell>
          <cell r="AJ577" t="str">
            <v>TLHOBINN0D5.ARFQ</v>
          </cell>
          <cell r="AK577" t="str">
            <v>0.002819</v>
          </cell>
          <cell r="AL577" t="str">
            <v>1</v>
          </cell>
          <cell r="AM577" t="str">
            <v>F</v>
          </cell>
          <cell r="AN577" t="str">
            <v>M0</v>
          </cell>
          <cell r="AO577" t="str">
            <v>Active(Model)</v>
          </cell>
          <cell r="AP577" t="str">
            <v/>
          </cell>
          <cell r="AQ577" t="str">
            <v/>
          </cell>
          <cell r="AR577" t="str">
            <v>Y</v>
          </cell>
          <cell r="AS577" t="str">
            <v/>
          </cell>
          <cell r="AT577" t="str">
            <v>IN</v>
          </cell>
          <cell r="AU577" t="str">
            <v>Infotainment</v>
          </cell>
          <cell r="AV577" t="str">
            <v>INCO</v>
          </cell>
          <cell r="AW577" t="str">
            <v>Connectivity</v>
          </cell>
          <cell r="AX577" t="str">
            <v>INCOTE</v>
          </cell>
          <cell r="AY577" t="str">
            <v>Telematics</v>
          </cell>
          <cell r="AZ577" t="str">
            <v>INCOTELT</v>
          </cell>
          <cell r="BA577" t="str">
            <v>Telematics LTE</v>
          </cell>
        </row>
        <row r="578">
          <cell r="E578" t="str">
            <v>TLHOBINN0D5.BTHCR18</v>
          </cell>
          <cell r="F578">
            <v>4</v>
          </cell>
          <cell r="G578">
            <v>0</v>
          </cell>
          <cell r="H578">
            <v>0</v>
          </cell>
          <cell r="I578">
            <v>4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 t="str">
            <v/>
          </cell>
          <cell r="AH578" t="str">
            <v/>
          </cell>
          <cell r="AI578" t="str">
            <v>KR19P03852270</v>
          </cell>
          <cell r="AJ578" t="str">
            <v>TLHOBINN0D5.ARFQ</v>
          </cell>
          <cell r="AK578" t="str">
            <v>0.002819</v>
          </cell>
          <cell r="AL578" t="str">
            <v>1</v>
          </cell>
          <cell r="AM578" t="str">
            <v>F</v>
          </cell>
          <cell r="AN578" t="str">
            <v>M0</v>
          </cell>
          <cell r="AO578" t="str">
            <v>Active(Model)</v>
          </cell>
          <cell r="AP578" t="str">
            <v/>
          </cell>
          <cell r="AQ578" t="str">
            <v/>
          </cell>
          <cell r="AR578" t="str">
            <v>Y</v>
          </cell>
          <cell r="AS578" t="str">
            <v/>
          </cell>
          <cell r="AT578" t="str">
            <v>IN</v>
          </cell>
          <cell r="AU578" t="str">
            <v>Infotainment</v>
          </cell>
          <cell r="AV578" t="str">
            <v>INCO</v>
          </cell>
          <cell r="AW578" t="str">
            <v>Connectivity</v>
          </cell>
          <cell r="AX578" t="str">
            <v>INCOTE</v>
          </cell>
          <cell r="AY578" t="str">
            <v>Telematics</v>
          </cell>
          <cell r="AZ578" t="str">
            <v>INCOTELT</v>
          </cell>
          <cell r="BA578" t="str">
            <v>Telematics LTE</v>
          </cell>
        </row>
        <row r="579">
          <cell r="E579" t="str">
            <v>TLVUE4IU-N.B031HXX</v>
          </cell>
          <cell r="F579">
            <v>120</v>
          </cell>
          <cell r="G579">
            <v>0</v>
          </cell>
          <cell r="H579">
            <v>0</v>
          </cell>
          <cell r="I579">
            <v>120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 t="str">
            <v/>
          </cell>
          <cell r="AH579" t="str">
            <v/>
          </cell>
          <cell r="AI579" t="str">
            <v>KR21P14292960</v>
          </cell>
          <cell r="AJ579" t="str">
            <v>TAVWEIBHNV1.ARFQ</v>
          </cell>
          <cell r="AK579" t="str">
            <v>0.000041</v>
          </cell>
          <cell r="AL579" t="str">
            <v>1</v>
          </cell>
          <cell r="AM579" t="str">
            <v>F</v>
          </cell>
          <cell r="AN579" t="str">
            <v>M0</v>
          </cell>
          <cell r="AO579" t="str">
            <v>Active(Model)</v>
          </cell>
          <cell r="AP579" t="str">
            <v/>
          </cell>
          <cell r="AQ579" t="str">
            <v/>
          </cell>
          <cell r="AR579" t="str">
            <v>Y</v>
          </cell>
          <cell r="AS579" t="str">
            <v/>
          </cell>
          <cell r="AT579" t="str">
            <v>IN</v>
          </cell>
          <cell r="AU579" t="str">
            <v>Infotainment</v>
          </cell>
          <cell r="AV579" t="str">
            <v>INCO</v>
          </cell>
          <cell r="AW579" t="str">
            <v>Connectivity</v>
          </cell>
          <cell r="AX579" t="str">
            <v>INCOTE</v>
          </cell>
          <cell r="AY579" t="str">
            <v>Telematics</v>
          </cell>
          <cell r="AZ579" t="str">
            <v>INCOTELA</v>
          </cell>
          <cell r="BA579" t="str">
            <v>Telematics LTE-A</v>
          </cell>
        </row>
        <row r="580">
          <cell r="E580" t="str">
            <v>TLVUM3IU-N.B041HXX</v>
          </cell>
          <cell r="F580">
            <v>8</v>
          </cell>
          <cell r="G580">
            <v>0</v>
          </cell>
          <cell r="H580">
            <v>0</v>
          </cell>
          <cell r="I580">
            <v>8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 t="str">
            <v/>
          </cell>
          <cell r="AH580" t="str">
            <v/>
          </cell>
          <cell r="AI580" t="str">
            <v>KR21P14292960</v>
          </cell>
          <cell r="AJ580" t="str">
            <v>TAVWAIBENV1.ARFQ</v>
          </cell>
          <cell r="AK580" t="str">
            <v>0.000041</v>
          </cell>
          <cell r="AL580" t="str">
            <v>1</v>
          </cell>
          <cell r="AM580" t="str">
            <v>F</v>
          </cell>
          <cell r="AN580" t="str">
            <v>M0</v>
          </cell>
          <cell r="AO580" t="str">
            <v>Active(Model)</v>
          </cell>
          <cell r="AP580" t="str">
            <v/>
          </cell>
          <cell r="AQ580" t="str">
            <v/>
          </cell>
          <cell r="AR580" t="str">
            <v>Y</v>
          </cell>
          <cell r="AS580" t="str">
            <v/>
          </cell>
          <cell r="AT580" t="str">
            <v>IN</v>
          </cell>
          <cell r="AU580" t="str">
            <v>Infotainment</v>
          </cell>
          <cell r="AV580" t="str">
            <v>INCO</v>
          </cell>
          <cell r="AW580" t="str">
            <v>Connectivity</v>
          </cell>
          <cell r="AX580" t="str">
            <v>INCOTE</v>
          </cell>
          <cell r="AY580" t="str">
            <v>Telematics</v>
          </cell>
          <cell r="AZ580" t="str">
            <v>INCOTELA</v>
          </cell>
          <cell r="BA580" t="str">
            <v>Telematics LTE-A</v>
          </cell>
        </row>
        <row r="581">
          <cell r="E581" t="str">
            <v>TLVUM3IU-N.BA41HXX</v>
          </cell>
          <cell r="F581">
            <v>1319</v>
          </cell>
          <cell r="G581">
            <v>0</v>
          </cell>
          <cell r="H581">
            <v>0</v>
          </cell>
          <cell r="I581">
            <v>1319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 t="str">
            <v/>
          </cell>
          <cell r="AH581" t="str">
            <v/>
          </cell>
          <cell r="AI581" t="str">
            <v>KR21P14292960</v>
          </cell>
          <cell r="AJ581" t="str">
            <v>TAVWAIBE0V1.ARFQ</v>
          </cell>
          <cell r="AK581" t="str">
            <v>0.000041</v>
          </cell>
          <cell r="AL581" t="str">
            <v>1</v>
          </cell>
          <cell r="AM581" t="str">
            <v>F</v>
          </cell>
          <cell r="AN581" t="str">
            <v>M0</v>
          </cell>
          <cell r="AO581" t="str">
            <v>Active(Model)</v>
          </cell>
          <cell r="AP581" t="str">
            <v/>
          </cell>
          <cell r="AQ581" t="str">
            <v/>
          </cell>
          <cell r="AR581" t="str">
            <v>Y</v>
          </cell>
          <cell r="AS581" t="str">
            <v/>
          </cell>
          <cell r="AT581" t="str">
            <v>IN</v>
          </cell>
          <cell r="AU581" t="str">
            <v>Infotainment</v>
          </cell>
          <cell r="AV581" t="str">
            <v>INCO</v>
          </cell>
          <cell r="AW581" t="str">
            <v>Connectivity</v>
          </cell>
          <cell r="AX581" t="str">
            <v>INCOTE</v>
          </cell>
          <cell r="AY581" t="str">
            <v>Telematics</v>
          </cell>
          <cell r="AZ581" t="str">
            <v>INCOTELA</v>
          </cell>
          <cell r="BA581" t="str">
            <v>Telematics LTE-A</v>
          </cell>
        </row>
        <row r="582">
          <cell r="E582" t="str">
            <v>TLVUM3IU-W.B051HXX</v>
          </cell>
          <cell r="F582">
            <v>6</v>
          </cell>
          <cell r="G582">
            <v>0</v>
          </cell>
          <cell r="H582">
            <v>0</v>
          </cell>
          <cell r="I582">
            <v>6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 t="str">
            <v/>
          </cell>
          <cell r="AH582" t="str">
            <v/>
          </cell>
          <cell r="AI582" t="str">
            <v>KR21P14292960</v>
          </cell>
          <cell r="AJ582" t="str">
            <v>TAVWAIBEBV1.ARFQ</v>
          </cell>
          <cell r="AK582" t="str">
            <v>0.000041</v>
          </cell>
          <cell r="AL582" t="str">
            <v>1</v>
          </cell>
          <cell r="AM582" t="str">
            <v>F</v>
          </cell>
          <cell r="AN582" t="str">
            <v>M0</v>
          </cell>
          <cell r="AO582" t="str">
            <v>Active(Model)</v>
          </cell>
          <cell r="AP582" t="str">
            <v/>
          </cell>
          <cell r="AQ582" t="str">
            <v/>
          </cell>
          <cell r="AR582" t="str">
            <v>Y</v>
          </cell>
          <cell r="AS582" t="str">
            <v/>
          </cell>
          <cell r="AT582" t="str">
            <v>IN</v>
          </cell>
          <cell r="AU582" t="str">
            <v>Infotainment</v>
          </cell>
          <cell r="AV582" t="str">
            <v>INCO</v>
          </cell>
          <cell r="AW582" t="str">
            <v>Connectivity</v>
          </cell>
          <cell r="AX582" t="str">
            <v>INCOTE</v>
          </cell>
          <cell r="AY582" t="str">
            <v>Telematics</v>
          </cell>
          <cell r="AZ582" t="str">
            <v>INCOTELA</v>
          </cell>
          <cell r="BA582" t="str">
            <v>Telematics LTE-A</v>
          </cell>
        </row>
        <row r="583">
          <cell r="E583" t="str">
            <v>TLVUM3IU-W.BA52HXX</v>
          </cell>
          <cell r="F583">
            <v>2278</v>
          </cell>
          <cell r="G583">
            <v>0</v>
          </cell>
          <cell r="H583">
            <v>0</v>
          </cell>
          <cell r="I583">
            <v>3238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960</v>
          </cell>
          <cell r="O583">
            <v>0</v>
          </cell>
          <cell r="P583">
            <v>960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 t="str">
            <v/>
          </cell>
          <cell r="AH583" t="str">
            <v/>
          </cell>
          <cell r="AI583" t="str">
            <v>KR21P14292960</v>
          </cell>
          <cell r="AJ583" t="str">
            <v>TAVWAIBEBV1.ARFQ</v>
          </cell>
          <cell r="AK583" t="str">
            <v>0.000041</v>
          </cell>
          <cell r="AL583" t="str">
            <v>1</v>
          </cell>
          <cell r="AM583" t="str">
            <v>F</v>
          </cell>
          <cell r="AN583" t="str">
            <v>M0</v>
          </cell>
          <cell r="AO583" t="str">
            <v>Active(Model)</v>
          </cell>
          <cell r="AP583" t="str">
            <v/>
          </cell>
          <cell r="AQ583" t="str">
            <v/>
          </cell>
          <cell r="AR583" t="str">
            <v>Y</v>
          </cell>
          <cell r="AS583" t="str">
            <v/>
          </cell>
          <cell r="AT583" t="str">
            <v>IN</v>
          </cell>
          <cell r="AU583" t="str">
            <v>Infotainment</v>
          </cell>
          <cell r="AV583" t="str">
            <v>INCO</v>
          </cell>
          <cell r="AW583" t="str">
            <v>Connectivity</v>
          </cell>
          <cell r="AX583" t="str">
            <v>INCOTE</v>
          </cell>
          <cell r="AY583" t="str">
            <v>Telematics</v>
          </cell>
          <cell r="AZ583" t="str">
            <v>INCOTELA</v>
          </cell>
          <cell r="BA583" t="str">
            <v>Telematics LTE-A</v>
          </cell>
        </row>
        <row r="584">
          <cell r="E584" t="str">
            <v>TLVUM3IU-W.BB52HXX</v>
          </cell>
          <cell r="F584">
            <v>221</v>
          </cell>
          <cell r="G584">
            <v>0</v>
          </cell>
          <cell r="H584">
            <v>0</v>
          </cell>
          <cell r="I584">
            <v>221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250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 t="str">
            <v/>
          </cell>
          <cell r="AH584" t="str">
            <v/>
          </cell>
          <cell r="AI584" t="str">
            <v>KR21P14292960</v>
          </cell>
          <cell r="AJ584" t="str">
            <v>TAVWAIBEWV1.ARFQ</v>
          </cell>
          <cell r="AK584" t="str">
            <v>0.000041</v>
          </cell>
          <cell r="AL584" t="str">
            <v>1</v>
          </cell>
          <cell r="AM584" t="str">
            <v>F</v>
          </cell>
          <cell r="AN584" t="str">
            <v>M0</v>
          </cell>
          <cell r="AO584" t="str">
            <v>Active(Model)</v>
          </cell>
          <cell r="AP584" t="str">
            <v/>
          </cell>
          <cell r="AQ584" t="str">
            <v/>
          </cell>
          <cell r="AR584" t="str">
            <v>Y</v>
          </cell>
          <cell r="AS584" t="str">
            <v/>
          </cell>
          <cell r="AT584" t="str">
            <v>IN</v>
          </cell>
          <cell r="AU584" t="str">
            <v>Infotainment</v>
          </cell>
          <cell r="AV584" t="str">
            <v>INCO</v>
          </cell>
          <cell r="AW584" t="str">
            <v>Connectivity</v>
          </cell>
          <cell r="AX584" t="str">
            <v>INCOTE</v>
          </cell>
          <cell r="AY584" t="str">
            <v>Telematics</v>
          </cell>
          <cell r="AZ584" t="str">
            <v>INCOTELA</v>
          </cell>
          <cell r="BA584" t="str">
            <v>Telematics LTE-A</v>
          </cell>
        </row>
        <row r="585">
          <cell r="E585" t="str">
            <v>TLVUW3IU-E.BB41HXX</v>
          </cell>
          <cell r="F585">
            <v>0</v>
          </cell>
          <cell r="G585">
            <v>0</v>
          </cell>
          <cell r="H585">
            <v>0</v>
          </cell>
          <cell r="I585">
            <v>2850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2850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 t="str">
            <v/>
          </cell>
          <cell r="AH585" t="str">
            <v/>
          </cell>
          <cell r="AI585" t="str">
            <v>KR21P14292960</v>
          </cell>
          <cell r="AJ585" t="str">
            <v>TAVWAIBGEV1.ARFQ</v>
          </cell>
          <cell r="AK585" t="str">
            <v>0.001367</v>
          </cell>
          <cell r="AL585" t="str">
            <v>1</v>
          </cell>
          <cell r="AM585" t="str">
            <v>F</v>
          </cell>
          <cell r="AN585" t="str">
            <v>M0</v>
          </cell>
          <cell r="AO585" t="str">
            <v>Active(Model)</v>
          </cell>
          <cell r="AP585" t="str">
            <v/>
          </cell>
          <cell r="AQ585" t="str">
            <v/>
          </cell>
          <cell r="AR585" t="str">
            <v>Y</v>
          </cell>
          <cell r="AS585" t="str">
            <v/>
          </cell>
          <cell r="AT585" t="str">
            <v>IN</v>
          </cell>
          <cell r="AU585" t="str">
            <v>Infotainment</v>
          </cell>
          <cell r="AV585" t="str">
            <v>INCO</v>
          </cell>
          <cell r="AW585" t="str">
            <v>Connectivity</v>
          </cell>
          <cell r="AX585" t="str">
            <v>INCOTE</v>
          </cell>
          <cell r="AY585" t="str">
            <v>Telematics</v>
          </cell>
          <cell r="AZ585" t="str">
            <v>INCOTELA</v>
          </cell>
          <cell r="BA585" t="str">
            <v>Telematics LTE-A</v>
          </cell>
        </row>
        <row r="586">
          <cell r="E586" t="str">
            <v>TLVUW3IU-E.BD51HXX</v>
          </cell>
          <cell r="F586">
            <v>3</v>
          </cell>
          <cell r="G586">
            <v>0</v>
          </cell>
          <cell r="H586">
            <v>0</v>
          </cell>
          <cell r="I586">
            <v>3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1061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 t="str">
            <v/>
          </cell>
          <cell r="AH586" t="str">
            <v/>
          </cell>
          <cell r="AI586" t="str">
            <v>KR21P14292960</v>
          </cell>
          <cell r="AJ586" t="str">
            <v>TAVWAIBGEV1.ARFQ</v>
          </cell>
          <cell r="AK586" t="str">
            <v>0.001367</v>
          </cell>
          <cell r="AL586" t="str">
            <v>1</v>
          </cell>
          <cell r="AM586" t="str">
            <v>F</v>
          </cell>
          <cell r="AN586" t="str">
            <v>M0</v>
          </cell>
          <cell r="AO586" t="str">
            <v>Active(Model)</v>
          </cell>
          <cell r="AP586" t="str">
            <v/>
          </cell>
          <cell r="AQ586" t="str">
            <v/>
          </cell>
          <cell r="AR586" t="str">
            <v>Y</v>
          </cell>
          <cell r="AS586" t="str">
            <v/>
          </cell>
          <cell r="AT586" t="str">
            <v>IN</v>
          </cell>
          <cell r="AU586" t="str">
            <v>Infotainment</v>
          </cell>
          <cell r="AV586" t="str">
            <v>INCO</v>
          </cell>
          <cell r="AW586" t="str">
            <v>Connectivity</v>
          </cell>
          <cell r="AX586" t="str">
            <v>INCOTE</v>
          </cell>
          <cell r="AY586" t="str">
            <v>Telematics</v>
          </cell>
          <cell r="AZ586" t="str">
            <v>INCOTELA</v>
          </cell>
          <cell r="BA586" t="str">
            <v>Telematics LTE-A</v>
          </cell>
        </row>
        <row r="587">
          <cell r="E587" t="str">
            <v>TN1R23NC.BCB615</v>
          </cell>
          <cell r="F587">
            <v>11963</v>
          </cell>
          <cell r="G587">
            <v>0</v>
          </cell>
          <cell r="H587">
            <v>5</v>
          </cell>
          <cell r="I587">
            <v>13313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12980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 t="str">
            <v/>
          </cell>
          <cell r="AH587" t="str">
            <v/>
          </cell>
          <cell r="AI587" t="str">
            <v>KR16P10449290</v>
          </cell>
          <cell r="AJ587" t="str">
            <v>TFBMENBN1B1.ARFQ</v>
          </cell>
          <cell r="AK587" t="str">
            <v>0.001600</v>
          </cell>
          <cell r="AL587" t="str">
            <v>1</v>
          </cell>
          <cell r="AM587" t="str">
            <v>F</v>
          </cell>
          <cell r="AN587" t="str">
            <v>M0</v>
          </cell>
          <cell r="AO587" t="str">
            <v>Active(Model)</v>
          </cell>
          <cell r="AP587" t="str">
            <v/>
          </cell>
          <cell r="AQ587" t="str">
            <v/>
          </cell>
          <cell r="AR587" t="str">
            <v>Y</v>
          </cell>
          <cell r="AS587" t="str">
            <v/>
          </cell>
          <cell r="AT587" t="str">
            <v>IN</v>
          </cell>
          <cell r="AU587" t="str">
            <v>Infotainment</v>
          </cell>
          <cell r="AV587" t="str">
            <v>INCO</v>
          </cell>
          <cell r="AW587" t="str">
            <v>Connectivity</v>
          </cell>
          <cell r="AX587" t="str">
            <v>INCOTE</v>
          </cell>
          <cell r="AY587" t="str">
            <v>Telematics</v>
          </cell>
          <cell r="AZ587" t="str">
            <v>INCOTEFG</v>
          </cell>
          <cell r="BA587" t="str">
            <v>Telematics 5G</v>
          </cell>
        </row>
        <row r="588">
          <cell r="E588" t="str">
            <v>TN1R23NE.BEB620</v>
          </cell>
          <cell r="F588">
            <v>15</v>
          </cell>
          <cell r="G588">
            <v>0</v>
          </cell>
          <cell r="H588">
            <v>0</v>
          </cell>
          <cell r="I588">
            <v>9415</v>
          </cell>
          <cell r="J588">
            <v>2</v>
          </cell>
          <cell r="K588">
            <v>0</v>
          </cell>
          <cell r="L588">
            <v>0</v>
          </cell>
          <cell r="M588">
            <v>0</v>
          </cell>
          <cell r="N588">
            <v>4000</v>
          </cell>
          <cell r="O588">
            <v>6702</v>
          </cell>
          <cell r="P588">
            <v>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2</v>
          </cell>
          <cell r="AF588">
            <v>0</v>
          </cell>
          <cell r="AG588" t="str">
            <v/>
          </cell>
          <cell r="AH588" t="str">
            <v/>
          </cell>
          <cell r="AI588" t="str">
            <v>KR16P10449290</v>
          </cell>
          <cell r="AJ588" t="str">
            <v>TFBMENBN1B2.ARFQ</v>
          </cell>
          <cell r="AK588" t="str">
            <v>0.001600</v>
          </cell>
          <cell r="AL588" t="str">
            <v>1</v>
          </cell>
          <cell r="AM588" t="str">
            <v>F</v>
          </cell>
          <cell r="AN588" t="str">
            <v>M0</v>
          </cell>
          <cell r="AO588" t="str">
            <v>Active(Model)</v>
          </cell>
          <cell r="AP588" t="str">
            <v/>
          </cell>
          <cell r="AQ588" t="str">
            <v/>
          </cell>
          <cell r="AR588" t="str">
            <v>Y</v>
          </cell>
          <cell r="AS588" t="str">
            <v/>
          </cell>
          <cell r="AT588" t="str">
            <v>IN</v>
          </cell>
          <cell r="AU588" t="str">
            <v>Infotainment</v>
          </cell>
          <cell r="AV588" t="str">
            <v>INCO</v>
          </cell>
          <cell r="AW588" t="str">
            <v>Connectivity</v>
          </cell>
          <cell r="AX588" t="str">
            <v>INCOTE</v>
          </cell>
          <cell r="AY588" t="str">
            <v>Telematics</v>
          </cell>
          <cell r="AZ588" t="str">
            <v>INCOTEFG</v>
          </cell>
          <cell r="BA588" t="str">
            <v>Telematics 5G</v>
          </cell>
        </row>
        <row r="589">
          <cell r="E589" t="str">
            <v>TN1R23NN.BUB520S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284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 t="str">
            <v/>
          </cell>
          <cell r="AH589" t="str">
            <v/>
          </cell>
          <cell r="AI589" t="str">
            <v>KR16P10449290</v>
          </cell>
          <cell r="AJ589" t="str">
            <v>TFBMENBN1B5.ARFQ</v>
          </cell>
          <cell r="AK589" t="str">
            <v>0.001600</v>
          </cell>
          <cell r="AL589" t="str">
            <v>1</v>
          </cell>
          <cell r="AM589" t="str">
            <v>F</v>
          </cell>
          <cell r="AN589" t="str">
            <v>M0</v>
          </cell>
          <cell r="AO589" t="str">
            <v>Active(Model)</v>
          </cell>
          <cell r="AP589" t="str">
            <v/>
          </cell>
          <cell r="AQ589" t="str">
            <v/>
          </cell>
          <cell r="AR589" t="str">
            <v>Y</v>
          </cell>
          <cell r="AS589" t="str">
            <v/>
          </cell>
          <cell r="AT589" t="str">
            <v>IN</v>
          </cell>
          <cell r="AU589" t="str">
            <v>Infotainment</v>
          </cell>
          <cell r="AV589" t="str">
            <v>INCO</v>
          </cell>
          <cell r="AW589" t="str">
            <v>Connectivity</v>
          </cell>
          <cell r="AX589" t="str">
            <v>INCOTE</v>
          </cell>
          <cell r="AY589" t="str">
            <v>Telematics</v>
          </cell>
          <cell r="AZ589" t="str">
            <v>INCOTEFG</v>
          </cell>
          <cell r="BA589" t="str">
            <v>Telematics 5G</v>
          </cell>
        </row>
        <row r="590">
          <cell r="E590" t="str">
            <v>TN1R23NN.BUB615</v>
          </cell>
          <cell r="F590">
            <v>0</v>
          </cell>
          <cell r="G590">
            <v>0</v>
          </cell>
          <cell r="H590">
            <v>0</v>
          </cell>
          <cell r="I590">
            <v>4487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 t="str">
            <v/>
          </cell>
          <cell r="AH590" t="str">
            <v/>
          </cell>
          <cell r="AI590" t="str">
            <v>KR16P10449290</v>
          </cell>
          <cell r="AJ590" t="str">
            <v>TFBMENBN1B5.ARFQ</v>
          </cell>
          <cell r="AK590" t="str">
            <v>0.001600</v>
          </cell>
          <cell r="AL590" t="str">
            <v>1</v>
          </cell>
          <cell r="AM590" t="str">
            <v>F</v>
          </cell>
          <cell r="AN590" t="str">
            <v>M0</v>
          </cell>
          <cell r="AO590" t="str">
            <v>Active(Model)</v>
          </cell>
          <cell r="AP590" t="str">
            <v/>
          </cell>
          <cell r="AQ590" t="str">
            <v/>
          </cell>
          <cell r="AR590" t="str">
            <v>Y</v>
          </cell>
          <cell r="AS590" t="str">
            <v/>
          </cell>
          <cell r="AT590" t="str">
            <v>IN</v>
          </cell>
          <cell r="AU590" t="str">
            <v>Infotainment</v>
          </cell>
          <cell r="AV590" t="str">
            <v>INCO</v>
          </cell>
          <cell r="AW590" t="str">
            <v>Connectivity</v>
          </cell>
          <cell r="AX590" t="str">
            <v>INCOTE</v>
          </cell>
          <cell r="AY590" t="str">
            <v>Telematics</v>
          </cell>
          <cell r="AZ590" t="str">
            <v>INCOTEFG</v>
          </cell>
          <cell r="BA590" t="str">
            <v>Telematics 5G</v>
          </cell>
        </row>
        <row r="591">
          <cell r="E591" t="str">
            <v>TN1R23NR.BRB620</v>
          </cell>
          <cell r="F591">
            <v>0</v>
          </cell>
          <cell r="G591">
            <v>0</v>
          </cell>
          <cell r="H591">
            <v>0</v>
          </cell>
          <cell r="I591">
            <v>3195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4843</v>
          </cell>
          <cell r="O591">
            <v>0</v>
          </cell>
          <cell r="P591">
            <v>4843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 t="str">
            <v/>
          </cell>
          <cell r="AH591" t="str">
            <v/>
          </cell>
          <cell r="AI591" t="str">
            <v>KR16P10449290</v>
          </cell>
          <cell r="AJ591" t="str">
            <v>TFBMENBN1B4.ARFQ</v>
          </cell>
          <cell r="AK591" t="str">
            <v>0.001600</v>
          </cell>
          <cell r="AL591" t="str">
            <v>1</v>
          </cell>
          <cell r="AM591" t="str">
            <v>F</v>
          </cell>
          <cell r="AN591" t="str">
            <v>M0</v>
          </cell>
          <cell r="AO591" t="str">
            <v>Active(Model)</v>
          </cell>
          <cell r="AP591" t="str">
            <v/>
          </cell>
          <cell r="AQ591" t="str">
            <v/>
          </cell>
          <cell r="AR591" t="str">
            <v>Y</v>
          </cell>
          <cell r="AS591" t="str">
            <v/>
          </cell>
          <cell r="AT591" t="str">
            <v>IN</v>
          </cell>
          <cell r="AU591" t="str">
            <v>Infotainment</v>
          </cell>
          <cell r="AV591" t="str">
            <v>INCO</v>
          </cell>
          <cell r="AW591" t="str">
            <v>Connectivity</v>
          </cell>
          <cell r="AX591" t="str">
            <v>INCOTE</v>
          </cell>
          <cell r="AY591" t="str">
            <v>Telematics</v>
          </cell>
          <cell r="AZ591" t="str">
            <v>INCOTEFG</v>
          </cell>
          <cell r="BA591" t="str">
            <v>Telematics 5G</v>
          </cell>
        </row>
        <row r="592">
          <cell r="E592" t="str">
            <v>TN1R26NC.BCB630</v>
          </cell>
          <cell r="F592">
            <v>0</v>
          </cell>
          <cell r="G592">
            <v>0</v>
          </cell>
          <cell r="H592">
            <v>0</v>
          </cell>
          <cell r="I592">
            <v>1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2410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 t="str">
            <v/>
          </cell>
          <cell r="AH592" t="str">
            <v/>
          </cell>
          <cell r="AI592" t="str">
            <v>KR16P10449290</v>
          </cell>
          <cell r="AJ592" t="str">
            <v>TFBMENBN2FA.ARFQ</v>
          </cell>
          <cell r="AK592" t="str">
            <v>0.001600</v>
          </cell>
          <cell r="AL592" t="str">
            <v>1</v>
          </cell>
          <cell r="AM592" t="str">
            <v>F</v>
          </cell>
          <cell r="AN592" t="str">
            <v>M0</v>
          </cell>
          <cell r="AO592" t="str">
            <v>Active(Model)</v>
          </cell>
          <cell r="AP592" t="str">
            <v/>
          </cell>
          <cell r="AQ592" t="str">
            <v/>
          </cell>
          <cell r="AR592" t="str">
            <v>Y</v>
          </cell>
          <cell r="AS592" t="str">
            <v/>
          </cell>
          <cell r="AT592" t="str">
            <v>IN</v>
          </cell>
          <cell r="AU592" t="str">
            <v>Infotainment</v>
          </cell>
          <cell r="AV592" t="str">
            <v>INCO</v>
          </cell>
          <cell r="AW592" t="str">
            <v>Connectivity</v>
          </cell>
          <cell r="AX592" t="str">
            <v>INCOTE</v>
          </cell>
          <cell r="AY592" t="str">
            <v>Telematics</v>
          </cell>
          <cell r="AZ592" t="str">
            <v>INCOTEFG</v>
          </cell>
          <cell r="BA592" t="str">
            <v>Telematics 5G</v>
          </cell>
        </row>
        <row r="593">
          <cell r="E593" t="str">
            <v>TN1T23NC.BCB615</v>
          </cell>
          <cell r="F593">
            <v>0</v>
          </cell>
          <cell r="G593">
            <v>0</v>
          </cell>
          <cell r="H593">
            <v>0</v>
          </cell>
          <cell r="I593">
            <v>160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 t="str">
            <v/>
          </cell>
          <cell r="AH593" t="str">
            <v/>
          </cell>
          <cell r="AI593" t="str">
            <v>KR16P10449290</v>
          </cell>
          <cell r="AJ593" t="str">
            <v>TFBMENBN1B6.ARFQ</v>
          </cell>
          <cell r="AK593" t="str">
            <v>0.002040</v>
          </cell>
          <cell r="AL593" t="str">
            <v>1</v>
          </cell>
          <cell r="AM593" t="str">
            <v>F</v>
          </cell>
          <cell r="AN593" t="str">
            <v>M0</v>
          </cell>
          <cell r="AO593" t="str">
            <v>Active(Model)</v>
          </cell>
          <cell r="AP593" t="str">
            <v/>
          </cell>
          <cell r="AQ593" t="str">
            <v/>
          </cell>
          <cell r="AR593" t="str">
            <v>Y</v>
          </cell>
          <cell r="AS593" t="str">
            <v/>
          </cell>
          <cell r="AT593" t="str">
            <v>IN</v>
          </cell>
          <cell r="AU593" t="str">
            <v>Infotainment</v>
          </cell>
          <cell r="AV593" t="str">
            <v>INCO</v>
          </cell>
          <cell r="AW593" t="str">
            <v>Connectivity</v>
          </cell>
          <cell r="AX593" t="str">
            <v>INCOTE</v>
          </cell>
          <cell r="AY593" t="str">
            <v>Telematics</v>
          </cell>
          <cell r="AZ593" t="str">
            <v>INCOTEFG</v>
          </cell>
          <cell r="BA593" t="str">
            <v>Telematics 5G</v>
          </cell>
        </row>
        <row r="594">
          <cell r="E594" t="str">
            <v>TN1T23NE.BEB620</v>
          </cell>
          <cell r="F594">
            <v>753</v>
          </cell>
          <cell r="G594">
            <v>0</v>
          </cell>
          <cell r="H594">
            <v>0</v>
          </cell>
          <cell r="I594">
            <v>1677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2880</v>
          </cell>
          <cell r="O594">
            <v>2978</v>
          </cell>
          <cell r="P594">
            <v>2880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 t="str">
            <v/>
          </cell>
          <cell r="AH594" t="str">
            <v/>
          </cell>
          <cell r="AI594" t="str">
            <v>KR16P10449290</v>
          </cell>
          <cell r="AJ594" t="str">
            <v>TFBMENBN1B7.ARFQ</v>
          </cell>
          <cell r="AK594" t="str">
            <v>0.002040</v>
          </cell>
          <cell r="AL594" t="str">
            <v>1</v>
          </cell>
          <cell r="AM594" t="str">
            <v>F</v>
          </cell>
          <cell r="AN594" t="str">
            <v>M0</v>
          </cell>
          <cell r="AO594" t="str">
            <v>Active(Model)</v>
          </cell>
          <cell r="AP594" t="str">
            <v/>
          </cell>
          <cell r="AQ594" t="str">
            <v/>
          </cell>
          <cell r="AR594" t="str">
            <v>Y</v>
          </cell>
          <cell r="AS594" t="str">
            <v/>
          </cell>
          <cell r="AT594" t="str">
            <v>IN</v>
          </cell>
          <cell r="AU594" t="str">
            <v>Infotainment</v>
          </cell>
          <cell r="AV594" t="str">
            <v>INCO</v>
          </cell>
          <cell r="AW594" t="str">
            <v>Connectivity</v>
          </cell>
          <cell r="AX594" t="str">
            <v>INCOTE</v>
          </cell>
          <cell r="AY594" t="str">
            <v>Telematics</v>
          </cell>
          <cell r="AZ594" t="str">
            <v>INCOTEFG</v>
          </cell>
          <cell r="BA594" t="str">
            <v>Telematics 5G</v>
          </cell>
        </row>
        <row r="595">
          <cell r="E595" t="str">
            <v>TN1T23NN.BUB615</v>
          </cell>
          <cell r="F595">
            <v>3</v>
          </cell>
          <cell r="G595">
            <v>0</v>
          </cell>
          <cell r="H595">
            <v>0</v>
          </cell>
          <cell r="I595">
            <v>1595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582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 t="str">
            <v/>
          </cell>
          <cell r="AH595" t="str">
            <v/>
          </cell>
          <cell r="AI595" t="str">
            <v>KR16P10449290</v>
          </cell>
          <cell r="AJ595" t="str">
            <v>TFBMENBN1BA.ARFQ</v>
          </cell>
          <cell r="AK595" t="str">
            <v>0.002040</v>
          </cell>
          <cell r="AL595" t="str">
            <v>1</v>
          </cell>
          <cell r="AM595" t="str">
            <v>F</v>
          </cell>
          <cell r="AN595" t="str">
            <v>M0</v>
          </cell>
          <cell r="AO595" t="str">
            <v>Active(Model)</v>
          </cell>
          <cell r="AP595" t="str">
            <v/>
          </cell>
          <cell r="AQ595" t="str">
            <v/>
          </cell>
          <cell r="AR595" t="str">
            <v>Y</v>
          </cell>
          <cell r="AS595" t="str">
            <v/>
          </cell>
          <cell r="AT595" t="str">
            <v>IN</v>
          </cell>
          <cell r="AU595" t="str">
            <v>Infotainment</v>
          </cell>
          <cell r="AV595" t="str">
            <v>INCO</v>
          </cell>
          <cell r="AW595" t="str">
            <v>Connectivity</v>
          </cell>
          <cell r="AX595" t="str">
            <v>INCOTE</v>
          </cell>
          <cell r="AY595" t="str">
            <v>Telematics</v>
          </cell>
          <cell r="AZ595" t="str">
            <v>INCOTEFG</v>
          </cell>
          <cell r="BA595" t="str">
            <v>Telematics 5G</v>
          </cell>
        </row>
        <row r="596">
          <cell r="E596" t="str">
            <v>TN1T23NR.BRB620</v>
          </cell>
          <cell r="F596">
            <v>0</v>
          </cell>
          <cell r="G596">
            <v>0</v>
          </cell>
          <cell r="H596">
            <v>0</v>
          </cell>
          <cell r="I596">
            <v>358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793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 t="str">
            <v/>
          </cell>
          <cell r="AH596" t="str">
            <v/>
          </cell>
          <cell r="AI596" t="str">
            <v>KR16P10449290</v>
          </cell>
          <cell r="AJ596" t="str">
            <v>TFBMENBN1B9.ARFQ</v>
          </cell>
          <cell r="AK596" t="str">
            <v>0.002040</v>
          </cell>
          <cell r="AL596" t="str">
            <v>1</v>
          </cell>
          <cell r="AM596" t="str">
            <v>F</v>
          </cell>
          <cell r="AN596" t="str">
            <v>M0</v>
          </cell>
          <cell r="AO596" t="str">
            <v>Active(Model)</v>
          </cell>
          <cell r="AP596" t="str">
            <v/>
          </cell>
          <cell r="AQ596" t="str">
            <v/>
          </cell>
          <cell r="AR596" t="str">
            <v>Y</v>
          </cell>
          <cell r="AS596" t="str">
            <v/>
          </cell>
          <cell r="AT596" t="str">
            <v>IN</v>
          </cell>
          <cell r="AU596" t="str">
            <v>Infotainment</v>
          </cell>
          <cell r="AV596" t="str">
            <v>INCO</v>
          </cell>
          <cell r="AW596" t="str">
            <v>Connectivity</v>
          </cell>
          <cell r="AX596" t="str">
            <v>INCOTE</v>
          </cell>
          <cell r="AY596" t="str">
            <v>Telematics</v>
          </cell>
          <cell r="AZ596" t="str">
            <v>INCOTEFG</v>
          </cell>
          <cell r="BA596" t="str">
            <v>Telematics 5G</v>
          </cell>
        </row>
        <row r="597">
          <cell r="E597" t="str">
            <v>TR10MV4.AKOR2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742</v>
          </cell>
          <cell r="O597">
            <v>1829</v>
          </cell>
          <cell r="P597">
            <v>742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 t="str">
            <v/>
          </cell>
          <cell r="AH597" t="str">
            <v/>
          </cell>
          <cell r="AI597" t="str">
            <v/>
          </cell>
          <cell r="AJ597" t="str">
            <v/>
          </cell>
          <cell r="AK597" t="str">
            <v>0.441438</v>
          </cell>
          <cell r="AL597" t="str">
            <v>1</v>
          </cell>
          <cell r="AM597" t="str">
            <v>F</v>
          </cell>
          <cell r="AN597" t="str">
            <v>M0</v>
          </cell>
          <cell r="AO597" t="str">
            <v>Active(Model)</v>
          </cell>
          <cell r="AP597" t="str">
            <v/>
          </cell>
          <cell r="AQ597" t="str">
            <v/>
          </cell>
          <cell r="AR597" t="str">
            <v>Y</v>
          </cell>
          <cell r="AS597" t="str">
            <v/>
          </cell>
          <cell r="AT597" t="str">
            <v>WM</v>
          </cell>
          <cell r="AU597" t="str">
            <v>Washing Machine</v>
          </cell>
          <cell r="AV597" t="str">
            <v>WMWL</v>
          </cell>
          <cell r="AW597" t="str">
            <v>Clothes Washer</v>
          </cell>
          <cell r="AX597" t="str">
            <v>WMWLTL</v>
          </cell>
          <cell r="AY597" t="str">
            <v>Clothes Washer_Top Loader</v>
          </cell>
          <cell r="AZ597" t="str">
            <v>WMWLTLFA</v>
          </cell>
          <cell r="BA597" t="str">
            <v>Clothes Washer_Pulsator(Auto)</v>
          </cell>
        </row>
        <row r="598">
          <cell r="E598" t="str">
            <v>TR10WV4.AKOR2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3</v>
          </cell>
          <cell r="O598">
            <v>2</v>
          </cell>
          <cell r="P598">
            <v>3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 t="str">
            <v/>
          </cell>
          <cell r="AH598" t="str">
            <v/>
          </cell>
          <cell r="AI598" t="str">
            <v/>
          </cell>
          <cell r="AJ598" t="str">
            <v/>
          </cell>
          <cell r="AK598" t="str">
            <v>0.441438</v>
          </cell>
          <cell r="AL598" t="str">
            <v>1</v>
          </cell>
          <cell r="AM598" t="str">
            <v>F</v>
          </cell>
          <cell r="AN598" t="str">
            <v>M0</v>
          </cell>
          <cell r="AO598" t="str">
            <v>Active(Model)</v>
          </cell>
          <cell r="AP598" t="str">
            <v/>
          </cell>
          <cell r="AQ598" t="str">
            <v/>
          </cell>
          <cell r="AR598" t="str">
            <v>Y</v>
          </cell>
          <cell r="AS598" t="str">
            <v/>
          </cell>
          <cell r="AT598" t="str">
            <v>WM</v>
          </cell>
          <cell r="AU598" t="str">
            <v>Washing Machine</v>
          </cell>
          <cell r="AV598" t="str">
            <v>WMWL</v>
          </cell>
          <cell r="AW598" t="str">
            <v>Clothes Washer</v>
          </cell>
          <cell r="AX598" t="str">
            <v>WMWLTL</v>
          </cell>
          <cell r="AY598" t="str">
            <v>Clothes Washer_Top Loader</v>
          </cell>
          <cell r="AZ598" t="str">
            <v>WMWLTLFA</v>
          </cell>
          <cell r="BA598" t="str">
            <v>Clothes Washer_Pulsator(Auto)</v>
          </cell>
        </row>
        <row r="599">
          <cell r="E599" t="str">
            <v>TR13MV4.AKOR2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115</v>
          </cell>
          <cell r="O599">
            <v>0</v>
          </cell>
          <cell r="P599">
            <v>115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 t="str">
            <v/>
          </cell>
          <cell r="AH599" t="str">
            <v/>
          </cell>
          <cell r="AI599" t="str">
            <v/>
          </cell>
          <cell r="AJ599" t="str">
            <v/>
          </cell>
          <cell r="AK599" t="str">
            <v>0.441438</v>
          </cell>
          <cell r="AL599" t="str">
            <v>1</v>
          </cell>
          <cell r="AM599" t="str">
            <v>F</v>
          </cell>
          <cell r="AN599" t="str">
            <v>M0</v>
          </cell>
          <cell r="AO599" t="str">
            <v>Active(Model)</v>
          </cell>
          <cell r="AP599" t="str">
            <v/>
          </cell>
          <cell r="AQ599" t="str">
            <v/>
          </cell>
          <cell r="AR599" t="str">
            <v>Y</v>
          </cell>
          <cell r="AS599" t="str">
            <v/>
          </cell>
          <cell r="AT599" t="str">
            <v>WM</v>
          </cell>
          <cell r="AU599" t="str">
            <v>Washing Machine</v>
          </cell>
          <cell r="AV599" t="str">
            <v>WMWL</v>
          </cell>
          <cell r="AW599" t="str">
            <v>Clothes Washer</v>
          </cell>
          <cell r="AX599" t="str">
            <v>WMWLTL</v>
          </cell>
          <cell r="AY599" t="str">
            <v>Clothes Washer_Top Loader</v>
          </cell>
          <cell r="AZ599" t="str">
            <v>WMWLTLFA</v>
          </cell>
          <cell r="BA599" t="str">
            <v>Clothes Washer_Pulsator(Auto)</v>
          </cell>
        </row>
        <row r="600">
          <cell r="E600" t="str">
            <v>TR13WV4.AKOR2</v>
          </cell>
          <cell r="F600">
            <v>1</v>
          </cell>
          <cell r="G600">
            <v>0</v>
          </cell>
          <cell r="H600">
            <v>0</v>
          </cell>
          <cell r="I600">
            <v>1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2277</v>
          </cell>
          <cell r="O600">
            <v>0</v>
          </cell>
          <cell r="P600">
            <v>2277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 t="str">
            <v/>
          </cell>
          <cell r="AH600" t="str">
            <v/>
          </cell>
          <cell r="AI600" t="str">
            <v/>
          </cell>
          <cell r="AJ600" t="str">
            <v/>
          </cell>
          <cell r="AK600" t="str">
            <v>0.441438</v>
          </cell>
          <cell r="AL600" t="str">
            <v>1</v>
          </cell>
          <cell r="AM600" t="str">
            <v>F</v>
          </cell>
          <cell r="AN600" t="str">
            <v>M0</v>
          </cell>
          <cell r="AO600" t="str">
            <v>Active(Model)</v>
          </cell>
          <cell r="AP600" t="str">
            <v/>
          </cell>
          <cell r="AQ600" t="str">
            <v/>
          </cell>
          <cell r="AR600" t="str">
            <v>Y</v>
          </cell>
          <cell r="AS600" t="str">
            <v/>
          </cell>
          <cell r="AT600" t="str">
            <v>WM</v>
          </cell>
          <cell r="AU600" t="str">
            <v>Washing Machine</v>
          </cell>
          <cell r="AV600" t="str">
            <v>WMWL</v>
          </cell>
          <cell r="AW600" t="str">
            <v>Clothes Washer</v>
          </cell>
          <cell r="AX600" t="str">
            <v>WMWLTL</v>
          </cell>
          <cell r="AY600" t="str">
            <v>Clothes Washer_Top Loader</v>
          </cell>
          <cell r="AZ600" t="str">
            <v>WMWLTLFA</v>
          </cell>
          <cell r="BA600" t="str">
            <v>Clothes Washer_Pulsator(Auto)</v>
          </cell>
        </row>
        <row r="601">
          <cell r="E601" t="str">
            <v>TTA20ANEBM.BK31T</v>
          </cell>
          <cell r="F601">
            <v>4</v>
          </cell>
          <cell r="G601">
            <v>0</v>
          </cell>
          <cell r="H601">
            <v>0</v>
          </cell>
          <cell r="I601">
            <v>4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560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 t="str">
            <v/>
          </cell>
          <cell r="AH601" t="str">
            <v/>
          </cell>
          <cell r="AI601" t="str">
            <v>KR15P03124040</v>
          </cell>
          <cell r="AJ601" t="str">
            <v>TAGMANBAX1N.ARFQ</v>
          </cell>
          <cell r="AK601" t="str">
            <v>0.000069</v>
          </cell>
          <cell r="AL601" t="str">
            <v>1</v>
          </cell>
          <cell r="AM601" t="str">
            <v>F</v>
          </cell>
          <cell r="AN601" t="str">
            <v>M0</v>
          </cell>
          <cell r="AO601" t="str">
            <v>Active(Model)</v>
          </cell>
          <cell r="AP601" t="str">
            <v/>
          </cell>
          <cell r="AQ601" t="str">
            <v/>
          </cell>
          <cell r="AR601" t="str">
            <v>Y</v>
          </cell>
          <cell r="AS601" t="str">
            <v/>
          </cell>
          <cell r="AT601" t="str">
            <v>IN</v>
          </cell>
          <cell r="AU601" t="str">
            <v>Infotainment</v>
          </cell>
          <cell r="AV601" t="str">
            <v>INCO</v>
          </cell>
          <cell r="AW601" t="str">
            <v>Connectivity</v>
          </cell>
          <cell r="AX601" t="str">
            <v>INCOTE</v>
          </cell>
          <cell r="AY601" t="str">
            <v>Telematics</v>
          </cell>
          <cell r="AZ601" t="str">
            <v>INCOTELA</v>
          </cell>
          <cell r="BA601" t="str">
            <v>Telematics LTE-A</v>
          </cell>
        </row>
        <row r="602">
          <cell r="E602" t="str">
            <v>TTA20ANEBM.BKR1T</v>
          </cell>
          <cell r="F602">
            <v>0</v>
          </cell>
          <cell r="G602">
            <v>0</v>
          </cell>
          <cell r="H602">
            <v>1</v>
          </cell>
          <cell r="I602">
            <v>1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133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 t="str">
            <v/>
          </cell>
          <cell r="AH602" t="str">
            <v/>
          </cell>
          <cell r="AI602" t="str">
            <v>KR15P03124040</v>
          </cell>
          <cell r="AJ602" t="str">
            <v>TAGMANBAX1N.ARFQ</v>
          </cell>
          <cell r="AK602" t="str">
            <v>0.000069</v>
          </cell>
          <cell r="AL602" t="str">
            <v>1</v>
          </cell>
          <cell r="AM602" t="str">
            <v>F</v>
          </cell>
          <cell r="AN602" t="str">
            <v>M0</v>
          </cell>
          <cell r="AO602" t="str">
            <v>Active(Model)</v>
          </cell>
          <cell r="AP602" t="str">
            <v/>
          </cell>
          <cell r="AQ602" t="str">
            <v/>
          </cell>
          <cell r="AR602" t="str">
            <v>Y</v>
          </cell>
          <cell r="AS602" t="str">
            <v/>
          </cell>
          <cell r="AT602" t="str">
            <v>IN</v>
          </cell>
          <cell r="AU602" t="str">
            <v>Infotainment</v>
          </cell>
          <cell r="AV602" t="str">
            <v>INCO</v>
          </cell>
          <cell r="AW602" t="str">
            <v>Connectivity</v>
          </cell>
          <cell r="AX602" t="str">
            <v>INCOTE</v>
          </cell>
          <cell r="AY602" t="str">
            <v>Telematics</v>
          </cell>
          <cell r="AZ602" t="str">
            <v>INCOTELA</v>
          </cell>
          <cell r="BA602" t="str">
            <v>Telematics LTE-A</v>
          </cell>
        </row>
        <row r="603">
          <cell r="E603" t="str">
            <v>TTA20ANEBN.BK31T</v>
          </cell>
          <cell r="F603">
            <v>1</v>
          </cell>
          <cell r="G603">
            <v>0</v>
          </cell>
          <cell r="H603">
            <v>0</v>
          </cell>
          <cell r="I603">
            <v>1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5040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 t="str">
            <v/>
          </cell>
          <cell r="AH603" t="str">
            <v/>
          </cell>
          <cell r="AI603" t="str">
            <v>KR15P03124040</v>
          </cell>
          <cell r="AJ603" t="str">
            <v>TAGMANBAN1N.ARFQ</v>
          </cell>
          <cell r="AK603" t="str">
            <v>0.001434</v>
          </cell>
          <cell r="AL603" t="str">
            <v>1</v>
          </cell>
          <cell r="AM603" t="str">
            <v>F</v>
          </cell>
          <cell r="AN603" t="str">
            <v>M0</v>
          </cell>
          <cell r="AO603" t="str">
            <v>Active(Model)</v>
          </cell>
          <cell r="AP603" t="str">
            <v/>
          </cell>
          <cell r="AQ603" t="str">
            <v/>
          </cell>
          <cell r="AR603" t="str">
            <v>Y</v>
          </cell>
          <cell r="AS603" t="str">
            <v/>
          </cell>
          <cell r="AT603" t="str">
            <v>IN</v>
          </cell>
          <cell r="AU603" t="str">
            <v>Infotainment</v>
          </cell>
          <cell r="AV603" t="str">
            <v>INCO</v>
          </cell>
          <cell r="AW603" t="str">
            <v>Connectivity</v>
          </cell>
          <cell r="AX603" t="str">
            <v>INCOTE</v>
          </cell>
          <cell r="AY603" t="str">
            <v>Telematics</v>
          </cell>
          <cell r="AZ603" t="str">
            <v>INCOTELA</v>
          </cell>
          <cell r="BA603" t="str">
            <v>Telematics LTE-A</v>
          </cell>
        </row>
        <row r="604">
          <cell r="E604" t="str">
            <v>TTA20ANEBN.BKR1T</v>
          </cell>
          <cell r="F604">
            <v>6907</v>
          </cell>
          <cell r="G604">
            <v>0</v>
          </cell>
          <cell r="H604">
            <v>1</v>
          </cell>
          <cell r="I604">
            <v>6908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5760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 t="str">
            <v/>
          </cell>
          <cell r="AH604" t="str">
            <v/>
          </cell>
          <cell r="AI604" t="str">
            <v>KR15P03124040</v>
          </cell>
          <cell r="AJ604" t="str">
            <v>TAGMANBAN1N.ARFQ</v>
          </cell>
          <cell r="AK604" t="str">
            <v>0.001434</v>
          </cell>
          <cell r="AL604" t="str">
            <v>1</v>
          </cell>
          <cell r="AM604" t="str">
            <v>F</v>
          </cell>
          <cell r="AN604" t="str">
            <v>M0</v>
          </cell>
          <cell r="AO604" t="str">
            <v>Active(Model)</v>
          </cell>
          <cell r="AP604" t="str">
            <v/>
          </cell>
          <cell r="AQ604" t="str">
            <v/>
          </cell>
          <cell r="AR604" t="str">
            <v>Y</v>
          </cell>
          <cell r="AS604" t="str">
            <v/>
          </cell>
          <cell r="AT604" t="str">
            <v>IN</v>
          </cell>
          <cell r="AU604" t="str">
            <v>Infotainment</v>
          </cell>
          <cell r="AV604" t="str">
            <v>INCO</v>
          </cell>
          <cell r="AW604" t="str">
            <v>Connectivity</v>
          </cell>
          <cell r="AX604" t="str">
            <v>INCOTE</v>
          </cell>
          <cell r="AY604" t="str">
            <v>Telematics</v>
          </cell>
          <cell r="AZ604" t="str">
            <v>INCOTELA</v>
          </cell>
          <cell r="BA604" t="str">
            <v>Telematics LTE-A</v>
          </cell>
        </row>
        <row r="605">
          <cell r="E605" t="str">
            <v>TTA20ANEBN.BUS1T</v>
          </cell>
          <cell r="F605">
            <v>1</v>
          </cell>
          <cell r="G605">
            <v>0</v>
          </cell>
          <cell r="H605">
            <v>0</v>
          </cell>
          <cell r="I605">
            <v>1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1000</v>
          </cell>
          <cell r="O605">
            <v>0</v>
          </cell>
          <cell r="P605">
            <v>1000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 t="str">
            <v/>
          </cell>
          <cell r="AH605" t="str">
            <v/>
          </cell>
          <cell r="AI605" t="str">
            <v>KR15P03124040</v>
          </cell>
          <cell r="AJ605" t="str">
            <v>TAGMANBAN1N.ARFQ</v>
          </cell>
          <cell r="AK605" t="str">
            <v>0.001434</v>
          </cell>
          <cell r="AL605" t="str">
            <v>1</v>
          </cell>
          <cell r="AM605" t="str">
            <v>F</v>
          </cell>
          <cell r="AN605" t="str">
            <v>M0</v>
          </cell>
          <cell r="AO605" t="str">
            <v>Active(Model)</v>
          </cell>
          <cell r="AP605" t="str">
            <v/>
          </cell>
          <cell r="AQ605" t="str">
            <v/>
          </cell>
          <cell r="AR605" t="str">
            <v>Y</v>
          </cell>
          <cell r="AS605" t="str">
            <v/>
          </cell>
          <cell r="AT605" t="str">
            <v>IN</v>
          </cell>
          <cell r="AU605" t="str">
            <v>Infotainment</v>
          </cell>
          <cell r="AV605" t="str">
            <v>INCO</v>
          </cell>
          <cell r="AW605" t="str">
            <v>Connectivity</v>
          </cell>
          <cell r="AX605" t="str">
            <v>INCOTE</v>
          </cell>
          <cell r="AY605" t="str">
            <v>Telematics</v>
          </cell>
          <cell r="AZ605" t="str">
            <v>INCOTELA</v>
          </cell>
          <cell r="BA605" t="str">
            <v>Telematics LTE-A</v>
          </cell>
        </row>
        <row r="606">
          <cell r="E606" t="str">
            <v>TTA20ANEBR.BK313</v>
          </cell>
          <cell r="F606">
            <v>263</v>
          </cell>
          <cell r="G606">
            <v>0</v>
          </cell>
          <cell r="H606">
            <v>96</v>
          </cell>
          <cell r="I606">
            <v>359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 t="str">
            <v/>
          </cell>
          <cell r="AH606" t="str">
            <v/>
          </cell>
          <cell r="AI606" t="str">
            <v>KR15P03124040</v>
          </cell>
          <cell r="AJ606" t="str">
            <v>TAGMANBAK1N.ARFQ</v>
          </cell>
          <cell r="AK606" t="str">
            <v>0.000069</v>
          </cell>
          <cell r="AL606" t="str">
            <v>1</v>
          </cell>
          <cell r="AM606" t="str">
            <v>F</v>
          </cell>
          <cell r="AN606" t="str">
            <v>M0</v>
          </cell>
          <cell r="AO606" t="str">
            <v>Active(Model)</v>
          </cell>
          <cell r="AP606" t="str">
            <v/>
          </cell>
          <cell r="AQ606" t="str">
            <v/>
          </cell>
          <cell r="AR606" t="str">
            <v>Y</v>
          </cell>
          <cell r="AS606" t="str">
            <v/>
          </cell>
          <cell r="AT606" t="str">
            <v>IN</v>
          </cell>
          <cell r="AU606" t="str">
            <v>Infotainment</v>
          </cell>
          <cell r="AV606" t="str">
            <v>INCO</v>
          </cell>
          <cell r="AW606" t="str">
            <v>Connectivity</v>
          </cell>
          <cell r="AX606" t="str">
            <v>INCOTE</v>
          </cell>
          <cell r="AY606" t="str">
            <v>Telematics</v>
          </cell>
          <cell r="AZ606" t="str">
            <v>INCOTELA</v>
          </cell>
          <cell r="BA606" t="str">
            <v>Telematics LTE-A</v>
          </cell>
        </row>
        <row r="607">
          <cell r="E607" t="str">
            <v>TTA20ANEBR.BKR13</v>
          </cell>
          <cell r="F607">
            <v>100</v>
          </cell>
          <cell r="G607">
            <v>0</v>
          </cell>
          <cell r="H607">
            <v>0</v>
          </cell>
          <cell r="I607">
            <v>100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 t="str">
            <v/>
          </cell>
          <cell r="AH607" t="str">
            <v/>
          </cell>
          <cell r="AI607" t="str">
            <v>KR15P03124040</v>
          </cell>
          <cell r="AJ607" t="str">
            <v>TAGMANBAK1N.ARFQ</v>
          </cell>
          <cell r="AK607" t="str">
            <v>0.000069</v>
          </cell>
          <cell r="AL607" t="str">
            <v>1</v>
          </cell>
          <cell r="AM607" t="str">
            <v>F</v>
          </cell>
          <cell r="AN607" t="str">
            <v>M0</v>
          </cell>
          <cell r="AO607" t="str">
            <v>Active(Model)</v>
          </cell>
          <cell r="AP607" t="str">
            <v/>
          </cell>
          <cell r="AQ607" t="str">
            <v/>
          </cell>
          <cell r="AR607" t="str">
            <v>Y</v>
          </cell>
          <cell r="AS607" t="str">
            <v/>
          </cell>
          <cell r="AT607" t="str">
            <v>IN</v>
          </cell>
          <cell r="AU607" t="str">
            <v>Infotainment</v>
          </cell>
          <cell r="AV607" t="str">
            <v>INCO</v>
          </cell>
          <cell r="AW607" t="str">
            <v>Connectivity</v>
          </cell>
          <cell r="AX607" t="str">
            <v>INCOTE</v>
          </cell>
          <cell r="AY607" t="str">
            <v>Telematics</v>
          </cell>
          <cell r="AZ607" t="str">
            <v>INCOTELA</v>
          </cell>
          <cell r="BA607" t="str">
            <v>Telematics LTE-A</v>
          </cell>
        </row>
        <row r="608">
          <cell r="E608" t="str">
            <v>TTA20ANEBS.BBJ1T</v>
          </cell>
          <cell r="F608">
            <v>5718</v>
          </cell>
          <cell r="G608">
            <v>0</v>
          </cell>
          <cell r="H608">
            <v>1</v>
          </cell>
          <cell r="I608">
            <v>5719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 t="str">
            <v/>
          </cell>
          <cell r="AH608" t="str">
            <v/>
          </cell>
          <cell r="AI608" t="str">
            <v>KR15P03124040</v>
          </cell>
          <cell r="AJ608" t="str">
            <v>TAGMANBAB1N.ARFQ</v>
          </cell>
          <cell r="AK608" t="str">
            <v>0.000069</v>
          </cell>
          <cell r="AL608" t="str">
            <v>1</v>
          </cell>
          <cell r="AM608" t="str">
            <v>F</v>
          </cell>
          <cell r="AN608" t="str">
            <v>M0</v>
          </cell>
          <cell r="AO608" t="str">
            <v>Active(Model)</v>
          </cell>
          <cell r="AP608" t="str">
            <v/>
          </cell>
          <cell r="AQ608" t="str">
            <v/>
          </cell>
          <cell r="AR608" t="str">
            <v>Y</v>
          </cell>
          <cell r="AS608" t="str">
            <v/>
          </cell>
          <cell r="AT608" t="str">
            <v>IN</v>
          </cell>
          <cell r="AU608" t="str">
            <v>Infotainment</v>
          </cell>
          <cell r="AV608" t="str">
            <v>INCO</v>
          </cell>
          <cell r="AW608" t="str">
            <v>Connectivity</v>
          </cell>
          <cell r="AX608" t="str">
            <v>INCOTE</v>
          </cell>
          <cell r="AY608" t="str">
            <v>Telematics</v>
          </cell>
          <cell r="AZ608" t="str">
            <v>INCOTELA</v>
          </cell>
          <cell r="BA608" t="str">
            <v>Telematics LTE-A</v>
          </cell>
        </row>
        <row r="609">
          <cell r="E609" t="str">
            <v>TTA20ANEBS.BBR07S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1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 t="str">
            <v/>
          </cell>
          <cell r="AH609" t="str">
            <v/>
          </cell>
          <cell r="AI609" t="str">
            <v>KR15P03124040</v>
          </cell>
          <cell r="AJ609" t="str">
            <v>TAGMANBA1D1.ARFQ</v>
          </cell>
          <cell r="AK609" t="str">
            <v>0.000069</v>
          </cell>
          <cell r="AL609" t="str">
            <v>1</v>
          </cell>
          <cell r="AM609" t="str">
            <v>F</v>
          </cell>
          <cell r="AN609" t="str">
            <v>M0</v>
          </cell>
          <cell r="AO609" t="str">
            <v>Active(Model)</v>
          </cell>
          <cell r="AP609" t="str">
            <v/>
          </cell>
          <cell r="AQ609" t="str">
            <v/>
          </cell>
          <cell r="AR609" t="str">
            <v>Y</v>
          </cell>
          <cell r="AS609" t="str">
            <v/>
          </cell>
          <cell r="AT609" t="str">
            <v>IN</v>
          </cell>
          <cell r="AU609" t="str">
            <v>Infotainment</v>
          </cell>
          <cell r="AV609" t="str">
            <v>INCO</v>
          </cell>
          <cell r="AW609" t="str">
            <v>Connectivity</v>
          </cell>
          <cell r="AX609" t="str">
            <v>INCOTE</v>
          </cell>
          <cell r="AY609" t="str">
            <v>Telematics</v>
          </cell>
          <cell r="AZ609" t="str">
            <v>INCOTELA</v>
          </cell>
          <cell r="BA609" t="str">
            <v>Telematics LTE-A</v>
          </cell>
        </row>
        <row r="610">
          <cell r="E610" t="str">
            <v>TTA20ANEBS.BBR1SS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19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 t="str">
            <v/>
          </cell>
          <cell r="AH610" t="str">
            <v/>
          </cell>
          <cell r="AI610" t="str">
            <v>KR15P03124040</v>
          </cell>
          <cell r="AJ610" t="str">
            <v>TAGMANBA1D1.ARFQ</v>
          </cell>
          <cell r="AK610" t="str">
            <v>0.000069</v>
          </cell>
          <cell r="AL610" t="str">
            <v>1</v>
          </cell>
          <cell r="AM610" t="str">
            <v>F</v>
          </cell>
          <cell r="AN610" t="str">
            <v>M0</v>
          </cell>
          <cell r="AO610" t="str">
            <v>Active(Model)</v>
          </cell>
          <cell r="AP610" t="str">
            <v/>
          </cell>
          <cell r="AQ610" t="str">
            <v/>
          </cell>
          <cell r="AR610" t="str">
            <v>Y</v>
          </cell>
          <cell r="AS610" t="str">
            <v/>
          </cell>
          <cell r="AT610" t="str">
            <v>IN</v>
          </cell>
          <cell r="AU610" t="str">
            <v>Infotainment</v>
          </cell>
          <cell r="AV610" t="str">
            <v>INCO</v>
          </cell>
          <cell r="AW610" t="str">
            <v>Connectivity</v>
          </cell>
          <cell r="AX610" t="str">
            <v>INCOTE</v>
          </cell>
          <cell r="AY610" t="str">
            <v>Telematics</v>
          </cell>
          <cell r="AZ610" t="str">
            <v>INCOTELA</v>
          </cell>
          <cell r="BA610" t="str">
            <v>Telematics LTE-A</v>
          </cell>
        </row>
        <row r="611">
          <cell r="E611" t="str">
            <v>TTA20ANEBS.BBR1T</v>
          </cell>
          <cell r="F611">
            <v>0</v>
          </cell>
          <cell r="G611">
            <v>0</v>
          </cell>
          <cell r="H611">
            <v>36</v>
          </cell>
          <cell r="I611">
            <v>36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344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 t="str">
            <v/>
          </cell>
          <cell r="AH611" t="str">
            <v/>
          </cell>
          <cell r="AI611" t="str">
            <v>KR15P03124040</v>
          </cell>
          <cell r="AJ611" t="str">
            <v>TAGMANBAB1N.ARFQ</v>
          </cell>
          <cell r="AK611" t="str">
            <v>0.000069</v>
          </cell>
          <cell r="AL611" t="str">
            <v>1</v>
          </cell>
          <cell r="AM611" t="str">
            <v>F</v>
          </cell>
          <cell r="AN611" t="str">
            <v>M0</v>
          </cell>
          <cell r="AO611" t="str">
            <v>Active(Model)</v>
          </cell>
          <cell r="AP611" t="str">
            <v/>
          </cell>
          <cell r="AQ611" t="str">
            <v/>
          </cell>
          <cell r="AR611" t="str">
            <v>Y</v>
          </cell>
          <cell r="AS611" t="str">
            <v/>
          </cell>
          <cell r="AT611" t="str">
            <v>IN</v>
          </cell>
          <cell r="AU611" t="str">
            <v>Infotainment</v>
          </cell>
          <cell r="AV611" t="str">
            <v>INCO</v>
          </cell>
          <cell r="AW611" t="str">
            <v>Connectivity</v>
          </cell>
          <cell r="AX611" t="str">
            <v>INCOTE</v>
          </cell>
          <cell r="AY611" t="str">
            <v>Telematics</v>
          </cell>
          <cell r="AZ611" t="str">
            <v>INCOTELA</v>
          </cell>
          <cell r="BA611" t="str">
            <v>Telematics LTE-A</v>
          </cell>
        </row>
        <row r="612">
          <cell r="E612" t="str">
            <v>TTA20BNEBM.BUS1R</v>
          </cell>
          <cell r="F612">
            <v>0</v>
          </cell>
          <cell r="G612">
            <v>0</v>
          </cell>
          <cell r="H612">
            <v>586</v>
          </cell>
          <cell r="I612">
            <v>586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 t="str">
            <v/>
          </cell>
          <cell r="AH612" t="str">
            <v/>
          </cell>
          <cell r="AI612" t="str">
            <v>KR15P03124040</v>
          </cell>
          <cell r="AJ612" t="str">
            <v>TAGMANBBX1N.ARFQ</v>
          </cell>
          <cell r="AK612" t="str">
            <v>0.000069</v>
          </cell>
          <cell r="AL612" t="str">
            <v>1</v>
          </cell>
          <cell r="AM612" t="str">
            <v>F</v>
          </cell>
          <cell r="AN612" t="str">
            <v>M0</v>
          </cell>
          <cell r="AO612" t="str">
            <v>Active(Model)</v>
          </cell>
          <cell r="AP612" t="str">
            <v/>
          </cell>
          <cell r="AQ612" t="str">
            <v/>
          </cell>
          <cell r="AR612" t="str">
            <v>Y</v>
          </cell>
          <cell r="AS612" t="str">
            <v/>
          </cell>
          <cell r="AT612" t="str">
            <v>IN</v>
          </cell>
          <cell r="AU612" t="str">
            <v>Infotainment</v>
          </cell>
          <cell r="AV612" t="str">
            <v>INCO</v>
          </cell>
          <cell r="AW612" t="str">
            <v>Connectivity</v>
          </cell>
          <cell r="AX612" t="str">
            <v>INCOTE</v>
          </cell>
          <cell r="AY612" t="str">
            <v>Telematics</v>
          </cell>
          <cell r="AZ612" t="str">
            <v>INCOTELA</v>
          </cell>
          <cell r="BA612" t="str">
            <v>Telematics LTE-A</v>
          </cell>
        </row>
        <row r="613">
          <cell r="E613" t="str">
            <v>TTA20BNEBM.BUS45</v>
          </cell>
          <cell r="F613">
            <v>2</v>
          </cell>
          <cell r="G613">
            <v>0</v>
          </cell>
          <cell r="H613">
            <v>0</v>
          </cell>
          <cell r="I613">
            <v>2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 t="str">
            <v/>
          </cell>
          <cell r="AH613" t="str">
            <v/>
          </cell>
          <cell r="AI613" t="str">
            <v>KR15P03124040</v>
          </cell>
          <cell r="AJ613" t="str">
            <v>TAGMANBBX4N.ARFQ</v>
          </cell>
          <cell r="AK613" t="str">
            <v>0.000069</v>
          </cell>
          <cell r="AL613" t="str">
            <v>1</v>
          </cell>
          <cell r="AM613" t="str">
            <v>F</v>
          </cell>
          <cell r="AN613" t="str">
            <v>M0</v>
          </cell>
          <cell r="AO613" t="str">
            <v>Active(Model)</v>
          </cell>
          <cell r="AP613" t="str">
            <v/>
          </cell>
          <cell r="AQ613" t="str">
            <v/>
          </cell>
          <cell r="AR613" t="str">
            <v>Y</v>
          </cell>
          <cell r="AS613" t="str">
            <v/>
          </cell>
          <cell r="AT613" t="str">
            <v>IN</v>
          </cell>
          <cell r="AU613" t="str">
            <v>Infotainment</v>
          </cell>
          <cell r="AV613" t="str">
            <v>INCO</v>
          </cell>
          <cell r="AW613" t="str">
            <v>Connectivity</v>
          </cell>
          <cell r="AX613" t="str">
            <v>INCOTE</v>
          </cell>
          <cell r="AY613" t="str">
            <v>Telematics</v>
          </cell>
          <cell r="AZ613" t="str">
            <v>INCOTELA</v>
          </cell>
          <cell r="BA613" t="str">
            <v>Telematics LTE-A</v>
          </cell>
        </row>
        <row r="614">
          <cell r="E614" t="str">
            <v>TTA20BNEBN.BUS1R</v>
          </cell>
          <cell r="F614">
            <v>0</v>
          </cell>
          <cell r="G614">
            <v>0</v>
          </cell>
          <cell r="H614">
            <v>124</v>
          </cell>
          <cell r="I614">
            <v>1068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1000</v>
          </cell>
          <cell r="O614">
            <v>0</v>
          </cell>
          <cell r="P614">
            <v>1000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 t="str">
            <v/>
          </cell>
          <cell r="AH614" t="str">
            <v/>
          </cell>
          <cell r="AI614" t="str">
            <v>KR15P03124040</v>
          </cell>
          <cell r="AJ614" t="str">
            <v>TAGMANBBN1N.ARFQ</v>
          </cell>
          <cell r="AK614" t="str">
            <v>0.000069</v>
          </cell>
          <cell r="AL614" t="str">
            <v>1</v>
          </cell>
          <cell r="AM614" t="str">
            <v>F</v>
          </cell>
          <cell r="AN614" t="str">
            <v>M0</v>
          </cell>
          <cell r="AO614" t="str">
            <v>Active(Model)</v>
          </cell>
          <cell r="AP614" t="str">
            <v/>
          </cell>
          <cell r="AQ614" t="str">
            <v/>
          </cell>
          <cell r="AR614" t="str">
            <v>Y</v>
          </cell>
          <cell r="AS614" t="str">
            <v/>
          </cell>
          <cell r="AT614" t="str">
            <v>IN</v>
          </cell>
          <cell r="AU614" t="str">
            <v>Infotainment</v>
          </cell>
          <cell r="AV614" t="str">
            <v>INCO</v>
          </cell>
          <cell r="AW614" t="str">
            <v>Connectivity</v>
          </cell>
          <cell r="AX614" t="str">
            <v>INCOTE</v>
          </cell>
          <cell r="AY614" t="str">
            <v>Telematics</v>
          </cell>
          <cell r="AZ614" t="str">
            <v>INCOTELA</v>
          </cell>
          <cell r="BA614" t="str">
            <v>Telematics LTE-A</v>
          </cell>
        </row>
        <row r="615">
          <cell r="E615" t="str">
            <v>TTA20BNEBN.BUS1ST</v>
          </cell>
          <cell r="F615">
            <v>0</v>
          </cell>
          <cell r="G615">
            <v>0</v>
          </cell>
          <cell r="H615">
            <v>0</v>
          </cell>
          <cell r="I615">
            <v>4297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11679</v>
          </cell>
          <cell r="O615">
            <v>17</v>
          </cell>
          <cell r="P615">
            <v>11679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 t="str">
            <v/>
          </cell>
          <cell r="AH615" t="str">
            <v/>
          </cell>
          <cell r="AI615" t="str">
            <v>KR15P03124040</v>
          </cell>
          <cell r="AJ615" t="str">
            <v>TAGMANBBN1S.ARFQ</v>
          </cell>
          <cell r="AK615" t="str">
            <v>0.000069</v>
          </cell>
          <cell r="AL615" t="str">
            <v>1</v>
          </cell>
          <cell r="AM615" t="str">
            <v>F</v>
          </cell>
          <cell r="AN615" t="str">
            <v>M0</v>
          </cell>
          <cell r="AO615" t="str">
            <v>Active(Model)</v>
          </cell>
          <cell r="AP615" t="str">
            <v/>
          </cell>
          <cell r="AQ615" t="str">
            <v/>
          </cell>
          <cell r="AR615" t="str">
            <v>Y</v>
          </cell>
          <cell r="AS615" t="str">
            <v/>
          </cell>
          <cell r="AT615" t="str">
            <v>IN</v>
          </cell>
          <cell r="AU615" t="str">
            <v>Infotainment</v>
          </cell>
          <cell r="AV615" t="str">
            <v>INCO</v>
          </cell>
          <cell r="AW615" t="str">
            <v>Connectivity</v>
          </cell>
          <cell r="AX615" t="str">
            <v>INCOTE</v>
          </cell>
          <cell r="AY615" t="str">
            <v>Telematics</v>
          </cell>
          <cell r="AZ615" t="str">
            <v>INCOTELA</v>
          </cell>
          <cell r="BA615" t="str">
            <v>Telematics LTE-A</v>
          </cell>
        </row>
        <row r="616">
          <cell r="E616" t="str">
            <v>TTA20BNEBN.BUS1T</v>
          </cell>
          <cell r="F616">
            <v>0</v>
          </cell>
          <cell r="G616">
            <v>0</v>
          </cell>
          <cell r="H616">
            <v>0</v>
          </cell>
          <cell r="I616">
            <v>280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600</v>
          </cell>
          <cell r="O616">
            <v>0</v>
          </cell>
          <cell r="P616">
            <v>600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 t="str">
            <v/>
          </cell>
          <cell r="AH616" t="str">
            <v/>
          </cell>
          <cell r="AI616" t="str">
            <v>KR15P03124040</v>
          </cell>
          <cell r="AJ616" t="str">
            <v>TAGMANBBN1N.ARFQ</v>
          </cell>
          <cell r="AK616" t="str">
            <v>0.000069</v>
          </cell>
          <cell r="AL616" t="str">
            <v>1</v>
          </cell>
          <cell r="AM616" t="str">
            <v>F</v>
          </cell>
          <cell r="AN616" t="str">
            <v>M0</v>
          </cell>
          <cell r="AO616" t="str">
            <v>Active(Model)</v>
          </cell>
          <cell r="AP616" t="str">
            <v/>
          </cell>
          <cell r="AQ616" t="str">
            <v/>
          </cell>
          <cell r="AR616" t="str">
            <v>Y</v>
          </cell>
          <cell r="AS616" t="str">
            <v/>
          </cell>
          <cell r="AT616" t="str">
            <v>IN</v>
          </cell>
          <cell r="AU616" t="str">
            <v>Infotainment</v>
          </cell>
          <cell r="AV616" t="str">
            <v>INCO</v>
          </cell>
          <cell r="AW616" t="str">
            <v>Connectivity</v>
          </cell>
          <cell r="AX616" t="str">
            <v>INCOTE</v>
          </cell>
          <cell r="AY616" t="str">
            <v>Telematics</v>
          </cell>
          <cell r="AZ616" t="str">
            <v>INCOTELA</v>
          </cell>
          <cell r="BA616" t="str">
            <v>Telematics LTE-A</v>
          </cell>
        </row>
        <row r="617">
          <cell r="E617" t="str">
            <v>TTA20BNEBN.BUS45</v>
          </cell>
          <cell r="F617">
            <v>4</v>
          </cell>
          <cell r="G617">
            <v>0</v>
          </cell>
          <cell r="H617">
            <v>123</v>
          </cell>
          <cell r="I617">
            <v>8081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8000</v>
          </cell>
          <cell r="O617">
            <v>0</v>
          </cell>
          <cell r="P617">
            <v>8000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 t="str">
            <v/>
          </cell>
          <cell r="AH617" t="str">
            <v/>
          </cell>
          <cell r="AI617" t="str">
            <v>KR15P03124040</v>
          </cell>
          <cell r="AJ617" t="str">
            <v>TAGMANBBN4N.ARFQ</v>
          </cell>
          <cell r="AK617" t="str">
            <v>0.000069</v>
          </cell>
          <cell r="AL617" t="str">
            <v>1</v>
          </cell>
          <cell r="AM617" t="str">
            <v>F</v>
          </cell>
          <cell r="AN617" t="str">
            <v>M0</v>
          </cell>
          <cell r="AO617" t="str">
            <v>Active(Model)</v>
          </cell>
          <cell r="AP617" t="str">
            <v/>
          </cell>
          <cell r="AQ617" t="str">
            <v/>
          </cell>
          <cell r="AR617" t="str">
            <v>Y</v>
          </cell>
          <cell r="AS617" t="str">
            <v/>
          </cell>
          <cell r="AT617" t="str">
            <v>IN</v>
          </cell>
          <cell r="AU617" t="str">
            <v>Infotainment</v>
          </cell>
          <cell r="AV617" t="str">
            <v>INCO</v>
          </cell>
          <cell r="AW617" t="str">
            <v>Connectivity</v>
          </cell>
          <cell r="AX617" t="str">
            <v>INCOTE</v>
          </cell>
          <cell r="AY617" t="str">
            <v>Telematics</v>
          </cell>
          <cell r="AZ617" t="str">
            <v>INCOTELA</v>
          </cell>
          <cell r="BA617" t="str">
            <v>Telematics LTE-A</v>
          </cell>
        </row>
        <row r="618">
          <cell r="E618" t="str">
            <v>TTA20GNEBM.BBR27</v>
          </cell>
          <cell r="F618">
            <v>0</v>
          </cell>
          <cell r="G618">
            <v>0</v>
          </cell>
          <cell r="H618">
            <v>34</v>
          </cell>
          <cell r="I618">
            <v>34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47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 t="str">
            <v/>
          </cell>
          <cell r="AH618" t="str">
            <v/>
          </cell>
          <cell r="AI618" t="str">
            <v>KR15P03124040</v>
          </cell>
          <cell r="AJ618" t="str">
            <v>TAGMANBDX2N.ARFQ</v>
          </cell>
          <cell r="AK618" t="str">
            <v>0.000069</v>
          </cell>
          <cell r="AL618" t="str">
            <v>1</v>
          </cell>
          <cell r="AM618" t="str">
            <v>F</v>
          </cell>
          <cell r="AN618" t="str">
            <v>M0</v>
          </cell>
          <cell r="AO618" t="str">
            <v>Active(Model)</v>
          </cell>
          <cell r="AP618" t="str">
            <v/>
          </cell>
          <cell r="AQ618" t="str">
            <v/>
          </cell>
          <cell r="AR618" t="str">
            <v>Y</v>
          </cell>
          <cell r="AS618" t="str">
            <v/>
          </cell>
          <cell r="AT618" t="str">
            <v>IN</v>
          </cell>
          <cell r="AU618" t="str">
            <v>Infotainment</v>
          </cell>
          <cell r="AV618" t="str">
            <v>INCO</v>
          </cell>
          <cell r="AW618" t="str">
            <v>Connectivity</v>
          </cell>
          <cell r="AX618" t="str">
            <v>INCOTE</v>
          </cell>
          <cell r="AY618" t="str">
            <v>Telematics</v>
          </cell>
          <cell r="AZ618" t="str">
            <v>INCOTELA</v>
          </cell>
          <cell r="BA618" t="str">
            <v>Telematics LTE-A</v>
          </cell>
        </row>
        <row r="619">
          <cell r="E619" t="str">
            <v>TTA20GNEBM.BCN26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257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 t="str">
            <v/>
          </cell>
          <cell r="AH619" t="str">
            <v/>
          </cell>
          <cell r="AI619" t="str">
            <v>KR15P03124040</v>
          </cell>
          <cell r="AJ619" t="str">
            <v>TAGMANBDX2N.ARFQ</v>
          </cell>
          <cell r="AK619" t="str">
            <v>0.000069</v>
          </cell>
          <cell r="AL619" t="str">
            <v>1</v>
          </cell>
          <cell r="AM619" t="str">
            <v>F</v>
          </cell>
          <cell r="AN619" t="str">
            <v>M0</v>
          </cell>
          <cell r="AO619" t="str">
            <v>Active(Model)</v>
          </cell>
          <cell r="AP619" t="str">
            <v/>
          </cell>
          <cell r="AQ619" t="str">
            <v/>
          </cell>
          <cell r="AR619" t="str">
            <v>Y</v>
          </cell>
          <cell r="AS619" t="str">
            <v/>
          </cell>
          <cell r="AT619" t="str">
            <v>IN</v>
          </cell>
          <cell r="AU619" t="str">
            <v>Infotainment</v>
          </cell>
          <cell r="AV619" t="str">
            <v>INCO</v>
          </cell>
          <cell r="AW619" t="str">
            <v>Connectivity</v>
          </cell>
          <cell r="AX619" t="str">
            <v>INCOTE</v>
          </cell>
          <cell r="AY619" t="str">
            <v>Telematics</v>
          </cell>
          <cell r="AZ619" t="str">
            <v>INCOTELA</v>
          </cell>
          <cell r="BA619" t="str">
            <v>Telematics LTE-A</v>
          </cell>
        </row>
        <row r="620">
          <cell r="E620" t="str">
            <v>TTA20GNEBS.BBG27</v>
          </cell>
          <cell r="F620">
            <v>1</v>
          </cell>
          <cell r="G620">
            <v>0</v>
          </cell>
          <cell r="H620">
            <v>602</v>
          </cell>
          <cell r="I620">
            <v>603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8582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 t="str">
            <v/>
          </cell>
          <cell r="AH620" t="str">
            <v/>
          </cell>
          <cell r="AI620" t="str">
            <v>KR15P03124040</v>
          </cell>
          <cell r="AJ620" t="str">
            <v>TAGMANBDB2N.ARFQ</v>
          </cell>
          <cell r="AK620" t="str">
            <v>0.001434</v>
          </cell>
          <cell r="AL620" t="str">
            <v>1</v>
          </cell>
          <cell r="AM620" t="str">
            <v>F</v>
          </cell>
          <cell r="AN620" t="str">
            <v>M0</v>
          </cell>
          <cell r="AO620" t="str">
            <v>Active(Model)</v>
          </cell>
          <cell r="AP620" t="str">
            <v/>
          </cell>
          <cell r="AQ620" t="str">
            <v/>
          </cell>
          <cell r="AR620" t="str">
            <v>Y</v>
          </cell>
          <cell r="AS620" t="str">
            <v/>
          </cell>
          <cell r="AT620" t="str">
            <v>IN</v>
          </cell>
          <cell r="AU620" t="str">
            <v>Infotainment</v>
          </cell>
          <cell r="AV620" t="str">
            <v>INCO</v>
          </cell>
          <cell r="AW620" t="str">
            <v>Connectivity</v>
          </cell>
          <cell r="AX620" t="str">
            <v>INCOTE</v>
          </cell>
          <cell r="AY620" t="str">
            <v>Telematics</v>
          </cell>
          <cell r="AZ620" t="str">
            <v>INCOTELA</v>
          </cell>
          <cell r="BA620" t="str">
            <v>Telematics LTE-A</v>
          </cell>
        </row>
        <row r="621">
          <cell r="E621" t="str">
            <v>TTA20GNEBS.BBR15S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18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 t="str">
            <v/>
          </cell>
          <cell r="AH621" t="str">
            <v/>
          </cell>
          <cell r="AI621" t="str">
            <v>KR15P03124040</v>
          </cell>
          <cell r="AJ621" t="str">
            <v>TAGMANBD1A1.ARFQ</v>
          </cell>
          <cell r="AK621" t="str">
            <v>0.001434</v>
          </cell>
          <cell r="AL621" t="str">
            <v>0</v>
          </cell>
          <cell r="AM621" t="str">
            <v>F</v>
          </cell>
          <cell r="AN621" t="str">
            <v>M0</v>
          </cell>
          <cell r="AO621" t="str">
            <v>Active(Model)</v>
          </cell>
          <cell r="AP621" t="str">
            <v/>
          </cell>
          <cell r="AQ621" t="str">
            <v/>
          </cell>
          <cell r="AR621" t="str">
            <v>Y</v>
          </cell>
          <cell r="AS621" t="str">
            <v/>
          </cell>
          <cell r="AT621" t="str">
            <v>IN</v>
          </cell>
          <cell r="AU621" t="str">
            <v>Infotainment</v>
          </cell>
          <cell r="AV621" t="str">
            <v>INCO</v>
          </cell>
          <cell r="AW621" t="str">
            <v>Connectivity</v>
          </cell>
          <cell r="AX621" t="str">
            <v>INCOTE</v>
          </cell>
          <cell r="AY621" t="str">
            <v>Telematics</v>
          </cell>
          <cell r="AZ621" t="str">
            <v>INCOTELA</v>
          </cell>
          <cell r="BA621" t="str">
            <v>Telematics LTE-A</v>
          </cell>
        </row>
        <row r="622">
          <cell r="E622" t="str">
            <v>TTA20GNEBS.BBR27</v>
          </cell>
          <cell r="F622">
            <v>0</v>
          </cell>
          <cell r="G622">
            <v>0</v>
          </cell>
          <cell r="H622">
            <v>374</v>
          </cell>
          <cell r="I622">
            <v>374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5200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 t="str">
            <v/>
          </cell>
          <cell r="AH622" t="str">
            <v/>
          </cell>
          <cell r="AI622" t="str">
            <v>KR15P03124040</v>
          </cell>
          <cell r="AJ622" t="str">
            <v>TAGMANBDB2N.ARFQ</v>
          </cell>
          <cell r="AK622" t="str">
            <v>0.001434</v>
          </cell>
          <cell r="AL622" t="str">
            <v>1</v>
          </cell>
          <cell r="AM622" t="str">
            <v>F</v>
          </cell>
          <cell r="AN622" t="str">
            <v>M0</v>
          </cell>
          <cell r="AO622" t="str">
            <v>Active(Model)</v>
          </cell>
          <cell r="AP622" t="str">
            <v/>
          </cell>
          <cell r="AQ622" t="str">
            <v/>
          </cell>
          <cell r="AR622" t="str">
            <v>Y</v>
          </cell>
          <cell r="AS622" t="str">
            <v/>
          </cell>
          <cell r="AT622" t="str">
            <v>IN</v>
          </cell>
          <cell r="AU622" t="str">
            <v>Infotainment</v>
          </cell>
          <cell r="AV622" t="str">
            <v>INCO</v>
          </cell>
          <cell r="AW622" t="str">
            <v>Connectivity</v>
          </cell>
          <cell r="AX622" t="str">
            <v>INCOTE</v>
          </cell>
          <cell r="AY622" t="str">
            <v>Telematics</v>
          </cell>
          <cell r="AZ622" t="str">
            <v>INCOTELA</v>
          </cell>
          <cell r="BA622" t="str">
            <v>Telematics LTE-A</v>
          </cell>
        </row>
        <row r="623">
          <cell r="E623" t="str">
            <v>TTA20GNEBS.BBR27S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33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 t="str">
            <v/>
          </cell>
          <cell r="AH623" t="str">
            <v/>
          </cell>
          <cell r="AI623" t="str">
            <v>KR15P03124040</v>
          </cell>
          <cell r="AJ623" t="str">
            <v>TAGMANBD101.ARFQ</v>
          </cell>
          <cell r="AK623" t="str">
            <v>0.001434</v>
          </cell>
          <cell r="AL623" t="str">
            <v>1</v>
          </cell>
          <cell r="AM623" t="str">
            <v>F</v>
          </cell>
          <cell r="AN623" t="str">
            <v>M0</v>
          </cell>
          <cell r="AO623" t="str">
            <v>Active(Model)</v>
          </cell>
          <cell r="AP623" t="str">
            <v/>
          </cell>
          <cell r="AQ623" t="str">
            <v/>
          </cell>
          <cell r="AR623" t="str">
            <v>Y</v>
          </cell>
          <cell r="AS623" t="str">
            <v/>
          </cell>
          <cell r="AT623" t="str">
            <v>IN</v>
          </cell>
          <cell r="AU623" t="str">
            <v>Infotainment</v>
          </cell>
          <cell r="AV623" t="str">
            <v>INCO</v>
          </cell>
          <cell r="AW623" t="str">
            <v>Connectivity</v>
          </cell>
          <cell r="AX623" t="str">
            <v>INCOTE</v>
          </cell>
          <cell r="AY623" t="str">
            <v>Telematics</v>
          </cell>
          <cell r="AZ623" t="str">
            <v>INCOTELA</v>
          </cell>
          <cell r="BA623" t="str">
            <v>Telematics LTE-A</v>
          </cell>
        </row>
        <row r="624">
          <cell r="E624" t="str">
            <v>TUVM03IU-E.BENM28H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10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 t="str">
            <v/>
          </cell>
          <cell r="AH624" t="str">
            <v/>
          </cell>
          <cell r="AI624" t="str">
            <v>KR13P32192900</v>
          </cell>
          <cell r="AJ624" t="str">
            <v>TGVWNIBE180.ARFQ</v>
          </cell>
          <cell r="AK624" t="str">
            <v>0.001047</v>
          </cell>
          <cell r="AL624" t="str">
            <v>1</v>
          </cell>
          <cell r="AM624" t="str">
            <v>F</v>
          </cell>
          <cell r="AN624" t="str">
            <v>M0</v>
          </cell>
          <cell r="AO624" t="str">
            <v>Active(Model)</v>
          </cell>
          <cell r="AP624" t="str">
            <v/>
          </cell>
          <cell r="AQ624" t="str">
            <v/>
          </cell>
          <cell r="AR624" t="str">
            <v>Y</v>
          </cell>
          <cell r="AS624" t="str">
            <v/>
          </cell>
          <cell r="AT624" t="str">
            <v>IN</v>
          </cell>
          <cell r="AU624" t="str">
            <v>Infotainment</v>
          </cell>
          <cell r="AV624" t="str">
            <v>INCO</v>
          </cell>
          <cell r="AW624" t="str">
            <v>Connectivity</v>
          </cell>
          <cell r="AX624" t="str">
            <v>INCOTE</v>
          </cell>
          <cell r="AY624" t="str">
            <v>Telematics</v>
          </cell>
          <cell r="AZ624" t="str">
            <v>INCOTEGS</v>
          </cell>
          <cell r="BA624" t="str">
            <v>Telematics GSM</v>
          </cell>
        </row>
        <row r="625">
          <cell r="E625" t="str">
            <v>TVA20ANFBN.BUS0A</v>
          </cell>
          <cell r="F625">
            <v>2</v>
          </cell>
          <cell r="G625">
            <v>0</v>
          </cell>
          <cell r="H625">
            <v>0</v>
          </cell>
          <cell r="I625">
            <v>2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3600</v>
          </cell>
          <cell r="O625">
            <v>0</v>
          </cell>
          <cell r="P625">
            <v>3600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 t="str">
            <v/>
          </cell>
          <cell r="AH625" t="str">
            <v/>
          </cell>
          <cell r="AI625" t="str">
            <v>KR15P03124040</v>
          </cell>
          <cell r="AJ625" t="str">
            <v>TAGMANBA192.ARFQ</v>
          </cell>
          <cell r="AK625" t="str">
            <v>0.000069</v>
          </cell>
          <cell r="AL625" t="str">
            <v>1</v>
          </cell>
          <cell r="AM625" t="str">
            <v>F</v>
          </cell>
          <cell r="AN625" t="str">
            <v>M0</v>
          </cell>
          <cell r="AO625" t="str">
            <v>Active(Model)</v>
          </cell>
          <cell r="AP625" t="str">
            <v/>
          </cell>
          <cell r="AQ625" t="str">
            <v/>
          </cell>
          <cell r="AR625" t="str">
            <v>Y</v>
          </cell>
          <cell r="AS625" t="str">
            <v/>
          </cell>
          <cell r="AT625" t="str">
            <v>IN</v>
          </cell>
          <cell r="AU625" t="str">
            <v>Infotainment</v>
          </cell>
          <cell r="AV625" t="str">
            <v>INCO</v>
          </cell>
          <cell r="AW625" t="str">
            <v>Connectivity</v>
          </cell>
          <cell r="AX625" t="str">
            <v>INCOTE</v>
          </cell>
          <cell r="AY625" t="str">
            <v>Telematics</v>
          </cell>
          <cell r="AZ625" t="str">
            <v>INCOTELA</v>
          </cell>
          <cell r="BA625" t="str">
            <v>Telematics LTE-A</v>
          </cell>
        </row>
        <row r="626">
          <cell r="E626" t="str">
            <v>TVBMQEBN4FC.BCV630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6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 t="str">
            <v/>
          </cell>
          <cell r="AH626" t="str">
            <v/>
          </cell>
          <cell r="AI626" t="str">
            <v>KR20P17898880</v>
          </cell>
          <cell r="AJ626" t="str">
            <v>TVBMQEBN4FC.ARFQ</v>
          </cell>
          <cell r="AK626" t="str">
            <v>0.001072</v>
          </cell>
          <cell r="AL626" t="str">
            <v>1</v>
          </cell>
          <cell r="AM626" t="str">
            <v>F</v>
          </cell>
          <cell r="AN626" t="str">
            <v>M0</v>
          </cell>
          <cell r="AO626" t="str">
            <v>Active(Model)</v>
          </cell>
          <cell r="AP626" t="str">
            <v/>
          </cell>
          <cell r="AQ626" t="str">
            <v/>
          </cell>
          <cell r="AR626" t="str">
            <v>Y</v>
          </cell>
          <cell r="AS626" t="str">
            <v/>
          </cell>
          <cell r="AT626" t="str">
            <v>IN</v>
          </cell>
          <cell r="AU626" t="str">
            <v>Infotainment</v>
          </cell>
          <cell r="AV626" t="str">
            <v>INCO</v>
          </cell>
          <cell r="AW626" t="str">
            <v>Connectivity</v>
          </cell>
          <cell r="AX626" t="str">
            <v>INCOTE</v>
          </cell>
          <cell r="AY626" t="str">
            <v>Telematics</v>
          </cell>
          <cell r="AZ626" t="str">
            <v>INCOTEVX</v>
          </cell>
          <cell r="BA626" t="str">
            <v>Telematics V2X</v>
          </cell>
        </row>
        <row r="627">
          <cell r="E627" t="str">
            <v>VC5316NNDR.APRQCIS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150</v>
          </cell>
          <cell r="O627">
            <v>0</v>
          </cell>
          <cell r="P627">
            <v>150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 t="str">
            <v/>
          </cell>
          <cell r="AH627" t="str">
            <v/>
          </cell>
          <cell r="AI627" t="str">
            <v/>
          </cell>
          <cell r="AJ627" t="str">
            <v/>
          </cell>
          <cell r="AK627" t="str">
            <v>0.057923</v>
          </cell>
          <cell r="AL627" t="str">
            <v>1</v>
          </cell>
          <cell r="AM627" t="str">
            <v>F</v>
          </cell>
          <cell r="AN627" t="str">
            <v>M0</v>
          </cell>
          <cell r="AO627" t="str">
            <v>Active(Model)</v>
          </cell>
          <cell r="AP627" t="str">
            <v/>
          </cell>
          <cell r="AQ627" t="str">
            <v/>
          </cell>
          <cell r="AR627" t="str">
            <v>Y</v>
          </cell>
          <cell r="AS627" t="str">
            <v/>
          </cell>
          <cell r="AT627" t="str">
            <v>VC</v>
          </cell>
          <cell r="AU627" t="str">
            <v>Vacuum Cleaner</v>
          </cell>
          <cell r="AV627" t="str">
            <v>VCVC</v>
          </cell>
          <cell r="AW627" t="str">
            <v>Vacuum Cleaner</v>
          </cell>
          <cell r="AX627" t="str">
            <v>VCVCCR</v>
          </cell>
          <cell r="AY627" t="str">
            <v>Canister</v>
          </cell>
          <cell r="AZ627" t="str">
            <v>VCVCCRSC</v>
          </cell>
          <cell r="BA627" t="str">
            <v>Single Cyclone(Canister)</v>
          </cell>
        </row>
        <row r="628">
          <cell r="E628" t="str">
            <v>VC5316NNTR.APRQCIS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590</v>
          </cell>
          <cell r="O628">
            <v>0</v>
          </cell>
          <cell r="P628">
            <v>590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 t="str">
            <v/>
          </cell>
          <cell r="AH628" t="str">
            <v/>
          </cell>
          <cell r="AI628" t="str">
            <v/>
          </cell>
          <cell r="AJ628" t="str">
            <v/>
          </cell>
          <cell r="AK628" t="str">
            <v>0.057923</v>
          </cell>
          <cell r="AL628" t="str">
            <v>1</v>
          </cell>
          <cell r="AM628" t="str">
            <v>F</v>
          </cell>
          <cell r="AN628" t="str">
            <v>M0</v>
          </cell>
          <cell r="AO628" t="str">
            <v>Active(Model)</v>
          </cell>
          <cell r="AP628" t="str">
            <v/>
          </cell>
          <cell r="AQ628" t="str">
            <v/>
          </cell>
          <cell r="AR628" t="str">
            <v>Y</v>
          </cell>
          <cell r="AS628" t="str">
            <v/>
          </cell>
          <cell r="AT628" t="str">
            <v>VC</v>
          </cell>
          <cell r="AU628" t="str">
            <v>Vacuum Cleaner</v>
          </cell>
          <cell r="AV628" t="str">
            <v>VCVC</v>
          </cell>
          <cell r="AW628" t="str">
            <v>Vacuum Cleaner</v>
          </cell>
          <cell r="AX628" t="str">
            <v>VCVCCR</v>
          </cell>
          <cell r="AY628" t="str">
            <v>Canister</v>
          </cell>
          <cell r="AZ628" t="str">
            <v>VCVCCRSC</v>
          </cell>
          <cell r="BA628" t="str">
            <v>Single Cyclone(Canister)</v>
          </cell>
        </row>
        <row r="629">
          <cell r="E629" t="str">
            <v>VC5316NNTS.APSQCIS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260</v>
          </cell>
          <cell r="O629">
            <v>0</v>
          </cell>
          <cell r="P629">
            <v>260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 t="str">
            <v/>
          </cell>
          <cell r="AH629" t="str">
            <v/>
          </cell>
          <cell r="AI629" t="str">
            <v/>
          </cell>
          <cell r="AJ629" t="str">
            <v/>
          </cell>
          <cell r="AK629" t="str">
            <v>0.057923</v>
          </cell>
          <cell r="AL629" t="str">
            <v>1</v>
          </cell>
          <cell r="AM629" t="str">
            <v>F</v>
          </cell>
          <cell r="AN629" t="str">
            <v>M0</v>
          </cell>
          <cell r="AO629" t="str">
            <v>Active(Model)</v>
          </cell>
          <cell r="AP629" t="str">
            <v/>
          </cell>
          <cell r="AQ629" t="str">
            <v/>
          </cell>
          <cell r="AR629" t="str">
            <v>Y</v>
          </cell>
          <cell r="AS629" t="str">
            <v/>
          </cell>
          <cell r="AT629" t="str">
            <v>VC</v>
          </cell>
          <cell r="AU629" t="str">
            <v>Vacuum Cleaner</v>
          </cell>
          <cell r="AV629" t="str">
            <v>VCVC</v>
          </cell>
          <cell r="AW629" t="str">
            <v>Vacuum Cleaner</v>
          </cell>
          <cell r="AX629" t="str">
            <v>VCVCCR</v>
          </cell>
          <cell r="AY629" t="str">
            <v>Canister</v>
          </cell>
          <cell r="AZ629" t="str">
            <v>VCVCCRSC</v>
          </cell>
          <cell r="BA629" t="str">
            <v>Single Cyclone(Canister)</v>
          </cell>
        </row>
        <row r="630">
          <cell r="E630" t="str">
            <v>VC5320NNTR.APRQCIS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450</v>
          </cell>
          <cell r="O630">
            <v>147</v>
          </cell>
          <cell r="P630">
            <v>450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 t="str">
            <v/>
          </cell>
          <cell r="AH630" t="str">
            <v/>
          </cell>
          <cell r="AI630" t="str">
            <v/>
          </cell>
          <cell r="AJ630" t="str">
            <v/>
          </cell>
          <cell r="AK630" t="str">
            <v>0.057923</v>
          </cell>
          <cell r="AL630" t="str">
            <v>1</v>
          </cell>
          <cell r="AM630" t="str">
            <v>F</v>
          </cell>
          <cell r="AN630" t="str">
            <v>M0</v>
          </cell>
          <cell r="AO630" t="str">
            <v>Active(Model)</v>
          </cell>
          <cell r="AP630" t="str">
            <v/>
          </cell>
          <cell r="AQ630" t="str">
            <v/>
          </cell>
          <cell r="AR630" t="str">
            <v>Y</v>
          </cell>
          <cell r="AS630" t="str">
            <v/>
          </cell>
          <cell r="AT630" t="str">
            <v>VC</v>
          </cell>
          <cell r="AU630" t="str">
            <v>Vacuum Cleaner</v>
          </cell>
          <cell r="AV630" t="str">
            <v>VCVC</v>
          </cell>
          <cell r="AW630" t="str">
            <v>Vacuum Cleaner</v>
          </cell>
          <cell r="AX630" t="str">
            <v>VCVCCR</v>
          </cell>
          <cell r="AY630" t="str">
            <v>Canister</v>
          </cell>
          <cell r="AZ630" t="str">
            <v>VCVCCRSC</v>
          </cell>
          <cell r="BA630" t="str">
            <v>Single Cyclone(Canister)</v>
          </cell>
        </row>
        <row r="631">
          <cell r="E631" t="str">
            <v>VC5417NNT.APSGNAG</v>
          </cell>
          <cell r="F631">
            <v>1</v>
          </cell>
          <cell r="G631">
            <v>0</v>
          </cell>
          <cell r="H631">
            <v>0</v>
          </cell>
          <cell r="I631">
            <v>1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 t="str">
            <v/>
          </cell>
          <cell r="AH631" t="str">
            <v/>
          </cell>
          <cell r="AI631" t="str">
            <v/>
          </cell>
          <cell r="AJ631" t="str">
            <v/>
          </cell>
          <cell r="AK631" t="str">
            <v>0.051156</v>
          </cell>
          <cell r="AL631" t="str">
            <v>1</v>
          </cell>
          <cell r="AM631" t="str">
            <v>F</v>
          </cell>
          <cell r="AN631" t="str">
            <v>M0</v>
          </cell>
          <cell r="AO631" t="str">
            <v>Active(Model)</v>
          </cell>
          <cell r="AP631" t="str">
            <v/>
          </cell>
          <cell r="AQ631" t="str">
            <v/>
          </cell>
          <cell r="AR631" t="str">
            <v>Y</v>
          </cell>
          <cell r="AS631" t="str">
            <v/>
          </cell>
          <cell r="AT631" t="str">
            <v>VC</v>
          </cell>
          <cell r="AU631" t="str">
            <v>Vacuum Cleaner</v>
          </cell>
          <cell r="AV631" t="str">
            <v>VCVC</v>
          </cell>
          <cell r="AW631" t="str">
            <v>Vacuum Cleaner</v>
          </cell>
          <cell r="AX631" t="str">
            <v>VCVCCR</v>
          </cell>
          <cell r="AY631" t="str">
            <v>Canister</v>
          </cell>
          <cell r="AZ631" t="str">
            <v>VCVCCRSC</v>
          </cell>
          <cell r="BA631" t="str">
            <v>Single Cyclone(Canister)</v>
          </cell>
        </row>
        <row r="632">
          <cell r="E632" t="str">
            <v>VC5420HTCG.AIGQTAS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580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 t="str">
            <v/>
          </cell>
          <cell r="AH632" t="str">
            <v/>
          </cell>
          <cell r="AI632" t="str">
            <v/>
          </cell>
          <cell r="AJ632" t="str">
            <v/>
          </cell>
          <cell r="AK632" t="str">
            <v>0.057923</v>
          </cell>
          <cell r="AL632" t="str">
            <v>1</v>
          </cell>
          <cell r="AM632" t="str">
            <v>F</v>
          </cell>
          <cell r="AN632" t="str">
            <v>M0</v>
          </cell>
          <cell r="AO632" t="str">
            <v>Active(Model)</v>
          </cell>
          <cell r="AP632" t="str">
            <v/>
          </cell>
          <cell r="AQ632" t="str">
            <v/>
          </cell>
          <cell r="AR632" t="str">
            <v>Y</v>
          </cell>
          <cell r="AS632" t="str">
            <v/>
          </cell>
          <cell r="AT632" t="str">
            <v>VC</v>
          </cell>
          <cell r="AU632" t="str">
            <v>Vacuum Cleaner</v>
          </cell>
          <cell r="AV632" t="str">
            <v>VCVC</v>
          </cell>
          <cell r="AW632" t="str">
            <v>Vacuum Cleaner</v>
          </cell>
          <cell r="AX632" t="str">
            <v>VCVCCR</v>
          </cell>
          <cell r="AY632" t="str">
            <v>Canister</v>
          </cell>
          <cell r="AZ632" t="str">
            <v>VCVCCRSC</v>
          </cell>
          <cell r="BA632" t="str">
            <v>Single Cyclone(Canister)</v>
          </cell>
        </row>
        <row r="633">
          <cell r="E633" t="str">
            <v>VC5420HTR.ABRQTAS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402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 t="str">
            <v/>
          </cell>
          <cell r="AH633" t="str">
            <v/>
          </cell>
          <cell r="AI633" t="str">
            <v/>
          </cell>
          <cell r="AJ633" t="str">
            <v/>
          </cell>
          <cell r="AK633" t="str">
            <v>0.057923</v>
          </cell>
          <cell r="AL633" t="str">
            <v>1</v>
          </cell>
          <cell r="AM633" t="str">
            <v>F</v>
          </cell>
          <cell r="AN633" t="str">
            <v>M0</v>
          </cell>
          <cell r="AO633" t="str">
            <v>Active(Model)</v>
          </cell>
          <cell r="AP633" t="str">
            <v/>
          </cell>
          <cell r="AQ633" t="str">
            <v/>
          </cell>
          <cell r="AR633" t="str">
            <v>Y</v>
          </cell>
          <cell r="AS633" t="str">
            <v/>
          </cell>
          <cell r="AT633" t="str">
            <v>VC</v>
          </cell>
          <cell r="AU633" t="str">
            <v>Vacuum Cleaner</v>
          </cell>
          <cell r="AV633" t="str">
            <v>VCVC</v>
          </cell>
          <cell r="AW633" t="str">
            <v>Vacuum Cleaner</v>
          </cell>
          <cell r="AX633" t="str">
            <v>VCVCCR</v>
          </cell>
          <cell r="AY633" t="str">
            <v>Canister</v>
          </cell>
          <cell r="AZ633" t="str">
            <v>VCVCCRSC</v>
          </cell>
          <cell r="BA633" t="str">
            <v>Single Cyclone(Canister)</v>
          </cell>
        </row>
        <row r="634">
          <cell r="E634" t="str">
            <v>VC5420HTW1.AVWQTAS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500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 t="str">
            <v/>
          </cell>
          <cell r="AH634" t="str">
            <v/>
          </cell>
          <cell r="AI634" t="str">
            <v/>
          </cell>
          <cell r="AJ634" t="str">
            <v/>
          </cell>
          <cell r="AK634" t="str">
            <v>0.057923</v>
          </cell>
          <cell r="AL634" t="str">
            <v>1</v>
          </cell>
          <cell r="AM634" t="str">
            <v>F</v>
          </cell>
          <cell r="AN634" t="str">
            <v>M0</v>
          </cell>
          <cell r="AO634" t="str">
            <v>Active(Model)</v>
          </cell>
          <cell r="AP634" t="str">
            <v/>
          </cell>
          <cell r="AQ634" t="str">
            <v/>
          </cell>
          <cell r="AR634" t="str">
            <v>Y</v>
          </cell>
          <cell r="AS634" t="str">
            <v/>
          </cell>
          <cell r="AT634" t="str">
            <v>VC</v>
          </cell>
          <cell r="AU634" t="str">
            <v>Vacuum Cleaner</v>
          </cell>
          <cell r="AV634" t="str">
            <v>VCVC</v>
          </cell>
          <cell r="AW634" t="str">
            <v>Vacuum Cleaner</v>
          </cell>
          <cell r="AX634" t="str">
            <v>VCVCCR</v>
          </cell>
          <cell r="AY634" t="str">
            <v>Canister</v>
          </cell>
          <cell r="AZ634" t="str">
            <v>VCVCCRSC</v>
          </cell>
          <cell r="BA634" t="str">
            <v>Single Cyclone(Canister)</v>
          </cell>
        </row>
        <row r="635">
          <cell r="E635" t="str">
            <v>VC5420NHTCG.AIGQCIS</v>
          </cell>
          <cell r="F635">
            <v>35</v>
          </cell>
          <cell r="G635">
            <v>0</v>
          </cell>
          <cell r="H635">
            <v>0</v>
          </cell>
          <cell r="I635">
            <v>35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 t="str">
            <v/>
          </cell>
          <cell r="AH635" t="str">
            <v/>
          </cell>
          <cell r="AI635" t="str">
            <v/>
          </cell>
          <cell r="AJ635" t="str">
            <v/>
          </cell>
          <cell r="AK635" t="str">
            <v>0.057923</v>
          </cell>
          <cell r="AL635" t="str">
            <v>1</v>
          </cell>
          <cell r="AM635" t="str">
            <v>F</v>
          </cell>
          <cell r="AN635" t="str">
            <v>M0</v>
          </cell>
          <cell r="AO635" t="str">
            <v>Active(Model)</v>
          </cell>
          <cell r="AP635" t="str">
            <v/>
          </cell>
          <cell r="AQ635" t="str">
            <v/>
          </cell>
          <cell r="AR635" t="str">
            <v>Y</v>
          </cell>
          <cell r="AS635" t="str">
            <v/>
          </cell>
          <cell r="AT635" t="str">
            <v>VC</v>
          </cell>
          <cell r="AU635" t="str">
            <v>Vacuum Cleaner</v>
          </cell>
          <cell r="AV635" t="str">
            <v>VCVC</v>
          </cell>
          <cell r="AW635" t="str">
            <v>Vacuum Cleaner</v>
          </cell>
          <cell r="AX635" t="str">
            <v>VCVCCR</v>
          </cell>
          <cell r="AY635" t="str">
            <v>Canister</v>
          </cell>
          <cell r="AZ635" t="str">
            <v>VCVCCRSC</v>
          </cell>
          <cell r="BA635" t="str">
            <v>Single Cyclone(Canister)</v>
          </cell>
        </row>
        <row r="636">
          <cell r="E636" t="str">
            <v>VC5420NHTCR.ABRQCIS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50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 t="str">
            <v/>
          </cell>
          <cell r="AH636" t="str">
            <v/>
          </cell>
          <cell r="AI636" t="str">
            <v/>
          </cell>
          <cell r="AJ636" t="str">
            <v/>
          </cell>
          <cell r="AK636" t="str">
            <v>0.057923</v>
          </cell>
          <cell r="AL636" t="str">
            <v>1</v>
          </cell>
          <cell r="AM636" t="str">
            <v>F</v>
          </cell>
          <cell r="AN636" t="str">
            <v>M0</v>
          </cell>
          <cell r="AO636" t="str">
            <v>Active(Model)</v>
          </cell>
          <cell r="AP636" t="str">
            <v/>
          </cell>
          <cell r="AQ636" t="str">
            <v/>
          </cell>
          <cell r="AR636" t="str">
            <v>Y</v>
          </cell>
          <cell r="AS636" t="str">
            <v/>
          </cell>
          <cell r="AT636" t="str">
            <v>VC</v>
          </cell>
          <cell r="AU636" t="str">
            <v>Vacuum Cleaner</v>
          </cell>
          <cell r="AV636" t="str">
            <v>VCVC</v>
          </cell>
          <cell r="AW636" t="str">
            <v>Vacuum Cleaner</v>
          </cell>
          <cell r="AX636" t="str">
            <v>VCVCCR</v>
          </cell>
          <cell r="AY636" t="str">
            <v>Canister</v>
          </cell>
          <cell r="AZ636" t="str">
            <v>VCVCCRSC</v>
          </cell>
          <cell r="BA636" t="str">
            <v>Single Cyclone(Canister)</v>
          </cell>
        </row>
        <row r="637">
          <cell r="E637" t="str">
            <v>VC5420NHTCW.AVWQCIS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680</v>
          </cell>
          <cell r="O637">
            <v>0</v>
          </cell>
          <cell r="P637">
            <v>680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 t="str">
            <v/>
          </cell>
          <cell r="AH637" t="str">
            <v/>
          </cell>
          <cell r="AI637" t="str">
            <v/>
          </cell>
          <cell r="AJ637" t="str">
            <v/>
          </cell>
          <cell r="AK637" t="str">
            <v>0.057923</v>
          </cell>
          <cell r="AL637" t="str">
            <v>1</v>
          </cell>
          <cell r="AM637" t="str">
            <v>F</v>
          </cell>
          <cell r="AN637" t="str">
            <v>M0</v>
          </cell>
          <cell r="AO637" t="str">
            <v>Active(Model)</v>
          </cell>
          <cell r="AP637" t="str">
            <v/>
          </cell>
          <cell r="AQ637" t="str">
            <v/>
          </cell>
          <cell r="AR637" t="str">
            <v>Y</v>
          </cell>
          <cell r="AS637" t="str">
            <v/>
          </cell>
          <cell r="AT637" t="str">
            <v>VC</v>
          </cell>
          <cell r="AU637" t="str">
            <v>Vacuum Cleaner</v>
          </cell>
          <cell r="AV637" t="str">
            <v>VCVC</v>
          </cell>
          <cell r="AW637" t="str">
            <v>Vacuum Cleaner</v>
          </cell>
          <cell r="AX637" t="str">
            <v>VCVCCR</v>
          </cell>
          <cell r="AY637" t="str">
            <v>Canister</v>
          </cell>
          <cell r="AZ637" t="str">
            <v>VCVCCRSC</v>
          </cell>
          <cell r="BA637" t="str">
            <v>Single Cyclone(Canister)</v>
          </cell>
        </row>
        <row r="638">
          <cell r="E638" t="str">
            <v>VC5420NHTG.AIGQCIS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610</v>
          </cell>
          <cell r="O638">
            <v>0</v>
          </cell>
          <cell r="P638">
            <v>610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 t="str">
            <v/>
          </cell>
          <cell r="AH638" t="str">
            <v/>
          </cell>
          <cell r="AI638" t="str">
            <v/>
          </cell>
          <cell r="AJ638" t="str">
            <v/>
          </cell>
          <cell r="AK638" t="str">
            <v>0.057923</v>
          </cell>
          <cell r="AL638" t="str">
            <v>1</v>
          </cell>
          <cell r="AM638" t="str">
            <v>F</v>
          </cell>
          <cell r="AN638" t="str">
            <v>M0</v>
          </cell>
          <cell r="AO638" t="str">
            <v>Active(Model)</v>
          </cell>
          <cell r="AP638" t="str">
            <v/>
          </cell>
          <cell r="AQ638" t="str">
            <v/>
          </cell>
          <cell r="AR638" t="str">
            <v>Y</v>
          </cell>
          <cell r="AS638" t="str">
            <v/>
          </cell>
          <cell r="AT638" t="str">
            <v>VC</v>
          </cell>
          <cell r="AU638" t="str">
            <v>Vacuum Cleaner</v>
          </cell>
          <cell r="AV638" t="str">
            <v>VCVC</v>
          </cell>
          <cell r="AW638" t="str">
            <v>Vacuum Cleaner</v>
          </cell>
          <cell r="AX638" t="str">
            <v>VCVCCR</v>
          </cell>
          <cell r="AY638" t="str">
            <v>Canister</v>
          </cell>
          <cell r="AZ638" t="str">
            <v>VCVCCRSC</v>
          </cell>
          <cell r="BA638" t="str">
            <v>Single Cyclone(Canister)</v>
          </cell>
        </row>
        <row r="639">
          <cell r="E639" t="str">
            <v>VC5420NHTR.APRQTAS</v>
          </cell>
          <cell r="F639">
            <v>89</v>
          </cell>
          <cell r="G639">
            <v>0</v>
          </cell>
          <cell r="H639">
            <v>0</v>
          </cell>
          <cell r="I639">
            <v>89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291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 t="str">
            <v/>
          </cell>
          <cell r="AH639" t="str">
            <v/>
          </cell>
          <cell r="AI639" t="str">
            <v/>
          </cell>
          <cell r="AJ639" t="str">
            <v/>
          </cell>
          <cell r="AK639" t="str">
            <v>0.057923</v>
          </cell>
          <cell r="AL639" t="str">
            <v>1</v>
          </cell>
          <cell r="AM639" t="str">
            <v>F</v>
          </cell>
          <cell r="AN639" t="str">
            <v>M0</v>
          </cell>
          <cell r="AO639" t="str">
            <v>Active(Model)</v>
          </cell>
          <cell r="AP639" t="str">
            <v/>
          </cell>
          <cell r="AQ639" t="str">
            <v/>
          </cell>
          <cell r="AR639" t="str">
            <v>Y</v>
          </cell>
          <cell r="AS639" t="str">
            <v/>
          </cell>
          <cell r="AT639" t="str">
            <v>VC</v>
          </cell>
          <cell r="AU639" t="str">
            <v>Vacuum Cleaner</v>
          </cell>
          <cell r="AV639" t="str">
            <v>VCVC</v>
          </cell>
          <cell r="AW639" t="str">
            <v>Vacuum Cleaner</v>
          </cell>
          <cell r="AX639" t="str">
            <v>VCVCCR</v>
          </cell>
          <cell r="AY639" t="str">
            <v>Canister</v>
          </cell>
          <cell r="AZ639" t="str">
            <v>VCVCCRSC</v>
          </cell>
          <cell r="BA639" t="str">
            <v>Single Cyclone(Canister)</v>
          </cell>
        </row>
        <row r="640">
          <cell r="E640" t="str">
            <v>VC5420NHTS.AFSQTAS</v>
          </cell>
          <cell r="F640">
            <v>453</v>
          </cell>
          <cell r="G640">
            <v>0</v>
          </cell>
          <cell r="H640">
            <v>0</v>
          </cell>
          <cell r="I640">
            <v>453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45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 t="str">
            <v/>
          </cell>
          <cell r="AH640" t="str">
            <v/>
          </cell>
          <cell r="AI640" t="str">
            <v/>
          </cell>
          <cell r="AJ640" t="str">
            <v/>
          </cell>
          <cell r="AK640" t="str">
            <v>0.057923</v>
          </cell>
          <cell r="AL640" t="str">
            <v>1</v>
          </cell>
          <cell r="AM640" t="str">
            <v>F</v>
          </cell>
          <cell r="AN640" t="str">
            <v>M0</v>
          </cell>
          <cell r="AO640" t="str">
            <v>Active(Model)</v>
          </cell>
          <cell r="AP640" t="str">
            <v/>
          </cell>
          <cell r="AQ640" t="str">
            <v/>
          </cell>
          <cell r="AR640" t="str">
            <v>Y</v>
          </cell>
          <cell r="AS640" t="str">
            <v/>
          </cell>
          <cell r="AT640" t="str">
            <v>VC</v>
          </cell>
          <cell r="AU640" t="str">
            <v>Vacuum Cleaner</v>
          </cell>
          <cell r="AV640" t="str">
            <v>VCVC</v>
          </cell>
          <cell r="AW640" t="str">
            <v>Vacuum Cleaner</v>
          </cell>
          <cell r="AX640" t="str">
            <v>VCVCCR</v>
          </cell>
          <cell r="AY640" t="str">
            <v>Canister</v>
          </cell>
          <cell r="AZ640" t="str">
            <v>VCVCCRSC</v>
          </cell>
          <cell r="BA640" t="str">
            <v>Single Cyclone(Canister)</v>
          </cell>
        </row>
        <row r="641">
          <cell r="E641" t="str">
            <v>VC5420NHTW.AVWQCIS</v>
          </cell>
          <cell r="F641">
            <v>180</v>
          </cell>
          <cell r="G641">
            <v>0</v>
          </cell>
          <cell r="H641">
            <v>0</v>
          </cell>
          <cell r="I641">
            <v>180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230</v>
          </cell>
          <cell r="O641">
            <v>0</v>
          </cell>
          <cell r="P641">
            <v>230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 t="str">
            <v/>
          </cell>
          <cell r="AH641" t="str">
            <v/>
          </cell>
          <cell r="AI641" t="str">
            <v/>
          </cell>
          <cell r="AJ641" t="str">
            <v/>
          </cell>
          <cell r="AK641" t="str">
            <v>0.057923</v>
          </cell>
          <cell r="AL641" t="str">
            <v>1</v>
          </cell>
          <cell r="AM641" t="str">
            <v>F</v>
          </cell>
          <cell r="AN641" t="str">
            <v>M0</v>
          </cell>
          <cell r="AO641" t="str">
            <v>Active(Model)</v>
          </cell>
          <cell r="AP641" t="str">
            <v/>
          </cell>
          <cell r="AQ641" t="str">
            <v/>
          </cell>
          <cell r="AR641" t="str">
            <v>Y</v>
          </cell>
          <cell r="AS641" t="str">
            <v/>
          </cell>
          <cell r="AT641" t="str">
            <v>VC</v>
          </cell>
          <cell r="AU641" t="str">
            <v>Vacuum Cleaner</v>
          </cell>
          <cell r="AV641" t="str">
            <v>VCVC</v>
          </cell>
          <cell r="AW641" t="str">
            <v>Vacuum Cleaner</v>
          </cell>
          <cell r="AX641" t="str">
            <v>VCVCCR</v>
          </cell>
          <cell r="AY641" t="str">
            <v>Canister</v>
          </cell>
          <cell r="AZ641" t="str">
            <v>VCVCCRSC</v>
          </cell>
          <cell r="BA641" t="str">
            <v>Single Cyclone(Canister)</v>
          </cell>
        </row>
        <row r="642">
          <cell r="E642" t="str">
            <v>VC5420NNTR.APRQLGF</v>
          </cell>
          <cell r="F642">
            <v>1385</v>
          </cell>
          <cell r="G642">
            <v>0</v>
          </cell>
          <cell r="H642">
            <v>0</v>
          </cell>
          <cell r="I642">
            <v>1385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 t="str">
            <v/>
          </cell>
          <cell r="AH642" t="str">
            <v/>
          </cell>
          <cell r="AI642" t="str">
            <v/>
          </cell>
          <cell r="AJ642" t="str">
            <v/>
          </cell>
          <cell r="AK642" t="str">
            <v>0.057923</v>
          </cell>
          <cell r="AL642" t="str">
            <v>1</v>
          </cell>
          <cell r="AM642" t="str">
            <v>F</v>
          </cell>
          <cell r="AN642" t="str">
            <v>M0</v>
          </cell>
          <cell r="AO642" t="str">
            <v>Active(Model)</v>
          </cell>
          <cell r="AP642" t="str">
            <v/>
          </cell>
          <cell r="AQ642" t="str">
            <v/>
          </cell>
          <cell r="AR642" t="str">
            <v>Y</v>
          </cell>
          <cell r="AS642" t="str">
            <v/>
          </cell>
          <cell r="AT642" t="str">
            <v>VC</v>
          </cell>
          <cell r="AU642" t="str">
            <v>Vacuum Cleaner</v>
          </cell>
          <cell r="AV642" t="str">
            <v>VCVC</v>
          </cell>
          <cell r="AW642" t="str">
            <v>Vacuum Cleaner</v>
          </cell>
          <cell r="AX642" t="str">
            <v>VCVCCR</v>
          </cell>
          <cell r="AY642" t="str">
            <v>Canister</v>
          </cell>
          <cell r="AZ642" t="str">
            <v>VCVCCRSC</v>
          </cell>
          <cell r="BA642" t="str">
            <v>Single Cyclone(Canister)</v>
          </cell>
        </row>
        <row r="643">
          <cell r="E643" t="str">
            <v>VC5420NNTS.AFSQCIS</v>
          </cell>
          <cell r="F643">
            <v>600</v>
          </cell>
          <cell r="G643">
            <v>0</v>
          </cell>
          <cell r="H643">
            <v>0</v>
          </cell>
          <cell r="I643">
            <v>600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790</v>
          </cell>
          <cell r="O643">
            <v>100</v>
          </cell>
          <cell r="P643">
            <v>790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 t="str">
            <v/>
          </cell>
          <cell r="AH643" t="str">
            <v/>
          </cell>
          <cell r="AI643" t="str">
            <v/>
          </cell>
          <cell r="AJ643" t="str">
            <v/>
          </cell>
          <cell r="AK643" t="str">
            <v>0.057923</v>
          </cell>
          <cell r="AL643" t="str">
            <v>1</v>
          </cell>
          <cell r="AM643" t="str">
            <v>F</v>
          </cell>
          <cell r="AN643" t="str">
            <v>M0</v>
          </cell>
          <cell r="AO643" t="str">
            <v>Active(Model)</v>
          </cell>
          <cell r="AP643" t="str">
            <v/>
          </cell>
          <cell r="AQ643" t="str">
            <v/>
          </cell>
          <cell r="AR643" t="str">
            <v>Y</v>
          </cell>
          <cell r="AS643" t="str">
            <v/>
          </cell>
          <cell r="AT643" t="str">
            <v>VC</v>
          </cell>
          <cell r="AU643" t="str">
            <v>Vacuum Cleaner</v>
          </cell>
          <cell r="AV643" t="str">
            <v>VCVC</v>
          </cell>
          <cell r="AW643" t="str">
            <v>Vacuum Cleaner</v>
          </cell>
          <cell r="AX643" t="str">
            <v>VCVCCR</v>
          </cell>
          <cell r="AY643" t="str">
            <v>Canister</v>
          </cell>
          <cell r="AZ643" t="str">
            <v>VCVCCRSC</v>
          </cell>
          <cell r="BA643" t="str">
            <v>Single Cyclone(Canister)</v>
          </cell>
        </row>
        <row r="644">
          <cell r="E644" t="str">
            <v>VC5420NNTS.APSQLGF</v>
          </cell>
          <cell r="F644">
            <v>1133</v>
          </cell>
          <cell r="G644">
            <v>0</v>
          </cell>
          <cell r="H644">
            <v>0</v>
          </cell>
          <cell r="I644">
            <v>1133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 t="str">
            <v/>
          </cell>
          <cell r="AH644" t="str">
            <v/>
          </cell>
          <cell r="AI644" t="str">
            <v/>
          </cell>
          <cell r="AJ644" t="str">
            <v/>
          </cell>
          <cell r="AK644" t="str">
            <v>0.057923</v>
          </cell>
          <cell r="AL644" t="str">
            <v>1</v>
          </cell>
          <cell r="AM644" t="str">
            <v>F</v>
          </cell>
          <cell r="AN644" t="str">
            <v>M0</v>
          </cell>
          <cell r="AO644" t="str">
            <v>Active(Model)</v>
          </cell>
          <cell r="AP644" t="str">
            <v/>
          </cell>
          <cell r="AQ644" t="str">
            <v/>
          </cell>
          <cell r="AR644" t="str">
            <v>Y</v>
          </cell>
          <cell r="AS644" t="str">
            <v/>
          </cell>
          <cell r="AT644" t="str">
            <v>VC</v>
          </cell>
          <cell r="AU644" t="str">
            <v>Vacuum Cleaner</v>
          </cell>
          <cell r="AV644" t="str">
            <v>VCVC</v>
          </cell>
          <cell r="AW644" t="str">
            <v>Vacuum Cleaner</v>
          </cell>
          <cell r="AX644" t="str">
            <v>VCVCCR</v>
          </cell>
          <cell r="AY644" t="str">
            <v>Canister</v>
          </cell>
          <cell r="AZ644" t="str">
            <v>VCVCCRSC</v>
          </cell>
          <cell r="BA644" t="str">
            <v>Single Cyclone(Canister)</v>
          </cell>
        </row>
        <row r="645">
          <cell r="E645" t="str">
            <v>VC73188NELR.AKRQCIS</v>
          </cell>
          <cell r="F645">
            <v>100</v>
          </cell>
          <cell r="G645">
            <v>0</v>
          </cell>
          <cell r="H645">
            <v>0</v>
          </cell>
          <cell r="I645">
            <v>100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50</v>
          </cell>
          <cell r="O645">
            <v>245</v>
          </cell>
          <cell r="P645">
            <v>50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 t="str">
            <v/>
          </cell>
          <cell r="AH645" t="str">
            <v/>
          </cell>
          <cell r="AI645" t="str">
            <v/>
          </cell>
          <cell r="AJ645" t="str">
            <v/>
          </cell>
          <cell r="AK645" t="str">
            <v>0.065836</v>
          </cell>
          <cell r="AL645" t="str">
            <v>1</v>
          </cell>
          <cell r="AM645" t="str">
            <v>F</v>
          </cell>
          <cell r="AN645" t="str">
            <v>M0</v>
          </cell>
          <cell r="AO645" t="str">
            <v>Active(Model)</v>
          </cell>
          <cell r="AP645" t="str">
            <v/>
          </cell>
          <cell r="AQ645" t="str">
            <v/>
          </cell>
          <cell r="AR645" t="str">
            <v>Y</v>
          </cell>
          <cell r="AS645" t="str">
            <v/>
          </cell>
          <cell r="AT645" t="str">
            <v>VC</v>
          </cell>
          <cell r="AU645" t="str">
            <v>Vacuum Cleaner</v>
          </cell>
          <cell r="AV645" t="str">
            <v>VCVC</v>
          </cell>
          <cell r="AW645" t="str">
            <v>Vacuum Cleaner</v>
          </cell>
          <cell r="AX645" t="str">
            <v>VCVCCR</v>
          </cell>
          <cell r="AY645" t="str">
            <v>Canister</v>
          </cell>
          <cell r="AZ645" t="str">
            <v>VCVCCRMC</v>
          </cell>
          <cell r="BA645" t="str">
            <v>Multi Cyclone(Canister)</v>
          </cell>
        </row>
        <row r="646">
          <cell r="E646" t="str">
            <v>VC73189NHTB.APBQCIS</v>
          </cell>
          <cell r="F646">
            <v>300</v>
          </cell>
          <cell r="G646">
            <v>0</v>
          </cell>
          <cell r="H646">
            <v>0</v>
          </cell>
          <cell r="I646">
            <v>300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466</v>
          </cell>
          <cell r="O646">
            <v>0</v>
          </cell>
          <cell r="P646">
            <v>466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 t="str">
            <v/>
          </cell>
          <cell r="AH646" t="str">
            <v/>
          </cell>
          <cell r="AI646" t="str">
            <v/>
          </cell>
          <cell r="AJ646" t="str">
            <v/>
          </cell>
          <cell r="AK646" t="str">
            <v>0.065836</v>
          </cell>
          <cell r="AL646" t="str">
            <v>1</v>
          </cell>
          <cell r="AM646" t="str">
            <v>F</v>
          </cell>
          <cell r="AN646" t="str">
            <v>M0</v>
          </cell>
          <cell r="AO646" t="str">
            <v>Active(Model)</v>
          </cell>
          <cell r="AP646" t="str">
            <v/>
          </cell>
          <cell r="AQ646" t="str">
            <v/>
          </cell>
          <cell r="AR646" t="str">
            <v>Y</v>
          </cell>
          <cell r="AS646" t="str">
            <v/>
          </cell>
          <cell r="AT646" t="str">
            <v>VC</v>
          </cell>
          <cell r="AU646" t="str">
            <v>Vacuum Cleaner</v>
          </cell>
          <cell r="AV646" t="str">
            <v>VCVC</v>
          </cell>
          <cell r="AW646" t="str">
            <v>Vacuum Cleaner</v>
          </cell>
          <cell r="AX646" t="str">
            <v>VCVCCR</v>
          </cell>
          <cell r="AY646" t="str">
            <v>Canister</v>
          </cell>
          <cell r="AZ646" t="str">
            <v>VCVCCRMC</v>
          </cell>
          <cell r="BA646" t="str">
            <v>Multi Cyclone(Canister)</v>
          </cell>
        </row>
        <row r="647">
          <cell r="E647" t="str">
            <v>VC73189NHTR.AKRQTAS</v>
          </cell>
          <cell r="F647">
            <v>80</v>
          </cell>
          <cell r="G647">
            <v>0</v>
          </cell>
          <cell r="H647">
            <v>0</v>
          </cell>
          <cell r="I647">
            <v>80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 t="str">
            <v/>
          </cell>
          <cell r="AH647" t="str">
            <v/>
          </cell>
          <cell r="AI647" t="str">
            <v/>
          </cell>
          <cell r="AJ647" t="str">
            <v/>
          </cell>
          <cell r="AK647" t="str">
            <v>0.068758</v>
          </cell>
          <cell r="AL647" t="str">
            <v>1</v>
          </cell>
          <cell r="AM647" t="str">
            <v>F</v>
          </cell>
          <cell r="AN647" t="str">
            <v>M0</v>
          </cell>
          <cell r="AO647" t="str">
            <v>Active(Model)</v>
          </cell>
          <cell r="AP647" t="str">
            <v/>
          </cell>
          <cell r="AQ647" t="str">
            <v/>
          </cell>
          <cell r="AR647" t="str">
            <v>Y</v>
          </cell>
          <cell r="AS647" t="str">
            <v/>
          </cell>
          <cell r="AT647" t="str">
            <v>VC</v>
          </cell>
          <cell r="AU647" t="str">
            <v>Vacuum Cleaner</v>
          </cell>
          <cell r="AV647" t="str">
            <v>VCVC</v>
          </cell>
          <cell r="AW647" t="str">
            <v>Vacuum Cleaner</v>
          </cell>
          <cell r="AX647" t="str">
            <v>VCVCCR</v>
          </cell>
          <cell r="AY647" t="str">
            <v>Canister</v>
          </cell>
          <cell r="AZ647" t="str">
            <v>VCVCCRMC</v>
          </cell>
          <cell r="BA647" t="str">
            <v>Multi Cyclone(Canister)</v>
          </cell>
        </row>
        <row r="648">
          <cell r="E648" t="str">
            <v>VC73189NHTR.APRQCIS</v>
          </cell>
          <cell r="F648">
            <v>0</v>
          </cell>
          <cell r="G648">
            <v>300</v>
          </cell>
          <cell r="H648">
            <v>0</v>
          </cell>
          <cell r="I648">
            <v>300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100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 t="str">
            <v/>
          </cell>
          <cell r="AH648" t="str">
            <v/>
          </cell>
          <cell r="AI648" t="str">
            <v/>
          </cell>
          <cell r="AJ648" t="str">
            <v/>
          </cell>
          <cell r="AK648" t="str">
            <v>0.065836</v>
          </cell>
          <cell r="AL648" t="str">
            <v>0</v>
          </cell>
          <cell r="AM648" t="str">
            <v>F</v>
          </cell>
          <cell r="AN648" t="str">
            <v>M0</v>
          </cell>
          <cell r="AO648" t="str">
            <v>Active(Model)</v>
          </cell>
          <cell r="AP648" t="str">
            <v/>
          </cell>
          <cell r="AQ648" t="str">
            <v/>
          </cell>
          <cell r="AR648" t="str">
            <v>Y</v>
          </cell>
          <cell r="AS648" t="str">
            <v/>
          </cell>
          <cell r="AT648" t="str">
            <v>VC</v>
          </cell>
          <cell r="AU648" t="str">
            <v>Vacuum Cleaner</v>
          </cell>
          <cell r="AV648" t="str">
            <v>VCVC</v>
          </cell>
          <cell r="AW648" t="str">
            <v>Vacuum Cleaner</v>
          </cell>
          <cell r="AX648" t="str">
            <v>VCVCCR</v>
          </cell>
          <cell r="AY648" t="str">
            <v>Canister</v>
          </cell>
          <cell r="AZ648" t="str">
            <v>VCVCCRMC</v>
          </cell>
          <cell r="BA648" t="str">
            <v>Multi Cyclone(Canister)</v>
          </cell>
        </row>
        <row r="649">
          <cell r="E649" t="str">
            <v>VC73189NHTS.AKSQTAS</v>
          </cell>
          <cell r="F649">
            <v>200</v>
          </cell>
          <cell r="G649">
            <v>0</v>
          </cell>
          <cell r="H649">
            <v>0</v>
          </cell>
          <cell r="I649">
            <v>200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400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 t="str">
            <v/>
          </cell>
          <cell r="AH649" t="str">
            <v/>
          </cell>
          <cell r="AI649" t="str">
            <v/>
          </cell>
          <cell r="AJ649" t="str">
            <v/>
          </cell>
          <cell r="AK649" t="str">
            <v>0.065836</v>
          </cell>
          <cell r="AL649" t="str">
            <v>1</v>
          </cell>
          <cell r="AM649" t="str">
            <v>F</v>
          </cell>
          <cell r="AN649" t="str">
            <v>M0</v>
          </cell>
          <cell r="AO649" t="str">
            <v>Active(Model)</v>
          </cell>
          <cell r="AP649" t="str">
            <v/>
          </cell>
          <cell r="AQ649" t="str">
            <v/>
          </cell>
          <cell r="AR649" t="str">
            <v>Y</v>
          </cell>
          <cell r="AS649" t="str">
            <v/>
          </cell>
          <cell r="AT649" t="str">
            <v>VC</v>
          </cell>
          <cell r="AU649" t="str">
            <v>Vacuum Cleaner</v>
          </cell>
          <cell r="AV649" t="str">
            <v>VCVC</v>
          </cell>
          <cell r="AW649" t="str">
            <v>Vacuum Cleaner</v>
          </cell>
          <cell r="AX649" t="str">
            <v>VCVCCR</v>
          </cell>
          <cell r="AY649" t="str">
            <v>Canister</v>
          </cell>
          <cell r="AZ649" t="str">
            <v>VCVCCRMC</v>
          </cell>
          <cell r="BA649" t="str">
            <v>Multi Cyclone(Canister)</v>
          </cell>
        </row>
        <row r="650">
          <cell r="E650" t="str">
            <v>VC73189NHTS.APSQCIS</v>
          </cell>
          <cell r="F650">
            <v>300</v>
          </cell>
          <cell r="G650">
            <v>0</v>
          </cell>
          <cell r="H650">
            <v>0</v>
          </cell>
          <cell r="I650">
            <v>300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220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 t="str">
            <v/>
          </cell>
          <cell r="AH650" t="str">
            <v/>
          </cell>
          <cell r="AI650" t="str">
            <v/>
          </cell>
          <cell r="AJ650" t="str">
            <v/>
          </cell>
          <cell r="AK650" t="str">
            <v>0.065836</v>
          </cell>
          <cell r="AL650" t="str">
            <v>1</v>
          </cell>
          <cell r="AM650" t="str">
            <v>F</v>
          </cell>
          <cell r="AN650" t="str">
            <v>M0</v>
          </cell>
          <cell r="AO650" t="str">
            <v>Active(Model)</v>
          </cell>
          <cell r="AP650" t="str">
            <v/>
          </cell>
          <cell r="AQ650" t="str">
            <v/>
          </cell>
          <cell r="AR650" t="str">
            <v>Y</v>
          </cell>
          <cell r="AS650" t="str">
            <v/>
          </cell>
          <cell r="AT650" t="str">
            <v>VC</v>
          </cell>
          <cell r="AU650" t="str">
            <v>Vacuum Cleaner</v>
          </cell>
          <cell r="AV650" t="str">
            <v>VCVC</v>
          </cell>
          <cell r="AW650" t="str">
            <v>Vacuum Cleaner</v>
          </cell>
          <cell r="AX650" t="str">
            <v>VCVCCR</v>
          </cell>
          <cell r="AY650" t="str">
            <v>Canister</v>
          </cell>
          <cell r="AZ650" t="str">
            <v>VCVCCRMC</v>
          </cell>
          <cell r="BA650" t="str">
            <v>Multi Cyclone(Canister)</v>
          </cell>
        </row>
        <row r="651">
          <cell r="E651" t="str">
            <v>VC83109UHAQ.AVWQCIS</v>
          </cell>
          <cell r="F651">
            <v>72</v>
          </cell>
          <cell r="G651">
            <v>0</v>
          </cell>
          <cell r="H651">
            <v>0</v>
          </cell>
          <cell r="I651">
            <v>72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50</v>
          </cell>
          <cell r="O651">
            <v>0</v>
          </cell>
          <cell r="P651">
            <v>50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 t="str">
            <v/>
          </cell>
          <cell r="AH651" t="str">
            <v/>
          </cell>
          <cell r="AI651" t="str">
            <v/>
          </cell>
          <cell r="AJ651" t="str">
            <v/>
          </cell>
          <cell r="AK651" t="str">
            <v>0.068758</v>
          </cell>
          <cell r="AL651" t="str">
            <v>1</v>
          </cell>
          <cell r="AM651" t="str">
            <v>F</v>
          </cell>
          <cell r="AN651" t="str">
            <v>M0</v>
          </cell>
          <cell r="AO651" t="str">
            <v>Active(Model)</v>
          </cell>
          <cell r="AP651" t="str">
            <v/>
          </cell>
          <cell r="AQ651" t="str">
            <v/>
          </cell>
          <cell r="AR651" t="str">
            <v>Y</v>
          </cell>
          <cell r="AS651" t="str">
            <v/>
          </cell>
          <cell r="AT651" t="str">
            <v>VC</v>
          </cell>
          <cell r="AU651" t="str">
            <v>Vacuum Cleaner</v>
          </cell>
          <cell r="AV651" t="str">
            <v>VCVC</v>
          </cell>
          <cell r="AW651" t="str">
            <v>Vacuum Cleaner</v>
          </cell>
          <cell r="AX651" t="str">
            <v>VCVCCR</v>
          </cell>
          <cell r="AY651" t="str">
            <v>Canister</v>
          </cell>
          <cell r="AZ651" t="str">
            <v>VCVCCRMC</v>
          </cell>
          <cell r="BA651" t="str">
            <v>Multi Cyclone(Canister)</v>
          </cell>
        </row>
        <row r="652">
          <cell r="E652" t="str">
            <v>VC83209UHA.ABRQCIS</v>
          </cell>
          <cell r="F652">
            <v>828</v>
          </cell>
          <cell r="G652">
            <v>0</v>
          </cell>
          <cell r="H652">
            <v>0</v>
          </cell>
          <cell r="I652">
            <v>828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180</v>
          </cell>
          <cell r="O652">
            <v>226</v>
          </cell>
          <cell r="P652">
            <v>180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 t="str">
            <v/>
          </cell>
          <cell r="AH652" t="str">
            <v/>
          </cell>
          <cell r="AI652" t="str">
            <v/>
          </cell>
          <cell r="AJ652" t="str">
            <v/>
          </cell>
          <cell r="AK652" t="str">
            <v>0.068758</v>
          </cell>
          <cell r="AL652" t="str">
            <v>1</v>
          </cell>
          <cell r="AM652" t="str">
            <v>F</v>
          </cell>
          <cell r="AN652" t="str">
            <v>M0</v>
          </cell>
          <cell r="AO652" t="str">
            <v>Active(Model)</v>
          </cell>
          <cell r="AP652" t="str">
            <v/>
          </cell>
          <cell r="AQ652" t="str">
            <v/>
          </cell>
          <cell r="AR652" t="str">
            <v>Y</v>
          </cell>
          <cell r="AS652" t="str">
            <v/>
          </cell>
          <cell r="AT652" t="str">
            <v>VC</v>
          </cell>
          <cell r="AU652" t="str">
            <v>Vacuum Cleaner</v>
          </cell>
          <cell r="AV652" t="str">
            <v>VCVC</v>
          </cell>
          <cell r="AW652" t="str">
            <v>Vacuum Cleaner</v>
          </cell>
          <cell r="AX652" t="str">
            <v>VCVCCR</v>
          </cell>
          <cell r="AY652" t="str">
            <v>Canister</v>
          </cell>
          <cell r="AZ652" t="str">
            <v>VCVCCRMC</v>
          </cell>
          <cell r="BA652" t="str">
            <v>Multi Cyclone(Canister)</v>
          </cell>
        </row>
        <row r="653">
          <cell r="E653" t="str">
            <v>VC83209UHA.ABRQTAS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380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 t="str">
            <v/>
          </cell>
          <cell r="AH653" t="str">
            <v/>
          </cell>
          <cell r="AI653" t="str">
            <v/>
          </cell>
          <cell r="AJ653" t="str">
            <v/>
          </cell>
          <cell r="AK653" t="str">
            <v>0.060527</v>
          </cell>
          <cell r="AL653" t="str">
            <v>1</v>
          </cell>
          <cell r="AM653" t="str">
            <v>F</v>
          </cell>
          <cell r="AN653" t="str">
            <v>M0</v>
          </cell>
          <cell r="AO653" t="str">
            <v>Active(Model)</v>
          </cell>
          <cell r="AP653" t="str">
            <v/>
          </cell>
          <cell r="AQ653" t="str">
            <v/>
          </cell>
          <cell r="AR653" t="str">
            <v>Y</v>
          </cell>
          <cell r="AS653" t="str">
            <v/>
          </cell>
          <cell r="AT653" t="str">
            <v>VC</v>
          </cell>
          <cell r="AU653" t="str">
            <v>Vacuum Cleaner</v>
          </cell>
          <cell r="AV653" t="str">
            <v>VCVC</v>
          </cell>
          <cell r="AW653" t="str">
            <v>Vacuum Cleaner</v>
          </cell>
          <cell r="AX653" t="str">
            <v>VCVCCR</v>
          </cell>
          <cell r="AY653" t="str">
            <v>Canister</v>
          </cell>
          <cell r="AZ653" t="str">
            <v>VCVCCRMC</v>
          </cell>
          <cell r="BA653" t="str">
            <v>Multi Cyclone(Canister)</v>
          </cell>
        </row>
        <row r="654">
          <cell r="E654" t="str">
            <v>VC83209UHAS.AFSQCIS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100</v>
          </cell>
          <cell r="O654">
            <v>320</v>
          </cell>
          <cell r="P654">
            <v>100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 t="str">
            <v/>
          </cell>
          <cell r="AH654" t="str">
            <v/>
          </cell>
          <cell r="AI654" t="str">
            <v/>
          </cell>
          <cell r="AJ654" t="str">
            <v/>
          </cell>
          <cell r="AK654" t="str">
            <v>0.060527</v>
          </cell>
          <cell r="AL654" t="str">
            <v>1</v>
          </cell>
          <cell r="AM654" t="str">
            <v>F</v>
          </cell>
          <cell r="AN654" t="str">
            <v>M0</v>
          </cell>
          <cell r="AO654" t="str">
            <v>Active(Model)</v>
          </cell>
          <cell r="AP654" t="str">
            <v/>
          </cell>
          <cell r="AQ654" t="str">
            <v/>
          </cell>
          <cell r="AR654" t="str">
            <v>Y</v>
          </cell>
          <cell r="AS654" t="str">
            <v/>
          </cell>
          <cell r="AT654" t="str">
            <v>VC</v>
          </cell>
          <cell r="AU654" t="str">
            <v>Vacuum Cleaner</v>
          </cell>
          <cell r="AV654" t="str">
            <v>VCVC</v>
          </cell>
          <cell r="AW654" t="str">
            <v>Vacuum Cleaner</v>
          </cell>
          <cell r="AX654" t="str">
            <v>VCVCCR</v>
          </cell>
          <cell r="AY654" t="str">
            <v>Canister</v>
          </cell>
          <cell r="AZ654" t="str">
            <v>VCVCCRMC</v>
          </cell>
          <cell r="BA654" t="str">
            <v>Multi Cyclone(Canister)</v>
          </cell>
        </row>
        <row r="655">
          <cell r="E655" t="str">
            <v>VC83209UHAV.AIGQCIS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60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 t="str">
            <v/>
          </cell>
          <cell r="AH655" t="str">
            <v/>
          </cell>
          <cell r="AI655" t="str">
            <v/>
          </cell>
          <cell r="AJ655" t="str">
            <v/>
          </cell>
          <cell r="AK655" t="str">
            <v>0.061680</v>
          </cell>
          <cell r="AL655" t="str">
            <v>1</v>
          </cell>
          <cell r="AM655" t="str">
            <v>F</v>
          </cell>
          <cell r="AN655" t="str">
            <v>M0</v>
          </cell>
          <cell r="AO655" t="str">
            <v>Active(Model)</v>
          </cell>
          <cell r="AP655" t="str">
            <v/>
          </cell>
          <cell r="AQ655" t="str">
            <v/>
          </cell>
          <cell r="AR655" t="str">
            <v>Y</v>
          </cell>
          <cell r="AS655" t="str">
            <v/>
          </cell>
          <cell r="AT655" t="str">
            <v>VC</v>
          </cell>
          <cell r="AU655" t="str">
            <v>Vacuum Cleaner</v>
          </cell>
          <cell r="AV655" t="str">
            <v>VCVC</v>
          </cell>
          <cell r="AW655" t="str">
            <v>Vacuum Cleaner</v>
          </cell>
          <cell r="AX655" t="str">
            <v>VCVCCR</v>
          </cell>
          <cell r="AY655" t="str">
            <v>Canister</v>
          </cell>
          <cell r="AZ655" t="str">
            <v>VCVCCRMC</v>
          </cell>
          <cell r="BA655" t="str">
            <v>Multi Cyclone(Canister)</v>
          </cell>
        </row>
        <row r="656">
          <cell r="E656" t="str">
            <v>VK69662N.APBQCIS</v>
          </cell>
          <cell r="F656">
            <v>71</v>
          </cell>
          <cell r="G656">
            <v>0</v>
          </cell>
          <cell r="H656">
            <v>0</v>
          </cell>
          <cell r="I656">
            <v>71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1079</v>
          </cell>
          <cell r="O656">
            <v>0</v>
          </cell>
          <cell r="P656">
            <v>1079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 t="str">
            <v/>
          </cell>
          <cell r="AH656" t="str">
            <v/>
          </cell>
          <cell r="AI656" t="str">
            <v/>
          </cell>
          <cell r="AJ656" t="str">
            <v/>
          </cell>
          <cell r="AK656" t="str">
            <v>0.055608</v>
          </cell>
          <cell r="AL656" t="str">
            <v>1</v>
          </cell>
          <cell r="AM656" t="str">
            <v>F</v>
          </cell>
          <cell r="AN656" t="str">
            <v>M0</v>
          </cell>
          <cell r="AO656" t="str">
            <v>Active(Model)</v>
          </cell>
          <cell r="AP656" t="str">
            <v/>
          </cell>
          <cell r="AQ656" t="str">
            <v/>
          </cell>
          <cell r="AR656" t="str">
            <v>Y</v>
          </cell>
          <cell r="AS656" t="str">
            <v/>
          </cell>
          <cell r="AT656" t="str">
            <v>VC</v>
          </cell>
          <cell r="AU656" t="str">
            <v>Vacuum Cleaner</v>
          </cell>
          <cell r="AV656" t="str">
            <v>VCVC</v>
          </cell>
          <cell r="AW656" t="str">
            <v>Vacuum Cleaner</v>
          </cell>
          <cell r="AX656" t="str">
            <v>VCVCCR</v>
          </cell>
          <cell r="AY656" t="str">
            <v>Canister</v>
          </cell>
          <cell r="AZ656" t="str">
            <v>VCVCCRSC</v>
          </cell>
          <cell r="BA656" t="str">
            <v>Single Cyclone(Canister)</v>
          </cell>
        </row>
        <row r="657">
          <cell r="E657" t="str">
            <v>VK69662N.APBQTAS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630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 t="str">
            <v/>
          </cell>
          <cell r="AH657" t="str">
            <v/>
          </cell>
          <cell r="AI657" t="str">
            <v/>
          </cell>
          <cell r="AJ657" t="str">
            <v/>
          </cell>
          <cell r="AK657" t="str">
            <v>0.055608</v>
          </cell>
          <cell r="AL657" t="str">
            <v>1</v>
          </cell>
          <cell r="AM657" t="str">
            <v>F</v>
          </cell>
          <cell r="AN657" t="str">
            <v>M0</v>
          </cell>
          <cell r="AO657" t="str">
            <v>Active(Model)</v>
          </cell>
          <cell r="AP657" t="str">
            <v/>
          </cell>
          <cell r="AQ657" t="str">
            <v/>
          </cell>
          <cell r="AR657" t="str">
            <v>Y</v>
          </cell>
          <cell r="AS657" t="str">
            <v/>
          </cell>
          <cell r="AT657" t="str">
            <v>VC</v>
          </cell>
          <cell r="AU657" t="str">
            <v>Vacuum Cleaner</v>
          </cell>
          <cell r="AV657" t="str">
            <v>VCVC</v>
          </cell>
          <cell r="AW657" t="str">
            <v>Vacuum Cleaner</v>
          </cell>
          <cell r="AX657" t="str">
            <v>VCVCCR</v>
          </cell>
          <cell r="AY657" t="str">
            <v>Canister</v>
          </cell>
          <cell r="AZ657" t="str">
            <v>VCVCCRSC</v>
          </cell>
          <cell r="BA657" t="str">
            <v>Single Cyclone(Canister)</v>
          </cell>
        </row>
        <row r="658">
          <cell r="E658" t="str">
            <v>VK7320NHT.AKSQTAS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350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 t="str">
            <v/>
          </cell>
          <cell r="AH658" t="str">
            <v/>
          </cell>
          <cell r="AI658" t="str">
            <v/>
          </cell>
          <cell r="AJ658" t="str">
            <v/>
          </cell>
          <cell r="AK658" t="str">
            <v>0.086000</v>
          </cell>
          <cell r="AL658" t="str">
            <v>1</v>
          </cell>
          <cell r="AM658" t="str">
            <v>F</v>
          </cell>
          <cell r="AN658" t="str">
            <v>M0</v>
          </cell>
          <cell r="AO658" t="str">
            <v>Active(Model)</v>
          </cell>
          <cell r="AP658" t="str">
            <v/>
          </cell>
          <cell r="AQ658" t="str">
            <v/>
          </cell>
          <cell r="AR658" t="str">
            <v>Y</v>
          </cell>
          <cell r="AS658" t="str">
            <v/>
          </cell>
          <cell r="AT658" t="str">
            <v>VC</v>
          </cell>
          <cell r="AU658" t="str">
            <v>Vacuum Cleaner</v>
          </cell>
          <cell r="AV658" t="str">
            <v>VCVC</v>
          </cell>
          <cell r="AW658" t="str">
            <v>Vacuum Cleaner</v>
          </cell>
          <cell r="AX658" t="str">
            <v>VCVCCR</v>
          </cell>
          <cell r="AY658" t="str">
            <v>Canister</v>
          </cell>
          <cell r="AZ658" t="str">
            <v>VCVCCRMC</v>
          </cell>
          <cell r="BA658" t="str">
            <v>Multi Cyclone(Canister)</v>
          </cell>
        </row>
        <row r="659">
          <cell r="E659" t="str">
            <v>VK7320NHTQ.AKBQTAS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400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 t="str">
            <v/>
          </cell>
          <cell r="AH659" t="str">
            <v/>
          </cell>
          <cell r="AI659" t="str">
            <v/>
          </cell>
          <cell r="AJ659" t="str">
            <v/>
          </cell>
          <cell r="AK659" t="str">
            <v>0.065836</v>
          </cell>
          <cell r="AL659" t="str">
            <v>1</v>
          </cell>
          <cell r="AM659" t="str">
            <v>F</v>
          </cell>
          <cell r="AN659" t="str">
            <v>M0</v>
          </cell>
          <cell r="AO659" t="str">
            <v>Active(Model)</v>
          </cell>
          <cell r="AP659" t="str">
            <v/>
          </cell>
          <cell r="AQ659" t="str">
            <v/>
          </cell>
          <cell r="AR659" t="str">
            <v>Y</v>
          </cell>
          <cell r="AS659" t="str">
            <v/>
          </cell>
          <cell r="AT659" t="str">
            <v>VC</v>
          </cell>
          <cell r="AU659" t="str">
            <v>Vacuum Cleaner</v>
          </cell>
          <cell r="AV659" t="str">
            <v>VCVC</v>
          </cell>
          <cell r="AW659" t="str">
            <v>Vacuum Cleaner</v>
          </cell>
          <cell r="AX659" t="str">
            <v>VCVCCR</v>
          </cell>
          <cell r="AY659" t="str">
            <v>Canister</v>
          </cell>
          <cell r="AZ659" t="str">
            <v>VCVCCRMC</v>
          </cell>
          <cell r="BA659" t="str">
            <v>Multi Cyclone(Canister)</v>
          </cell>
        </row>
        <row r="660">
          <cell r="E660" t="str">
            <v>VK89309H.AKSQCIS</v>
          </cell>
          <cell r="F660">
            <v>1163</v>
          </cell>
          <cell r="G660">
            <v>0</v>
          </cell>
          <cell r="H660">
            <v>0</v>
          </cell>
          <cell r="I660">
            <v>1163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1537</v>
          </cell>
          <cell r="O660">
            <v>718</v>
          </cell>
          <cell r="P660">
            <v>1537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 t="str">
            <v/>
          </cell>
          <cell r="AH660" t="str">
            <v/>
          </cell>
          <cell r="AI660" t="str">
            <v/>
          </cell>
          <cell r="AJ660" t="str">
            <v/>
          </cell>
          <cell r="AK660" t="str">
            <v>0.065836</v>
          </cell>
          <cell r="AL660" t="str">
            <v>1</v>
          </cell>
          <cell r="AM660" t="str">
            <v>F</v>
          </cell>
          <cell r="AN660" t="str">
            <v>M0</v>
          </cell>
          <cell r="AO660" t="str">
            <v>Active(Model)</v>
          </cell>
          <cell r="AP660" t="str">
            <v/>
          </cell>
          <cell r="AQ660" t="str">
            <v/>
          </cell>
          <cell r="AR660" t="str">
            <v>Y</v>
          </cell>
          <cell r="AS660" t="str">
            <v/>
          </cell>
          <cell r="AT660" t="str">
            <v>VC</v>
          </cell>
          <cell r="AU660" t="str">
            <v>Vacuum Cleaner</v>
          </cell>
          <cell r="AV660" t="str">
            <v>VCVC</v>
          </cell>
          <cell r="AW660" t="str">
            <v>Vacuum Cleaner</v>
          </cell>
          <cell r="AX660" t="str">
            <v>VCVCCR</v>
          </cell>
          <cell r="AY660" t="str">
            <v>Canister</v>
          </cell>
          <cell r="AZ660" t="str">
            <v>VCVCCRMC</v>
          </cell>
          <cell r="BA660" t="str">
            <v>Multi Cyclone(Canister)</v>
          </cell>
        </row>
        <row r="661">
          <cell r="E661" t="str">
            <v>VK89383HU.A1RQCIS</v>
          </cell>
          <cell r="F661">
            <v>148</v>
          </cell>
          <cell r="G661">
            <v>0</v>
          </cell>
          <cell r="H661">
            <v>0</v>
          </cell>
          <cell r="I661">
            <v>148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100</v>
          </cell>
          <cell r="O661">
            <v>0</v>
          </cell>
          <cell r="P661">
            <v>100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 t="str">
            <v/>
          </cell>
          <cell r="AH661" t="str">
            <v/>
          </cell>
          <cell r="AI661" t="str">
            <v/>
          </cell>
          <cell r="AJ661" t="str">
            <v/>
          </cell>
          <cell r="AK661" t="str">
            <v>0.068758</v>
          </cell>
          <cell r="AL661" t="str">
            <v>1</v>
          </cell>
          <cell r="AM661" t="str">
            <v>F</v>
          </cell>
          <cell r="AN661" t="str">
            <v>M0</v>
          </cell>
          <cell r="AO661" t="str">
            <v>Active(Model)</v>
          </cell>
          <cell r="AP661" t="str">
            <v/>
          </cell>
          <cell r="AQ661" t="str">
            <v/>
          </cell>
          <cell r="AR661" t="str">
            <v>Y</v>
          </cell>
          <cell r="AS661" t="str">
            <v/>
          </cell>
          <cell r="AT661" t="str">
            <v>VC</v>
          </cell>
          <cell r="AU661" t="str">
            <v>Vacuum Cleaner</v>
          </cell>
          <cell r="AV661" t="str">
            <v>VCVC</v>
          </cell>
          <cell r="AW661" t="str">
            <v>Vacuum Cleaner</v>
          </cell>
          <cell r="AX661" t="str">
            <v>VCVCCR</v>
          </cell>
          <cell r="AY661" t="str">
            <v>Canister</v>
          </cell>
          <cell r="AZ661" t="str">
            <v>VCVCCRMC</v>
          </cell>
          <cell r="BA661" t="str">
            <v>Multi Cyclone(Canister)</v>
          </cell>
        </row>
        <row r="662">
          <cell r="E662" t="str">
            <v>VK89609HQ.AKBQCIS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50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 t="str">
            <v/>
          </cell>
          <cell r="AH662" t="str">
            <v/>
          </cell>
          <cell r="AI662" t="str">
            <v/>
          </cell>
          <cell r="AJ662" t="str">
            <v/>
          </cell>
          <cell r="AK662" t="str">
            <v>0.068758</v>
          </cell>
          <cell r="AL662" t="str">
            <v>1</v>
          </cell>
          <cell r="AM662" t="str">
            <v>F</v>
          </cell>
          <cell r="AN662" t="str">
            <v>M0</v>
          </cell>
          <cell r="AO662" t="str">
            <v>Active(Model)</v>
          </cell>
          <cell r="AP662" t="str">
            <v/>
          </cell>
          <cell r="AQ662" t="str">
            <v/>
          </cell>
          <cell r="AR662" t="str">
            <v>Y</v>
          </cell>
          <cell r="AS662" t="str">
            <v/>
          </cell>
          <cell r="AT662" t="str">
            <v>VC</v>
          </cell>
          <cell r="AU662" t="str">
            <v>Vacuum Cleaner</v>
          </cell>
          <cell r="AV662" t="str">
            <v>VCVC</v>
          </cell>
          <cell r="AW662" t="str">
            <v>Vacuum Cleaner</v>
          </cell>
          <cell r="AX662" t="str">
            <v>VCVCCR</v>
          </cell>
          <cell r="AY662" t="str">
            <v>Canister</v>
          </cell>
          <cell r="AZ662" t="str">
            <v>VCVCCRMC</v>
          </cell>
          <cell r="BA662" t="str">
            <v>Multi Cyclone(Canister)</v>
          </cell>
        </row>
        <row r="663">
          <cell r="E663" t="str">
            <v>VK89689HU.AKRQCIS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260</v>
          </cell>
          <cell r="O663">
            <v>0</v>
          </cell>
          <cell r="P663">
            <v>260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 t="str">
            <v/>
          </cell>
          <cell r="AH663" t="str">
            <v/>
          </cell>
          <cell r="AI663" t="str">
            <v/>
          </cell>
          <cell r="AJ663" t="str">
            <v/>
          </cell>
          <cell r="AK663" t="str">
            <v>0.068758</v>
          </cell>
          <cell r="AL663" t="str">
            <v>1</v>
          </cell>
          <cell r="AM663" t="str">
            <v>F</v>
          </cell>
          <cell r="AN663" t="str">
            <v>M0</v>
          </cell>
          <cell r="AO663" t="str">
            <v>Active(Model)</v>
          </cell>
          <cell r="AP663" t="str">
            <v/>
          </cell>
          <cell r="AQ663" t="str">
            <v/>
          </cell>
          <cell r="AR663" t="str">
            <v>Y</v>
          </cell>
          <cell r="AS663" t="str">
            <v/>
          </cell>
          <cell r="AT663" t="str">
            <v>VC</v>
          </cell>
          <cell r="AU663" t="str">
            <v>Vacuum Cleaner</v>
          </cell>
          <cell r="AV663" t="str">
            <v>VCVC</v>
          </cell>
          <cell r="AW663" t="str">
            <v>Vacuum Cleaner</v>
          </cell>
          <cell r="AX663" t="str">
            <v>VCVCCR</v>
          </cell>
          <cell r="AY663" t="str">
            <v>Canister</v>
          </cell>
          <cell r="AZ663" t="str">
            <v>VCVCCRMC</v>
          </cell>
          <cell r="BA663" t="str">
            <v>Multi Cyclone(Canister)</v>
          </cell>
        </row>
        <row r="664">
          <cell r="E664" t="str">
            <v>WD-S21VB.ABLBTST</v>
          </cell>
          <cell r="F664">
            <v>49</v>
          </cell>
          <cell r="G664">
            <v>0</v>
          </cell>
          <cell r="H664">
            <v>0</v>
          </cell>
          <cell r="I664">
            <v>49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75</v>
          </cell>
          <cell r="O664">
            <v>0</v>
          </cell>
          <cell r="P664">
            <v>75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 t="str">
            <v/>
          </cell>
          <cell r="AH664" t="str">
            <v/>
          </cell>
          <cell r="AI664" t="str">
            <v/>
          </cell>
          <cell r="AJ664" t="str">
            <v/>
          </cell>
          <cell r="AK664" t="str">
            <v>0.648000</v>
          </cell>
          <cell r="AL664" t="str">
            <v>1</v>
          </cell>
          <cell r="AM664" t="str">
            <v>F</v>
          </cell>
          <cell r="AN664" t="str">
            <v>M0</v>
          </cell>
          <cell r="AO664" t="str">
            <v>Active(Model)</v>
          </cell>
          <cell r="AP664" t="str">
            <v/>
          </cell>
          <cell r="AQ664" t="str">
            <v/>
          </cell>
          <cell r="AR664" t="str">
            <v>Y</v>
          </cell>
          <cell r="AS664" t="str">
            <v/>
          </cell>
          <cell r="AT664" t="str">
            <v>WM</v>
          </cell>
          <cell r="AU664" t="str">
            <v>Washing Machine</v>
          </cell>
          <cell r="AV664" t="str">
            <v>WMWL</v>
          </cell>
          <cell r="AW664" t="str">
            <v>Clothes Washer</v>
          </cell>
          <cell r="AX664" t="str">
            <v>WMWLFL</v>
          </cell>
          <cell r="AY664" t="str">
            <v>Clothes Washer_Front Loader</v>
          </cell>
          <cell r="AZ664" t="str">
            <v>WMWLFLHS</v>
          </cell>
          <cell r="BA664" t="str">
            <v>Clothes Washer_Drum(DD)_Steam</v>
          </cell>
        </row>
        <row r="665">
          <cell r="E665" t="str">
            <v>WD-S22FW.ABWBTST</v>
          </cell>
          <cell r="F665">
            <v>203</v>
          </cell>
          <cell r="G665">
            <v>0</v>
          </cell>
          <cell r="H665">
            <v>0</v>
          </cell>
          <cell r="I665">
            <v>203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92</v>
          </cell>
          <cell r="O665">
            <v>0</v>
          </cell>
          <cell r="P665">
            <v>92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 t="str">
            <v/>
          </cell>
          <cell r="AH665" t="str">
            <v/>
          </cell>
          <cell r="AI665" t="str">
            <v/>
          </cell>
          <cell r="AJ665" t="str">
            <v/>
          </cell>
          <cell r="AK665" t="str">
            <v>0.704700</v>
          </cell>
          <cell r="AL665" t="str">
            <v>1</v>
          </cell>
          <cell r="AM665" t="str">
            <v>F</v>
          </cell>
          <cell r="AN665" t="str">
            <v>M0</v>
          </cell>
          <cell r="AO665" t="str">
            <v>Active(Model)</v>
          </cell>
          <cell r="AP665" t="str">
            <v/>
          </cell>
          <cell r="AQ665" t="str">
            <v/>
          </cell>
          <cell r="AR665" t="str">
            <v>Y</v>
          </cell>
          <cell r="AS665" t="str">
            <v/>
          </cell>
          <cell r="AT665" t="str">
            <v>WM</v>
          </cell>
          <cell r="AU665" t="str">
            <v>Washing Machine</v>
          </cell>
          <cell r="AV665" t="str">
            <v>WMWL</v>
          </cell>
          <cell r="AW665" t="str">
            <v>Clothes Washer</v>
          </cell>
          <cell r="AX665" t="str">
            <v>WMWLFL</v>
          </cell>
          <cell r="AY665" t="str">
            <v>Clothes Washer_Front Loader</v>
          </cell>
          <cell r="AZ665" t="str">
            <v>WMWLFLHS</v>
          </cell>
          <cell r="BA665" t="str">
            <v>Clothes Washer_Drum(DD)_Steam</v>
          </cell>
        </row>
        <row r="666">
          <cell r="E666" t="str">
            <v>WD12VVC4S6S.ASSELAT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525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 t="str">
            <v/>
          </cell>
          <cell r="AH666" t="str">
            <v/>
          </cell>
          <cell r="AI666" t="str">
            <v/>
          </cell>
          <cell r="AJ666" t="str">
            <v/>
          </cell>
          <cell r="AK666" t="str">
            <v>0.387684</v>
          </cell>
          <cell r="AL666" t="str">
            <v>1</v>
          </cell>
          <cell r="AM666" t="str">
            <v>F</v>
          </cell>
          <cell r="AN666" t="str">
            <v>M0</v>
          </cell>
          <cell r="AO666" t="str">
            <v>Active(Model)</v>
          </cell>
          <cell r="AP666" t="str">
            <v/>
          </cell>
          <cell r="AQ666" t="str">
            <v/>
          </cell>
          <cell r="AR666" t="str">
            <v>Y</v>
          </cell>
          <cell r="AS666" t="str">
            <v/>
          </cell>
          <cell r="AT666" t="str">
            <v>WM</v>
          </cell>
          <cell r="AU666" t="str">
            <v>Washing Machine</v>
          </cell>
          <cell r="AV666" t="str">
            <v>WMWL</v>
          </cell>
          <cell r="AW666" t="str">
            <v>Clothes Washer</v>
          </cell>
          <cell r="AX666" t="str">
            <v>WMWLFL</v>
          </cell>
          <cell r="AY666" t="str">
            <v>Clothes Washer_Front Loader</v>
          </cell>
          <cell r="AZ666" t="str">
            <v>WMWLFLSC</v>
          </cell>
          <cell r="BA666" t="str">
            <v>Clothes Washer_Drum(DD)_Steam_24</v>
          </cell>
        </row>
        <row r="667">
          <cell r="E667" t="str">
            <v>WD12WVC4S6.ABWELAT</v>
          </cell>
          <cell r="F667">
            <v>662</v>
          </cell>
          <cell r="G667">
            <v>0</v>
          </cell>
          <cell r="H667">
            <v>0</v>
          </cell>
          <cell r="I667">
            <v>1306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966</v>
          </cell>
          <cell r="O667">
            <v>72</v>
          </cell>
          <cell r="P667">
            <v>966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 t="str">
            <v/>
          </cell>
          <cell r="AH667" t="str">
            <v/>
          </cell>
          <cell r="AI667" t="str">
            <v/>
          </cell>
          <cell r="AJ667" t="str">
            <v/>
          </cell>
          <cell r="AK667" t="str">
            <v>0.387684</v>
          </cell>
          <cell r="AL667" t="str">
            <v>1</v>
          </cell>
          <cell r="AM667" t="str">
            <v>F</v>
          </cell>
          <cell r="AN667" t="str">
            <v>M0</v>
          </cell>
          <cell r="AO667" t="str">
            <v>Active(Model)</v>
          </cell>
          <cell r="AP667" t="str">
            <v/>
          </cell>
          <cell r="AQ667" t="str">
            <v/>
          </cell>
          <cell r="AR667" t="str">
            <v>Y</v>
          </cell>
          <cell r="AS667" t="str">
            <v/>
          </cell>
          <cell r="AT667" t="str">
            <v>WM</v>
          </cell>
          <cell r="AU667" t="str">
            <v>Washing Machine</v>
          </cell>
          <cell r="AV667" t="str">
            <v>WMWL</v>
          </cell>
          <cell r="AW667" t="str">
            <v>Clothes Washer</v>
          </cell>
          <cell r="AX667" t="str">
            <v>WMWLFL</v>
          </cell>
          <cell r="AY667" t="str">
            <v>Clothes Washer_Front Loader</v>
          </cell>
          <cell r="AZ667" t="str">
            <v>WMWLFLSC</v>
          </cell>
          <cell r="BA667" t="str">
            <v>Clothes Washer_Drum(DD)_Steam_24</v>
          </cell>
        </row>
        <row r="668">
          <cell r="E668" t="str">
            <v>WD16EGNTS6P.AEGELAT</v>
          </cell>
          <cell r="F668">
            <v>224</v>
          </cell>
          <cell r="G668">
            <v>0</v>
          </cell>
          <cell r="H668">
            <v>0</v>
          </cell>
          <cell r="I668">
            <v>224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1</v>
          </cell>
          <cell r="O668">
            <v>0</v>
          </cell>
          <cell r="P668">
            <v>1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 t="str">
            <v/>
          </cell>
          <cell r="AH668" t="str">
            <v/>
          </cell>
          <cell r="AI668" t="str">
            <v/>
          </cell>
          <cell r="AJ668" t="str">
            <v/>
          </cell>
          <cell r="AK668" t="str">
            <v>0.485214</v>
          </cell>
          <cell r="AL668" t="str">
            <v>1</v>
          </cell>
          <cell r="AM668" t="str">
            <v>F</v>
          </cell>
          <cell r="AN668" t="str">
            <v>M0</v>
          </cell>
          <cell r="AO668" t="str">
            <v>Active(Model)</v>
          </cell>
          <cell r="AP668" t="str">
            <v/>
          </cell>
          <cell r="AQ668" t="str">
            <v/>
          </cell>
          <cell r="AR668" t="str">
            <v>Y</v>
          </cell>
          <cell r="AS668" t="str">
            <v/>
          </cell>
          <cell r="AT668" t="str">
            <v>WM</v>
          </cell>
          <cell r="AU668" t="str">
            <v>Washing Machine</v>
          </cell>
          <cell r="AV668" t="str">
            <v>WMWL</v>
          </cell>
          <cell r="AW668" t="str">
            <v>Clothes Washer</v>
          </cell>
          <cell r="AX668" t="str">
            <v>WMWLFL</v>
          </cell>
          <cell r="AY668" t="str">
            <v>Clothes Washer_Front Loader</v>
          </cell>
          <cell r="AZ668" t="str">
            <v>WMWLFLDB</v>
          </cell>
          <cell r="BA668" t="str">
            <v>Clothes Washer_Drum_25</v>
          </cell>
        </row>
        <row r="669">
          <cell r="E669" t="str">
            <v>WD16EWNTS6P.AGWELAT</v>
          </cell>
          <cell r="F669">
            <v>1</v>
          </cell>
          <cell r="G669">
            <v>0</v>
          </cell>
          <cell r="H669">
            <v>0</v>
          </cell>
          <cell r="I669">
            <v>1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215</v>
          </cell>
          <cell r="O669">
            <v>756</v>
          </cell>
          <cell r="P669">
            <v>215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 t="str">
            <v/>
          </cell>
          <cell r="AH669" t="str">
            <v/>
          </cell>
          <cell r="AI669" t="str">
            <v/>
          </cell>
          <cell r="AJ669" t="str">
            <v/>
          </cell>
          <cell r="AK669" t="str">
            <v>0.485214</v>
          </cell>
          <cell r="AL669" t="str">
            <v>1</v>
          </cell>
          <cell r="AM669" t="str">
            <v>F</v>
          </cell>
          <cell r="AN669" t="str">
            <v>M0</v>
          </cell>
          <cell r="AO669" t="str">
            <v>Active(Model)</v>
          </cell>
          <cell r="AP669" t="str">
            <v/>
          </cell>
          <cell r="AQ669" t="str">
            <v/>
          </cell>
          <cell r="AR669" t="str">
            <v>Y</v>
          </cell>
          <cell r="AS669" t="str">
            <v/>
          </cell>
          <cell r="AT669" t="str">
            <v>WM</v>
          </cell>
          <cell r="AU669" t="str">
            <v>Washing Machine</v>
          </cell>
          <cell r="AV669" t="str">
            <v>WMWL</v>
          </cell>
          <cell r="AW669" t="str">
            <v>Clothes Washer</v>
          </cell>
          <cell r="AX669" t="str">
            <v>WMWLFL</v>
          </cell>
          <cell r="AY669" t="str">
            <v>Clothes Washer_Front Loader</v>
          </cell>
          <cell r="AZ669" t="str">
            <v>WMWLFLDB</v>
          </cell>
          <cell r="BA669" t="str">
            <v>Clothes Washer_Drum_25</v>
          </cell>
        </row>
        <row r="670">
          <cell r="E670" t="str">
            <v>WD18BV2S6BA.ABLGBRS</v>
          </cell>
          <cell r="F670">
            <v>15</v>
          </cell>
          <cell r="G670">
            <v>0</v>
          </cell>
          <cell r="H670">
            <v>0</v>
          </cell>
          <cell r="I670">
            <v>15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 t="str">
            <v/>
          </cell>
          <cell r="AH670" t="str">
            <v/>
          </cell>
          <cell r="AI670" t="str">
            <v/>
          </cell>
          <cell r="AJ670" t="str">
            <v/>
          </cell>
          <cell r="AK670" t="str">
            <v>0.648000</v>
          </cell>
          <cell r="AL670" t="str">
            <v>1</v>
          </cell>
          <cell r="AM670" t="str">
            <v>F</v>
          </cell>
          <cell r="AN670" t="str">
            <v>M0</v>
          </cell>
          <cell r="AO670" t="str">
            <v>Active(Model)</v>
          </cell>
          <cell r="AP670" t="str">
            <v/>
          </cell>
          <cell r="AQ670" t="str">
            <v/>
          </cell>
          <cell r="AR670" t="str">
            <v>Y</v>
          </cell>
          <cell r="AS670" t="str">
            <v/>
          </cell>
          <cell r="AT670" t="str">
            <v>WM</v>
          </cell>
          <cell r="AU670" t="str">
            <v>Washing Machine</v>
          </cell>
          <cell r="AV670" t="str">
            <v>WMWL</v>
          </cell>
          <cell r="AW670" t="str">
            <v>Clothes Washer</v>
          </cell>
          <cell r="AX670" t="str">
            <v>WMWLFL</v>
          </cell>
          <cell r="AY670" t="str">
            <v>Clothes Washer_Front Loader</v>
          </cell>
          <cell r="AZ670" t="str">
            <v>WMWLFLHS</v>
          </cell>
          <cell r="BA670" t="str">
            <v>Clothes Washer_Drum(DD)_Steam</v>
          </cell>
        </row>
        <row r="671">
          <cell r="E671" t="str">
            <v>WD18SV2S6B.ASSFBRS</v>
          </cell>
          <cell r="F671">
            <v>45</v>
          </cell>
          <cell r="G671">
            <v>0</v>
          </cell>
          <cell r="H671">
            <v>0</v>
          </cell>
          <cell r="I671">
            <v>45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 t="str">
            <v/>
          </cell>
          <cell r="AH671" t="str">
            <v/>
          </cell>
          <cell r="AI671" t="str">
            <v/>
          </cell>
          <cell r="AJ671" t="str">
            <v/>
          </cell>
          <cell r="AK671" t="str">
            <v>0.648000</v>
          </cell>
          <cell r="AL671" t="str">
            <v>1</v>
          </cell>
          <cell r="AM671" t="str">
            <v>F</v>
          </cell>
          <cell r="AN671" t="str">
            <v>M0</v>
          </cell>
          <cell r="AO671" t="str">
            <v>Active(Model)</v>
          </cell>
          <cell r="AP671" t="str">
            <v/>
          </cell>
          <cell r="AQ671" t="str">
            <v/>
          </cell>
          <cell r="AR671" t="str">
            <v>Y</v>
          </cell>
          <cell r="AS671" t="str">
            <v/>
          </cell>
          <cell r="AT671" t="str">
            <v>WM</v>
          </cell>
          <cell r="AU671" t="str">
            <v>Washing Machine</v>
          </cell>
          <cell r="AV671" t="str">
            <v>WMWL</v>
          </cell>
          <cell r="AW671" t="str">
            <v>Clothes Washer</v>
          </cell>
          <cell r="AX671" t="str">
            <v>WMWLFL</v>
          </cell>
          <cell r="AY671" t="str">
            <v>Clothes Washer_Front Loader</v>
          </cell>
          <cell r="AZ671" t="str">
            <v>WMWLFLHS</v>
          </cell>
          <cell r="BA671" t="str">
            <v>Clothes Washer_Drum(DD)_Steam</v>
          </cell>
        </row>
        <row r="672">
          <cell r="E672" t="str">
            <v>WD20EGNTS6P.AEGELAT</v>
          </cell>
          <cell r="F672">
            <v>21</v>
          </cell>
          <cell r="G672">
            <v>0</v>
          </cell>
          <cell r="H672">
            <v>0</v>
          </cell>
          <cell r="I672">
            <v>21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 t="str">
            <v/>
          </cell>
          <cell r="AH672" t="str">
            <v/>
          </cell>
          <cell r="AI672" t="str">
            <v/>
          </cell>
          <cell r="AJ672" t="str">
            <v/>
          </cell>
          <cell r="AK672" t="str">
            <v>0.579360</v>
          </cell>
          <cell r="AL672" t="str">
            <v>1</v>
          </cell>
          <cell r="AM672" t="str">
            <v>F</v>
          </cell>
          <cell r="AN672" t="str">
            <v>M0</v>
          </cell>
          <cell r="AO672" t="str">
            <v>Active(Model)</v>
          </cell>
          <cell r="AP672" t="str">
            <v/>
          </cell>
          <cell r="AQ672" t="str">
            <v/>
          </cell>
          <cell r="AR672" t="str">
            <v>Y</v>
          </cell>
          <cell r="AS672" t="str">
            <v/>
          </cell>
          <cell r="AT672" t="str">
            <v>WM</v>
          </cell>
          <cell r="AU672" t="str">
            <v>Washing Machine</v>
          </cell>
          <cell r="AV672" t="str">
            <v>WMWL</v>
          </cell>
          <cell r="AW672" t="str">
            <v>Clothes Washer</v>
          </cell>
          <cell r="AX672" t="str">
            <v>WMWLFL</v>
          </cell>
          <cell r="AY672" t="str">
            <v>Clothes Washer_Front Loader</v>
          </cell>
          <cell r="AZ672" t="str">
            <v>WMWLFLDB</v>
          </cell>
          <cell r="BA672" t="str">
            <v>Clothes Washer_Drum_25</v>
          </cell>
        </row>
        <row r="673">
          <cell r="E673" t="str">
            <v>WD20EWNTS6P.AGWELAT</v>
          </cell>
          <cell r="F673">
            <v>282</v>
          </cell>
          <cell r="G673">
            <v>0</v>
          </cell>
          <cell r="H673">
            <v>0</v>
          </cell>
          <cell r="I673">
            <v>282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 t="str">
            <v/>
          </cell>
          <cell r="AH673" t="str">
            <v/>
          </cell>
          <cell r="AI673" t="str">
            <v/>
          </cell>
          <cell r="AJ673" t="str">
            <v/>
          </cell>
          <cell r="AK673" t="str">
            <v>0.579360</v>
          </cell>
          <cell r="AL673" t="str">
            <v>1</v>
          </cell>
          <cell r="AM673" t="str">
            <v>F</v>
          </cell>
          <cell r="AN673" t="str">
            <v>M0</v>
          </cell>
          <cell r="AO673" t="str">
            <v>Active(Model)</v>
          </cell>
          <cell r="AP673" t="str">
            <v/>
          </cell>
          <cell r="AQ673" t="str">
            <v/>
          </cell>
          <cell r="AR673" t="str">
            <v>Y</v>
          </cell>
          <cell r="AS673" t="str">
            <v/>
          </cell>
          <cell r="AT673" t="str">
            <v>WM</v>
          </cell>
          <cell r="AU673" t="str">
            <v>Washing Machine</v>
          </cell>
          <cell r="AV673" t="str">
            <v>WMWL</v>
          </cell>
          <cell r="AW673" t="str">
            <v>Clothes Washer</v>
          </cell>
          <cell r="AX673" t="str">
            <v>WMWLFL</v>
          </cell>
          <cell r="AY673" t="str">
            <v>Clothes Washer_Front Loader</v>
          </cell>
          <cell r="AZ673" t="str">
            <v>WMWLFLDB</v>
          </cell>
          <cell r="BA673" t="str">
            <v>Clothes Washer_Drum_25</v>
          </cell>
        </row>
        <row r="674">
          <cell r="E674" t="str">
            <v>WD20VV2S6R.ASSELAT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180</v>
          </cell>
          <cell r="O674">
            <v>1</v>
          </cell>
          <cell r="P674">
            <v>180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 t="str">
            <v/>
          </cell>
          <cell r="AH674" t="str">
            <v/>
          </cell>
          <cell r="AI674" t="str">
            <v/>
          </cell>
          <cell r="AJ674" t="str">
            <v/>
          </cell>
          <cell r="AK674" t="str">
            <v>0.648000</v>
          </cell>
          <cell r="AL674" t="str">
            <v>1</v>
          </cell>
          <cell r="AM674" t="str">
            <v>F</v>
          </cell>
          <cell r="AN674" t="str">
            <v>M0</v>
          </cell>
          <cell r="AO674" t="str">
            <v>Active(Model)</v>
          </cell>
          <cell r="AP674" t="str">
            <v/>
          </cell>
          <cell r="AQ674" t="str">
            <v/>
          </cell>
          <cell r="AR674" t="str">
            <v>Y</v>
          </cell>
          <cell r="AS674" t="str">
            <v/>
          </cell>
          <cell r="AT674" t="str">
            <v>WM</v>
          </cell>
          <cell r="AU674" t="str">
            <v>Washing Machine</v>
          </cell>
          <cell r="AV674" t="str">
            <v>WMWL</v>
          </cell>
          <cell r="AW674" t="str">
            <v>Clothes Washer</v>
          </cell>
          <cell r="AX674" t="str">
            <v>WMWLFL</v>
          </cell>
          <cell r="AY674" t="str">
            <v>Clothes Washer_Front Loader</v>
          </cell>
          <cell r="AZ674" t="str">
            <v>WMWLFLHS</v>
          </cell>
          <cell r="BA674" t="str">
            <v>Clothes Washer_Drum(DD)_Steam</v>
          </cell>
        </row>
        <row r="675">
          <cell r="E675" t="str">
            <v>WD22BV2S6GR.ABLELAT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90</v>
          </cell>
          <cell r="O675">
            <v>0</v>
          </cell>
          <cell r="P675">
            <v>90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 t="str">
            <v/>
          </cell>
          <cell r="AH675" t="str">
            <v/>
          </cell>
          <cell r="AI675" t="str">
            <v/>
          </cell>
          <cell r="AJ675" t="str">
            <v/>
          </cell>
          <cell r="AK675" t="str">
            <v>0.648000</v>
          </cell>
          <cell r="AL675" t="str">
            <v>1</v>
          </cell>
          <cell r="AM675" t="str">
            <v>F</v>
          </cell>
          <cell r="AN675" t="str">
            <v>M0</v>
          </cell>
          <cell r="AO675" t="str">
            <v>Active(Model)</v>
          </cell>
          <cell r="AP675" t="str">
            <v/>
          </cell>
          <cell r="AQ675" t="str">
            <v/>
          </cell>
          <cell r="AR675" t="str">
            <v>Y</v>
          </cell>
          <cell r="AS675" t="str">
            <v/>
          </cell>
          <cell r="AT675" t="str">
            <v>WM</v>
          </cell>
          <cell r="AU675" t="str">
            <v>Washing Machine</v>
          </cell>
          <cell r="AV675" t="str">
            <v>WMWL</v>
          </cell>
          <cell r="AW675" t="str">
            <v>Clothes Washer</v>
          </cell>
          <cell r="AX675" t="str">
            <v>WMWLFL</v>
          </cell>
          <cell r="AY675" t="str">
            <v>Clothes Washer_Front Loader</v>
          </cell>
          <cell r="AZ675" t="str">
            <v>WMWLFLHS</v>
          </cell>
          <cell r="BA675" t="str">
            <v>Clothes Washer_Drum(DD)_Steam</v>
          </cell>
        </row>
        <row r="676">
          <cell r="E676" t="str">
            <v>WD22BV2S6R.ABLPECL</v>
          </cell>
          <cell r="F676">
            <v>90</v>
          </cell>
          <cell r="G676">
            <v>0</v>
          </cell>
          <cell r="H676">
            <v>0</v>
          </cell>
          <cell r="I676">
            <v>90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 t="str">
            <v/>
          </cell>
          <cell r="AH676" t="str">
            <v/>
          </cell>
          <cell r="AI676" t="str">
            <v/>
          </cell>
          <cell r="AJ676" t="str">
            <v/>
          </cell>
          <cell r="AK676" t="str">
            <v>0.648000</v>
          </cell>
          <cell r="AL676" t="str">
            <v>1</v>
          </cell>
          <cell r="AM676" t="str">
            <v>F</v>
          </cell>
          <cell r="AN676" t="str">
            <v>M0</v>
          </cell>
          <cell r="AO676" t="str">
            <v>Active(Model)</v>
          </cell>
          <cell r="AP676" t="str">
            <v/>
          </cell>
          <cell r="AQ676" t="str">
            <v/>
          </cell>
          <cell r="AR676" t="str">
            <v>Y</v>
          </cell>
          <cell r="AS676" t="str">
            <v/>
          </cell>
          <cell r="AT676" t="str">
            <v>WM</v>
          </cell>
          <cell r="AU676" t="str">
            <v>Washing Machine</v>
          </cell>
          <cell r="AV676" t="str">
            <v>WMWL</v>
          </cell>
          <cell r="AW676" t="str">
            <v>Clothes Washer</v>
          </cell>
          <cell r="AX676" t="str">
            <v>WMWLFL</v>
          </cell>
          <cell r="AY676" t="str">
            <v>Clothes Washer_Front Loader</v>
          </cell>
          <cell r="AZ676" t="str">
            <v>WMWLFLHS</v>
          </cell>
          <cell r="BA676" t="str">
            <v>Clothes Washer_Drum(DD)_Steam</v>
          </cell>
        </row>
        <row r="677">
          <cell r="E677" t="str">
            <v>WD22VV2S6BR.ASSECOL</v>
          </cell>
          <cell r="F677">
            <v>6</v>
          </cell>
          <cell r="G677">
            <v>0</v>
          </cell>
          <cell r="H677">
            <v>0</v>
          </cell>
          <cell r="I677">
            <v>246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240</v>
          </cell>
          <cell r="O677">
            <v>114</v>
          </cell>
          <cell r="P677">
            <v>240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 t="str">
            <v/>
          </cell>
          <cell r="AH677" t="str">
            <v/>
          </cell>
          <cell r="AI677" t="str">
            <v/>
          </cell>
          <cell r="AJ677" t="str">
            <v/>
          </cell>
          <cell r="AK677" t="str">
            <v>0.648000</v>
          </cell>
          <cell r="AL677" t="str">
            <v>1</v>
          </cell>
          <cell r="AM677" t="str">
            <v>F</v>
          </cell>
          <cell r="AN677" t="str">
            <v>M0</v>
          </cell>
          <cell r="AO677" t="str">
            <v>Active(Model)</v>
          </cell>
          <cell r="AP677" t="str">
            <v/>
          </cell>
          <cell r="AQ677" t="str">
            <v/>
          </cell>
          <cell r="AR677" t="str">
            <v>Y</v>
          </cell>
          <cell r="AS677" t="str">
            <v/>
          </cell>
          <cell r="AT677" t="str">
            <v>WM</v>
          </cell>
          <cell r="AU677" t="str">
            <v>Washing Machine</v>
          </cell>
          <cell r="AV677" t="str">
            <v>WMWL</v>
          </cell>
          <cell r="AW677" t="str">
            <v>Clothes Washer</v>
          </cell>
          <cell r="AX677" t="str">
            <v>WMWLFL</v>
          </cell>
          <cell r="AY677" t="str">
            <v>Clothes Washer_Front Loader</v>
          </cell>
          <cell r="AZ677" t="str">
            <v>WMWLFLHS</v>
          </cell>
          <cell r="BA677" t="str">
            <v>Clothes Washer_Drum(DD)_Steam</v>
          </cell>
        </row>
        <row r="678">
          <cell r="E678" t="str">
            <v>WD22VV2S6R.ASSELAT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90</v>
          </cell>
          <cell r="O678">
            <v>0</v>
          </cell>
          <cell r="P678">
            <v>90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 t="str">
            <v/>
          </cell>
          <cell r="AH678" t="str">
            <v/>
          </cell>
          <cell r="AI678" t="str">
            <v/>
          </cell>
          <cell r="AJ678" t="str">
            <v/>
          </cell>
          <cell r="AK678" t="str">
            <v>0.648000</v>
          </cell>
          <cell r="AL678" t="str">
            <v>1</v>
          </cell>
          <cell r="AM678" t="str">
            <v>F</v>
          </cell>
          <cell r="AN678" t="str">
            <v>M0</v>
          </cell>
          <cell r="AO678" t="str">
            <v>Active(Model)</v>
          </cell>
          <cell r="AP678" t="str">
            <v/>
          </cell>
          <cell r="AQ678" t="str">
            <v/>
          </cell>
          <cell r="AR678" t="str">
            <v>Y</v>
          </cell>
          <cell r="AS678" t="str">
            <v/>
          </cell>
          <cell r="AT678" t="str">
            <v>WM</v>
          </cell>
          <cell r="AU678" t="str">
            <v>Washing Machine</v>
          </cell>
          <cell r="AV678" t="str">
            <v>WMWL</v>
          </cell>
          <cell r="AW678" t="str">
            <v>Clothes Washer</v>
          </cell>
          <cell r="AX678" t="str">
            <v>WMWLFL</v>
          </cell>
          <cell r="AY678" t="str">
            <v>Clothes Washer_Front Loader</v>
          </cell>
          <cell r="AZ678" t="str">
            <v>WMWLFLHS</v>
          </cell>
          <cell r="BA678" t="str">
            <v>Clothes Washer_Drum(DD)_Steam</v>
          </cell>
        </row>
        <row r="679">
          <cell r="E679" t="str">
            <v>WD22WV26R.ABWELAT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90</v>
          </cell>
          <cell r="O679">
            <v>0</v>
          </cell>
          <cell r="P679">
            <v>90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 t="str">
            <v/>
          </cell>
          <cell r="AH679" t="str">
            <v/>
          </cell>
          <cell r="AI679" t="str">
            <v/>
          </cell>
          <cell r="AJ679" t="str">
            <v/>
          </cell>
          <cell r="AK679" t="str">
            <v>0.648000</v>
          </cell>
          <cell r="AL679" t="str">
            <v>1</v>
          </cell>
          <cell r="AM679" t="str">
            <v>F</v>
          </cell>
          <cell r="AN679" t="str">
            <v>M0</v>
          </cell>
          <cell r="AO679" t="str">
            <v>Active(Model)</v>
          </cell>
          <cell r="AP679" t="str">
            <v/>
          </cell>
          <cell r="AQ679" t="str">
            <v/>
          </cell>
          <cell r="AR679" t="str">
            <v>Y</v>
          </cell>
          <cell r="AS679" t="str">
            <v/>
          </cell>
          <cell r="AT679" t="str">
            <v>WM</v>
          </cell>
          <cell r="AU679" t="str">
            <v>Washing Machine</v>
          </cell>
          <cell r="AV679" t="str">
            <v>WMWL</v>
          </cell>
          <cell r="AW679" t="str">
            <v>Clothes Washer</v>
          </cell>
          <cell r="AX679" t="str">
            <v>WMWLFL</v>
          </cell>
          <cell r="AY679" t="str">
            <v>Clothes Washer_Front Loader</v>
          </cell>
          <cell r="AZ679" t="str">
            <v>WMWLFLHS</v>
          </cell>
          <cell r="BA679" t="str">
            <v>Clothes Washer_Drum(DD)_Steam</v>
          </cell>
        </row>
        <row r="680">
          <cell r="E680" t="str">
            <v>WK22VS6P.ASSELAT</v>
          </cell>
          <cell r="F680">
            <v>10</v>
          </cell>
          <cell r="G680">
            <v>0</v>
          </cell>
          <cell r="H680">
            <v>0</v>
          </cell>
          <cell r="I680">
            <v>10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 t="str">
            <v/>
          </cell>
          <cell r="AH680" t="str">
            <v/>
          </cell>
          <cell r="AI680" t="str">
            <v/>
          </cell>
          <cell r="AJ680" t="str">
            <v/>
          </cell>
          <cell r="AK680" t="str">
            <v>1.207602</v>
          </cell>
          <cell r="AL680" t="str">
            <v>1</v>
          </cell>
          <cell r="AM680" t="str">
            <v>F</v>
          </cell>
          <cell r="AN680" t="str">
            <v>M0</v>
          </cell>
          <cell r="AO680" t="str">
            <v>Active(Model)</v>
          </cell>
          <cell r="AP680" t="str">
            <v/>
          </cell>
          <cell r="AQ680" t="str">
            <v/>
          </cell>
          <cell r="AR680" t="str">
            <v>Y</v>
          </cell>
          <cell r="AS680" t="str">
            <v/>
          </cell>
          <cell r="AT680" t="str">
            <v>WM</v>
          </cell>
          <cell r="AU680" t="str">
            <v>Washing Machine</v>
          </cell>
          <cell r="AV680" t="str">
            <v>WMWL</v>
          </cell>
          <cell r="AW680" t="str">
            <v>Clothes Washer</v>
          </cell>
          <cell r="AX680" t="str">
            <v>WMWLCC</v>
          </cell>
          <cell r="AY680" t="str">
            <v>Clothes Washer_Laundry Center</v>
          </cell>
          <cell r="AZ680" t="str">
            <v>WMWLCCLC</v>
          </cell>
          <cell r="BA680" t="str">
            <v>Clothes Stacked Washer Dryer</v>
          </cell>
        </row>
        <row r="681">
          <cell r="E681" t="str">
            <v>WK22WS6P.ABWELAT</v>
          </cell>
          <cell r="F681">
            <v>0</v>
          </cell>
          <cell r="G681">
            <v>0</v>
          </cell>
          <cell r="H681">
            <v>20</v>
          </cell>
          <cell r="I681">
            <v>20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 t="str">
            <v/>
          </cell>
          <cell r="AH681" t="str">
            <v/>
          </cell>
          <cell r="AI681" t="str">
            <v/>
          </cell>
          <cell r="AJ681" t="str">
            <v/>
          </cell>
          <cell r="AK681" t="str">
            <v>1.207602</v>
          </cell>
          <cell r="AL681" t="str">
            <v>1</v>
          </cell>
          <cell r="AM681" t="str">
            <v>F</v>
          </cell>
          <cell r="AN681" t="str">
            <v>M0</v>
          </cell>
          <cell r="AO681" t="str">
            <v>Active(Model)</v>
          </cell>
          <cell r="AP681" t="str">
            <v/>
          </cell>
          <cell r="AQ681" t="str">
            <v/>
          </cell>
          <cell r="AR681" t="str">
            <v>Y</v>
          </cell>
          <cell r="AS681" t="str">
            <v/>
          </cell>
          <cell r="AT681" t="str">
            <v>WM</v>
          </cell>
          <cell r="AU681" t="str">
            <v>Washing Machine</v>
          </cell>
          <cell r="AV681" t="str">
            <v>WMWL</v>
          </cell>
          <cell r="AW681" t="str">
            <v>Clothes Washer</v>
          </cell>
          <cell r="AX681" t="str">
            <v>WMWLCC</v>
          </cell>
          <cell r="AY681" t="str">
            <v>Clothes Washer_Laundry Center</v>
          </cell>
          <cell r="AZ681" t="str">
            <v>WMWLCCLC</v>
          </cell>
          <cell r="BA681" t="str">
            <v>Clothes Stacked Washer Dryer</v>
          </cell>
        </row>
        <row r="682">
          <cell r="E682" t="str">
            <v>WK25BS6.ABLELAT</v>
          </cell>
          <cell r="F682">
            <v>108</v>
          </cell>
          <cell r="G682">
            <v>0</v>
          </cell>
          <cell r="H682">
            <v>11</v>
          </cell>
          <cell r="I682">
            <v>119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126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 t="str">
            <v/>
          </cell>
          <cell r="AH682" t="str">
            <v/>
          </cell>
          <cell r="AI682" t="str">
            <v/>
          </cell>
          <cell r="AJ682" t="str">
            <v/>
          </cell>
          <cell r="AK682" t="str">
            <v>1.276866</v>
          </cell>
          <cell r="AL682" t="str">
            <v>1</v>
          </cell>
          <cell r="AM682" t="str">
            <v>F</v>
          </cell>
          <cell r="AN682" t="str">
            <v>M0</v>
          </cell>
          <cell r="AO682" t="str">
            <v>Active(Model)</v>
          </cell>
          <cell r="AP682" t="str">
            <v/>
          </cell>
          <cell r="AQ682" t="str">
            <v/>
          </cell>
          <cell r="AR682" t="str">
            <v>Y</v>
          </cell>
          <cell r="AS682" t="str">
            <v/>
          </cell>
          <cell r="AT682" t="str">
            <v>WM</v>
          </cell>
          <cell r="AU682" t="str">
            <v>Washing Machine</v>
          </cell>
          <cell r="AV682" t="str">
            <v>WMWL</v>
          </cell>
          <cell r="AW682" t="str">
            <v>Clothes Washer</v>
          </cell>
          <cell r="AX682" t="str">
            <v>WMWLCC</v>
          </cell>
          <cell r="AY682" t="str">
            <v>Clothes Washer_Laundry Center</v>
          </cell>
          <cell r="AZ682" t="str">
            <v>WMWLCCLC</v>
          </cell>
          <cell r="BA682" t="str">
            <v>Clothes Stacked Washer Dryer</v>
          </cell>
        </row>
        <row r="683">
          <cell r="E683" t="str">
            <v>WK25BS6E.ABLELAT</v>
          </cell>
          <cell r="F683">
            <v>75</v>
          </cell>
          <cell r="G683">
            <v>0</v>
          </cell>
          <cell r="H683">
            <v>5</v>
          </cell>
          <cell r="I683">
            <v>80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84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 t="str">
            <v/>
          </cell>
          <cell r="AH683" t="str">
            <v/>
          </cell>
          <cell r="AI683" t="str">
            <v/>
          </cell>
          <cell r="AJ683" t="str">
            <v/>
          </cell>
          <cell r="AK683" t="str">
            <v>1.276866</v>
          </cell>
          <cell r="AL683" t="str">
            <v>1</v>
          </cell>
          <cell r="AM683" t="str">
            <v>F</v>
          </cell>
          <cell r="AN683" t="str">
            <v>M0</v>
          </cell>
          <cell r="AO683" t="str">
            <v>Active(Model)</v>
          </cell>
          <cell r="AP683" t="str">
            <v/>
          </cell>
          <cell r="AQ683" t="str">
            <v/>
          </cell>
          <cell r="AR683" t="str">
            <v>Y</v>
          </cell>
          <cell r="AS683" t="str">
            <v/>
          </cell>
          <cell r="AT683" t="str">
            <v>WM</v>
          </cell>
          <cell r="AU683" t="str">
            <v>Washing Machine</v>
          </cell>
          <cell r="AV683" t="str">
            <v>WMWL</v>
          </cell>
          <cell r="AW683" t="str">
            <v>Clothes Washer</v>
          </cell>
          <cell r="AX683" t="str">
            <v>WMWLCC</v>
          </cell>
          <cell r="AY683" t="str">
            <v>Clothes Washer_Laundry Center</v>
          </cell>
          <cell r="AZ683" t="str">
            <v>WMWLCCLC</v>
          </cell>
          <cell r="BA683" t="str">
            <v>Clothes Stacked Washer Dryer</v>
          </cell>
        </row>
        <row r="684">
          <cell r="E684" t="str">
            <v>WK25VS6.ASSELAT</v>
          </cell>
          <cell r="F684">
            <v>4</v>
          </cell>
          <cell r="G684">
            <v>0</v>
          </cell>
          <cell r="H684">
            <v>0</v>
          </cell>
          <cell r="I684">
            <v>4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 t="str">
            <v/>
          </cell>
          <cell r="AH684" t="str">
            <v/>
          </cell>
          <cell r="AI684" t="str">
            <v/>
          </cell>
          <cell r="AJ684" t="str">
            <v/>
          </cell>
          <cell r="AK684" t="str">
            <v>1.276866</v>
          </cell>
          <cell r="AL684" t="str">
            <v>1</v>
          </cell>
          <cell r="AM684" t="str">
            <v>F</v>
          </cell>
          <cell r="AN684" t="str">
            <v>M0</v>
          </cell>
          <cell r="AO684" t="str">
            <v>Active(Model)</v>
          </cell>
          <cell r="AP684" t="str">
            <v/>
          </cell>
          <cell r="AQ684" t="str">
            <v/>
          </cell>
          <cell r="AR684" t="str">
            <v>Y</v>
          </cell>
          <cell r="AS684" t="str">
            <v/>
          </cell>
          <cell r="AT684" t="str">
            <v>WM</v>
          </cell>
          <cell r="AU684" t="str">
            <v>Washing Machine</v>
          </cell>
          <cell r="AV684" t="str">
            <v>WMWL</v>
          </cell>
          <cell r="AW684" t="str">
            <v>Clothes Washer</v>
          </cell>
          <cell r="AX684" t="str">
            <v>WMWLCC</v>
          </cell>
          <cell r="AY684" t="str">
            <v>Clothes Washer_Laundry Center</v>
          </cell>
          <cell r="AZ684" t="str">
            <v>WMWLCCLC</v>
          </cell>
          <cell r="BA684" t="str">
            <v>Clothes Stacked Washer Dryer</v>
          </cell>
        </row>
        <row r="685">
          <cell r="E685" t="str">
            <v>WK25VS6E.ASSELAT</v>
          </cell>
          <cell r="F685">
            <v>5</v>
          </cell>
          <cell r="G685">
            <v>0</v>
          </cell>
          <cell r="H685">
            <v>0</v>
          </cell>
          <cell r="I685">
            <v>5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 t="str">
            <v/>
          </cell>
          <cell r="AH685" t="str">
            <v/>
          </cell>
          <cell r="AI685" t="str">
            <v/>
          </cell>
          <cell r="AJ685" t="str">
            <v/>
          </cell>
          <cell r="AK685" t="str">
            <v>1.276866</v>
          </cell>
          <cell r="AL685" t="str">
            <v>1</v>
          </cell>
          <cell r="AM685" t="str">
            <v>F</v>
          </cell>
          <cell r="AN685" t="str">
            <v>M0</v>
          </cell>
          <cell r="AO685" t="str">
            <v>Active(Model)</v>
          </cell>
          <cell r="AP685" t="str">
            <v/>
          </cell>
          <cell r="AQ685" t="str">
            <v/>
          </cell>
          <cell r="AR685" t="str">
            <v>Y</v>
          </cell>
          <cell r="AS685" t="str">
            <v/>
          </cell>
          <cell r="AT685" t="str">
            <v>WM</v>
          </cell>
          <cell r="AU685" t="str">
            <v>Washing Machine</v>
          </cell>
          <cell r="AV685" t="str">
            <v>WMWL</v>
          </cell>
          <cell r="AW685" t="str">
            <v>Clothes Washer</v>
          </cell>
          <cell r="AX685" t="str">
            <v>WMWLCC</v>
          </cell>
          <cell r="AY685" t="str">
            <v>Clothes Washer_Laundry Center</v>
          </cell>
          <cell r="AZ685" t="str">
            <v>WMWLCCLC</v>
          </cell>
          <cell r="BA685" t="str">
            <v>Clothes Stacked Washer Dryer</v>
          </cell>
        </row>
        <row r="686">
          <cell r="E686" t="str">
            <v>WK25WS6.ABWELAT</v>
          </cell>
          <cell r="F686">
            <v>162</v>
          </cell>
          <cell r="G686">
            <v>0</v>
          </cell>
          <cell r="H686">
            <v>6</v>
          </cell>
          <cell r="I686">
            <v>168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234</v>
          </cell>
          <cell r="O686">
            <v>0</v>
          </cell>
          <cell r="P686">
            <v>234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 t="str">
            <v/>
          </cell>
          <cell r="AH686" t="str">
            <v/>
          </cell>
          <cell r="AI686" t="str">
            <v/>
          </cell>
          <cell r="AJ686" t="str">
            <v/>
          </cell>
          <cell r="AK686" t="str">
            <v>1.276866</v>
          </cell>
          <cell r="AL686" t="str">
            <v>1</v>
          </cell>
          <cell r="AM686" t="str">
            <v>F</v>
          </cell>
          <cell r="AN686" t="str">
            <v>M0</v>
          </cell>
          <cell r="AO686" t="str">
            <v>Active(Model)</v>
          </cell>
          <cell r="AP686" t="str">
            <v/>
          </cell>
          <cell r="AQ686" t="str">
            <v/>
          </cell>
          <cell r="AR686" t="str">
            <v>Y</v>
          </cell>
          <cell r="AS686" t="str">
            <v/>
          </cell>
          <cell r="AT686" t="str">
            <v>WM</v>
          </cell>
          <cell r="AU686" t="str">
            <v>Washing Machine</v>
          </cell>
          <cell r="AV686" t="str">
            <v>WMWL</v>
          </cell>
          <cell r="AW686" t="str">
            <v>Clothes Washer</v>
          </cell>
          <cell r="AX686" t="str">
            <v>WMWLCC</v>
          </cell>
          <cell r="AY686" t="str">
            <v>Clothes Washer_Laundry Center</v>
          </cell>
          <cell r="AZ686" t="str">
            <v>WMWLCCLC</v>
          </cell>
          <cell r="BA686" t="str">
            <v>Clothes Stacked Washer Dryer</v>
          </cell>
        </row>
        <row r="687">
          <cell r="E687" t="str">
            <v>WK25WS6E.ABWELAT</v>
          </cell>
          <cell r="F687">
            <v>26</v>
          </cell>
          <cell r="G687">
            <v>0</v>
          </cell>
          <cell r="H687">
            <v>5</v>
          </cell>
          <cell r="I687">
            <v>31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159</v>
          </cell>
          <cell r="O687">
            <v>0</v>
          </cell>
          <cell r="P687">
            <v>159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 t="str">
            <v/>
          </cell>
          <cell r="AH687" t="str">
            <v/>
          </cell>
          <cell r="AI687" t="str">
            <v/>
          </cell>
          <cell r="AJ687" t="str">
            <v/>
          </cell>
          <cell r="AK687" t="str">
            <v>1.276866</v>
          </cell>
          <cell r="AL687" t="str">
            <v>1</v>
          </cell>
          <cell r="AM687" t="str">
            <v>F</v>
          </cell>
          <cell r="AN687" t="str">
            <v>M0</v>
          </cell>
          <cell r="AO687" t="str">
            <v>Active(Model)</v>
          </cell>
          <cell r="AP687" t="str">
            <v/>
          </cell>
          <cell r="AQ687" t="str">
            <v/>
          </cell>
          <cell r="AR687" t="str">
            <v>Y</v>
          </cell>
          <cell r="AS687" t="str">
            <v/>
          </cell>
          <cell r="AT687" t="str">
            <v>WM</v>
          </cell>
          <cell r="AU687" t="str">
            <v>Washing Machine</v>
          </cell>
          <cell r="AV687" t="str">
            <v>WMWL</v>
          </cell>
          <cell r="AW687" t="str">
            <v>Clothes Washer</v>
          </cell>
          <cell r="AX687" t="str">
            <v>WMWLCC</v>
          </cell>
          <cell r="AY687" t="str">
            <v>Clothes Washer_Laundry Center</v>
          </cell>
          <cell r="AZ687" t="str">
            <v>WMWLCCLC</v>
          </cell>
          <cell r="BA687" t="str">
            <v>Clothes Stacked Washer Dryer</v>
          </cell>
        </row>
        <row r="688">
          <cell r="E688" t="str">
            <v>WM12MBVX5S6.AEBPECL</v>
          </cell>
          <cell r="F688">
            <v>16</v>
          </cell>
          <cell r="G688">
            <v>0</v>
          </cell>
          <cell r="H688">
            <v>0</v>
          </cell>
          <cell r="I688">
            <v>16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161</v>
          </cell>
          <cell r="O688">
            <v>322</v>
          </cell>
          <cell r="P688">
            <v>161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 t="str">
            <v/>
          </cell>
          <cell r="AH688" t="str">
            <v/>
          </cell>
          <cell r="AI688" t="str">
            <v/>
          </cell>
          <cell r="AJ688" t="str">
            <v/>
          </cell>
          <cell r="AK688" t="str">
            <v>0.383328</v>
          </cell>
          <cell r="AL688" t="str">
            <v>1</v>
          </cell>
          <cell r="AM688" t="str">
            <v>F</v>
          </cell>
          <cell r="AN688" t="str">
            <v>M0</v>
          </cell>
          <cell r="AO688" t="str">
            <v>Active(Model)</v>
          </cell>
          <cell r="AP688" t="str">
            <v/>
          </cell>
          <cell r="AQ688" t="str">
            <v/>
          </cell>
          <cell r="AR688" t="str">
            <v>Y</v>
          </cell>
          <cell r="AS688" t="str">
            <v/>
          </cell>
          <cell r="AT688" t="str">
            <v>WM</v>
          </cell>
          <cell r="AU688" t="str">
            <v>Washing Machine</v>
          </cell>
          <cell r="AV688" t="str">
            <v>WMWL</v>
          </cell>
          <cell r="AW688" t="str">
            <v>Clothes Washer</v>
          </cell>
          <cell r="AX688" t="str">
            <v>WMWLFL</v>
          </cell>
          <cell r="AY688" t="str">
            <v>Clothes Washer_Front Loader</v>
          </cell>
          <cell r="AZ688" t="str">
            <v>WMWLFLSC</v>
          </cell>
          <cell r="BA688" t="str">
            <v>Clothes Washer_Drum(DD)_Steam_24</v>
          </cell>
        </row>
        <row r="689">
          <cell r="E689" t="str">
            <v>WM1455HWA.ABWEVUS</v>
          </cell>
          <cell r="F689">
            <v>411</v>
          </cell>
          <cell r="G689">
            <v>0</v>
          </cell>
          <cell r="H689">
            <v>0</v>
          </cell>
          <cell r="I689">
            <v>411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883</v>
          </cell>
          <cell r="O689">
            <v>966</v>
          </cell>
          <cell r="P689">
            <v>883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 t="str">
            <v/>
          </cell>
          <cell r="AH689" t="str">
            <v/>
          </cell>
          <cell r="AI689" t="str">
            <v/>
          </cell>
          <cell r="AJ689" t="str">
            <v/>
          </cell>
          <cell r="AK689" t="str">
            <v>0.383328</v>
          </cell>
          <cell r="AL689" t="str">
            <v>1</v>
          </cell>
          <cell r="AM689" t="str">
            <v>F</v>
          </cell>
          <cell r="AN689" t="str">
            <v>M0</v>
          </cell>
          <cell r="AO689" t="str">
            <v>Active(Model)</v>
          </cell>
          <cell r="AP689" t="str">
            <v/>
          </cell>
          <cell r="AQ689" t="str">
            <v/>
          </cell>
          <cell r="AR689" t="str">
            <v>Y</v>
          </cell>
          <cell r="AS689" t="str">
            <v/>
          </cell>
          <cell r="AT689" t="str">
            <v>WM</v>
          </cell>
          <cell r="AU689" t="str">
            <v>Washing Machine</v>
          </cell>
          <cell r="AV689" t="str">
            <v>WMWL</v>
          </cell>
          <cell r="AW689" t="str">
            <v>Clothes Washer</v>
          </cell>
          <cell r="AX689" t="str">
            <v>WMWLFL</v>
          </cell>
          <cell r="AY689" t="str">
            <v>Clothes Washer_Front Loader</v>
          </cell>
          <cell r="AZ689" t="str">
            <v>WMWLFLSC</v>
          </cell>
          <cell r="BA689" t="str">
            <v>Clothes Washer_Drum(DD)_Steam_24</v>
          </cell>
        </row>
        <row r="690">
          <cell r="E690" t="str">
            <v>WM16EWNTS6P.AGWELAT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106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 t="str">
            <v/>
          </cell>
          <cell r="AH690" t="str">
            <v/>
          </cell>
          <cell r="AI690" t="str">
            <v/>
          </cell>
          <cell r="AJ690" t="str">
            <v/>
          </cell>
          <cell r="AK690" t="str">
            <v>0.485214</v>
          </cell>
          <cell r="AL690" t="str">
            <v>1</v>
          </cell>
          <cell r="AM690" t="str">
            <v>F</v>
          </cell>
          <cell r="AN690" t="str">
            <v>M0</v>
          </cell>
          <cell r="AO690" t="str">
            <v>Active(Model)</v>
          </cell>
          <cell r="AP690" t="str">
            <v/>
          </cell>
          <cell r="AQ690" t="str">
            <v/>
          </cell>
          <cell r="AR690" t="str">
            <v>Y</v>
          </cell>
          <cell r="AS690" t="str">
            <v/>
          </cell>
          <cell r="AT690" t="str">
            <v>WM</v>
          </cell>
          <cell r="AU690" t="str">
            <v>Washing Machine</v>
          </cell>
          <cell r="AV690" t="str">
            <v>WMWL</v>
          </cell>
          <cell r="AW690" t="str">
            <v>Clothes Washer</v>
          </cell>
          <cell r="AX690" t="str">
            <v>WMWLFL</v>
          </cell>
          <cell r="AY690" t="str">
            <v>Clothes Washer_Front Loader</v>
          </cell>
          <cell r="AZ690" t="str">
            <v>WMWLFLDB</v>
          </cell>
          <cell r="BA690" t="str">
            <v>Clothes Washer_Drum_25</v>
          </cell>
        </row>
        <row r="691">
          <cell r="E691" t="str">
            <v>WM20VV26W.ASSEECD</v>
          </cell>
          <cell r="F691">
            <v>45</v>
          </cell>
          <cell r="G691">
            <v>0</v>
          </cell>
          <cell r="H691">
            <v>0</v>
          </cell>
          <cell r="I691">
            <v>45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 t="str">
            <v/>
          </cell>
          <cell r="AH691" t="str">
            <v/>
          </cell>
          <cell r="AI691" t="str">
            <v/>
          </cell>
          <cell r="AJ691" t="str">
            <v/>
          </cell>
          <cell r="AK691" t="str">
            <v>0.648000</v>
          </cell>
          <cell r="AL691" t="str">
            <v>1</v>
          </cell>
          <cell r="AM691" t="str">
            <v>F</v>
          </cell>
          <cell r="AN691" t="str">
            <v>M0</v>
          </cell>
          <cell r="AO691" t="str">
            <v>Active(Model)</v>
          </cell>
          <cell r="AP691" t="str">
            <v/>
          </cell>
          <cell r="AQ691" t="str">
            <v/>
          </cell>
          <cell r="AR691" t="str">
            <v>Y</v>
          </cell>
          <cell r="AS691" t="str">
            <v/>
          </cell>
          <cell r="AT691" t="str">
            <v>WM</v>
          </cell>
          <cell r="AU691" t="str">
            <v>Washing Machine</v>
          </cell>
          <cell r="AV691" t="str">
            <v>WMWL</v>
          </cell>
          <cell r="AW691" t="str">
            <v>Clothes Washer</v>
          </cell>
          <cell r="AX691" t="str">
            <v>WMWLFL</v>
          </cell>
          <cell r="AY691" t="str">
            <v>Clothes Washer_Front Loader</v>
          </cell>
          <cell r="AZ691" t="str">
            <v>WMWLFLHA</v>
          </cell>
          <cell r="BA691" t="str">
            <v>Clothes Washer_Drum(DD)</v>
          </cell>
        </row>
        <row r="692">
          <cell r="E692" t="str">
            <v>WM20WV26R.ABWELAT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180</v>
          </cell>
          <cell r="O692">
            <v>0</v>
          </cell>
          <cell r="P692">
            <v>180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 t="str">
            <v/>
          </cell>
          <cell r="AH692" t="str">
            <v/>
          </cell>
          <cell r="AI692" t="str">
            <v/>
          </cell>
          <cell r="AJ692" t="str">
            <v/>
          </cell>
          <cell r="AK692" t="str">
            <v>0.648000</v>
          </cell>
          <cell r="AL692" t="str">
            <v>1</v>
          </cell>
          <cell r="AM692" t="str">
            <v>F</v>
          </cell>
          <cell r="AN692" t="str">
            <v>M0</v>
          </cell>
          <cell r="AO692" t="str">
            <v>Active(Model)</v>
          </cell>
          <cell r="AP692" t="str">
            <v/>
          </cell>
          <cell r="AQ692" t="str">
            <v/>
          </cell>
          <cell r="AR692" t="str">
            <v>Y</v>
          </cell>
          <cell r="AS692" t="str">
            <v/>
          </cell>
          <cell r="AT692" t="str">
            <v>WM</v>
          </cell>
          <cell r="AU692" t="str">
            <v>Washing Machine</v>
          </cell>
          <cell r="AV692" t="str">
            <v>WMWL</v>
          </cell>
          <cell r="AW692" t="str">
            <v>Clothes Washer</v>
          </cell>
          <cell r="AX692" t="str">
            <v>WMWLFL</v>
          </cell>
          <cell r="AY692" t="str">
            <v>Clothes Washer_Front Loader</v>
          </cell>
          <cell r="AZ692" t="str">
            <v>WMWLFLHA</v>
          </cell>
          <cell r="BA692" t="str">
            <v>Clothes Washer_Drum(DD)</v>
          </cell>
        </row>
        <row r="693">
          <cell r="E693" t="str">
            <v>WM20WV26W.ABWEECD</v>
          </cell>
          <cell r="F693">
            <v>139</v>
          </cell>
          <cell r="G693">
            <v>0</v>
          </cell>
          <cell r="H693">
            <v>0</v>
          </cell>
          <cell r="I693">
            <v>139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90</v>
          </cell>
          <cell r="O693">
            <v>0</v>
          </cell>
          <cell r="P693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 t="str">
            <v/>
          </cell>
          <cell r="AH693" t="str">
            <v/>
          </cell>
          <cell r="AI693" t="str">
            <v/>
          </cell>
          <cell r="AJ693" t="str">
            <v/>
          </cell>
          <cell r="AK693" t="str">
            <v>0.648000</v>
          </cell>
          <cell r="AL693" t="str">
            <v>1</v>
          </cell>
          <cell r="AM693" t="str">
            <v>F</v>
          </cell>
          <cell r="AN693" t="str">
            <v>M0</v>
          </cell>
          <cell r="AO693" t="str">
            <v>Active(Model)</v>
          </cell>
          <cell r="AP693" t="str">
            <v/>
          </cell>
          <cell r="AQ693" t="str">
            <v/>
          </cell>
          <cell r="AR693" t="str">
            <v>Y</v>
          </cell>
          <cell r="AS693" t="str">
            <v/>
          </cell>
          <cell r="AT693" t="str">
            <v>WM</v>
          </cell>
          <cell r="AU693" t="str">
            <v>Washing Machine</v>
          </cell>
          <cell r="AV693" t="str">
            <v>WMWL</v>
          </cell>
          <cell r="AW693" t="str">
            <v>Clothes Washer</v>
          </cell>
          <cell r="AX693" t="str">
            <v>WMWLFL</v>
          </cell>
          <cell r="AY693" t="str">
            <v>Clothes Washer_Front Loader</v>
          </cell>
          <cell r="AZ693" t="str">
            <v>WMWLFLHA</v>
          </cell>
          <cell r="BA693" t="str">
            <v>Clothes Washer_Drum(DD)</v>
          </cell>
        </row>
        <row r="694">
          <cell r="E694" t="str">
            <v>WM20WV26W.ABWELAT</v>
          </cell>
          <cell r="F694">
            <v>72</v>
          </cell>
          <cell r="G694">
            <v>0</v>
          </cell>
          <cell r="H694">
            <v>0</v>
          </cell>
          <cell r="I694">
            <v>342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405</v>
          </cell>
          <cell r="O694">
            <v>291</v>
          </cell>
          <cell r="P694">
            <v>405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 t="str">
            <v/>
          </cell>
          <cell r="AH694" t="str">
            <v/>
          </cell>
          <cell r="AI694" t="str">
            <v/>
          </cell>
          <cell r="AJ694" t="str">
            <v/>
          </cell>
          <cell r="AK694" t="str">
            <v>0.648000</v>
          </cell>
          <cell r="AL694" t="str">
            <v>1</v>
          </cell>
          <cell r="AM694" t="str">
            <v>F</v>
          </cell>
          <cell r="AN694" t="str">
            <v>M0</v>
          </cell>
          <cell r="AO694" t="str">
            <v>Active(Model)</v>
          </cell>
          <cell r="AP694" t="str">
            <v/>
          </cell>
          <cell r="AQ694" t="str">
            <v/>
          </cell>
          <cell r="AR694" t="str">
            <v>Y</v>
          </cell>
          <cell r="AS694" t="str">
            <v/>
          </cell>
          <cell r="AT694" t="str">
            <v>WM</v>
          </cell>
          <cell r="AU694" t="str">
            <v>Washing Machine</v>
          </cell>
          <cell r="AV694" t="str">
            <v>WMWL</v>
          </cell>
          <cell r="AW694" t="str">
            <v>Clothes Washer</v>
          </cell>
          <cell r="AX694" t="str">
            <v>WMWLFL</v>
          </cell>
          <cell r="AY694" t="str">
            <v>Clothes Washer_Front Loader</v>
          </cell>
          <cell r="AZ694" t="str">
            <v>WMWLFLHA</v>
          </cell>
          <cell r="BA694" t="str">
            <v>Clothes Washer_Drum(DD)</v>
          </cell>
        </row>
        <row r="695">
          <cell r="E695" t="str">
            <v>WM22BV2S6R.ABLELAT</v>
          </cell>
          <cell r="F695">
            <v>90</v>
          </cell>
          <cell r="G695">
            <v>0</v>
          </cell>
          <cell r="H695">
            <v>0</v>
          </cell>
          <cell r="I695">
            <v>90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90</v>
          </cell>
          <cell r="O695">
            <v>0</v>
          </cell>
          <cell r="P695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 t="str">
            <v/>
          </cell>
          <cell r="AH695" t="str">
            <v/>
          </cell>
          <cell r="AI695" t="str">
            <v/>
          </cell>
          <cell r="AJ695" t="str">
            <v/>
          </cell>
          <cell r="AK695" t="str">
            <v>0.648000</v>
          </cell>
          <cell r="AL695" t="str">
            <v>1</v>
          </cell>
          <cell r="AM695" t="str">
            <v>F</v>
          </cell>
          <cell r="AN695" t="str">
            <v>M0</v>
          </cell>
          <cell r="AO695" t="str">
            <v>Active(Model)</v>
          </cell>
          <cell r="AP695" t="str">
            <v/>
          </cell>
          <cell r="AQ695" t="str">
            <v/>
          </cell>
          <cell r="AR695" t="str">
            <v>Y</v>
          </cell>
          <cell r="AS695" t="str">
            <v/>
          </cell>
          <cell r="AT695" t="str">
            <v>WM</v>
          </cell>
          <cell r="AU695" t="str">
            <v>Washing Machine</v>
          </cell>
          <cell r="AV695" t="str">
            <v>WMWL</v>
          </cell>
          <cell r="AW695" t="str">
            <v>Clothes Washer</v>
          </cell>
          <cell r="AX695" t="str">
            <v>WMWLFL</v>
          </cell>
          <cell r="AY695" t="str">
            <v>Clothes Washer_Front Loader</v>
          </cell>
          <cell r="AZ695" t="str">
            <v>WMWLFLHS</v>
          </cell>
          <cell r="BA695" t="str">
            <v>Clothes Washer_Drum(DD)_Steam</v>
          </cell>
        </row>
        <row r="696">
          <cell r="E696" t="str">
            <v>WM22VV26R.ASSECOL</v>
          </cell>
          <cell r="F696">
            <v>179</v>
          </cell>
          <cell r="G696">
            <v>0</v>
          </cell>
          <cell r="H696">
            <v>0</v>
          </cell>
          <cell r="I696">
            <v>359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270</v>
          </cell>
          <cell r="O696">
            <v>464</v>
          </cell>
          <cell r="P696">
            <v>270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 t="str">
            <v/>
          </cell>
          <cell r="AH696" t="str">
            <v/>
          </cell>
          <cell r="AI696" t="str">
            <v/>
          </cell>
          <cell r="AJ696" t="str">
            <v/>
          </cell>
          <cell r="AK696" t="str">
            <v>0.648000</v>
          </cell>
          <cell r="AL696" t="str">
            <v>1</v>
          </cell>
          <cell r="AM696" t="str">
            <v>F</v>
          </cell>
          <cell r="AN696" t="str">
            <v>M0</v>
          </cell>
          <cell r="AO696" t="str">
            <v>Active(Model)</v>
          </cell>
          <cell r="AP696" t="str">
            <v/>
          </cell>
          <cell r="AQ696" t="str">
            <v/>
          </cell>
          <cell r="AR696" t="str">
            <v>Y</v>
          </cell>
          <cell r="AS696" t="str">
            <v/>
          </cell>
          <cell r="AT696" t="str">
            <v>WM</v>
          </cell>
          <cell r="AU696" t="str">
            <v>Washing Machine</v>
          </cell>
          <cell r="AV696" t="str">
            <v>WMWL</v>
          </cell>
          <cell r="AW696" t="str">
            <v>Clothes Washer</v>
          </cell>
          <cell r="AX696" t="str">
            <v>WMWLFL</v>
          </cell>
          <cell r="AY696" t="str">
            <v>Clothes Washer_Front Loader</v>
          </cell>
          <cell r="AZ696" t="str">
            <v>WMWLFLHA</v>
          </cell>
          <cell r="BA696" t="str">
            <v>Clothes Washer_Drum(DD)</v>
          </cell>
        </row>
        <row r="697">
          <cell r="E697" t="str">
            <v>WM22VV2S6BR.ASSEECD</v>
          </cell>
          <cell r="F697">
            <v>6</v>
          </cell>
          <cell r="G697">
            <v>0</v>
          </cell>
          <cell r="H697">
            <v>0</v>
          </cell>
          <cell r="I697">
            <v>6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84</v>
          </cell>
          <cell r="O697">
            <v>0</v>
          </cell>
          <cell r="P697">
            <v>84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 t="str">
            <v/>
          </cell>
          <cell r="AH697" t="str">
            <v/>
          </cell>
          <cell r="AI697" t="str">
            <v/>
          </cell>
          <cell r="AJ697" t="str">
            <v/>
          </cell>
          <cell r="AK697" t="str">
            <v>0.648000</v>
          </cell>
          <cell r="AL697" t="str">
            <v>1</v>
          </cell>
          <cell r="AM697" t="str">
            <v>F</v>
          </cell>
          <cell r="AN697" t="str">
            <v>M0</v>
          </cell>
          <cell r="AO697" t="str">
            <v>Active(Model)</v>
          </cell>
          <cell r="AP697" t="str">
            <v/>
          </cell>
          <cell r="AQ697" t="str">
            <v/>
          </cell>
          <cell r="AR697" t="str">
            <v>Y</v>
          </cell>
          <cell r="AS697" t="str">
            <v/>
          </cell>
          <cell r="AT697" t="str">
            <v>WM</v>
          </cell>
          <cell r="AU697" t="str">
            <v>Washing Machine</v>
          </cell>
          <cell r="AV697" t="str">
            <v>WMWL</v>
          </cell>
          <cell r="AW697" t="str">
            <v>Clothes Washer</v>
          </cell>
          <cell r="AX697" t="str">
            <v>WMWLFL</v>
          </cell>
          <cell r="AY697" t="str">
            <v>Clothes Washer_Front Loader</v>
          </cell>
          <cell r="AZ697" t="str">
            <v>WMWLFLHS</v>
          </cell>
          <cell r="BA697" t="str">
            <v>Clothes Washer_Drum(DD)_Steam</v>
          </cell>
        </row>
        <row r="698">
          <cell r="E698" t="str">
            <v>WM22VV2S6R.ASSELAT</v>
          </cell>
          <cell r="F698">
            <v>411</v>
          </cell>
          <cell r="G698">
            <v>0</v>
          </cell>
          <cell r="H698">
            <v>0</v>
          </cell>
          <cell r="I698">
            <v>411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39</v>
          </cell>
          <cell r="O698">
            <v>0</v>
          </cell>
          <cell r="P698">
            <v>39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 t="str">
            <v/>
          </cell>
          <cell r="AH698" t="str">
            <v/>
          </cell>
          <cell r="AI698" t="str">
            <v/>
          </cell>
          <cell r="AJ698" t="str">
            <v/>
          </cell>
          <cell r="AK698" t="str">
            <v>0.648000</v>
          </cell>
          <cell r="AL698" t="str">
            <v>1</v>
          </cell>
          <cell r="AM698" t="str">
            <v>F</v>
          </cell>
          <cell r="AN698" t="str">
            <v>M0</v>
          </cell>
          <cell r="AO698" t="str">
            <v>Active(Model)</v>
          </cell>
          <cell r="AP698" t="str">
            <v/>
          </cell>
          <cell r="AQ698" t="str">
            <v/>
          </cell>
          <cell r="AR698" t="str">
            <v>Y</v>
          </cell>
          <cell r="AS698" t="str">
            <v/>
          </cell>
          <cell r="AT698" t="str">
            <v>WM</v>
          </cell>
          <cell r="AU698" t="str">
            <v>Washing Machine</v>
          </cell>
          <cell r="AV698" t="str">
            <v>WMWL</v>
          </cell>
          <cell r="AW698" t="str">
            <v>Clothes Washer</v>
          </cell>
          <cell r="AX698" t="str">
            <v>WMWLFL</v>
          </cell>
          <cell r="AY698" t="str">
            <v>Clothes Washer_Front Loader</v>
          </cell>
          <cell r="AZ698" t="str">
            <v>WMWLFLHS</v>
          </cell>
          <cell r="BA698" t="str">
            <v>Clothes Washer_Drum(DD)_Steam</v>
          </cell>
        </row>
        <row r="699">
          <cell r="E699" t="str">
            <v>WM22WV26R.ABWEECD</v>
          </cell>
          <cell r="F699">
            <v>134</v>
          </cell>
          <cell r="G699">
            <v>0</v>
          </cell>
          <cell r="H699">
            <v>0</v>
          </cell>
          <cell r="I699">
            <v>134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 t="str">
            <v/>
          </cell>
          <cell r="AH699" t="str">
            <v/>
          </cell>
          <cell r="AI699" t="str">
            <v/>
          </cell>
          <cell r="AJ699" t="str">
            <v/>
          </cell>
          <cell r="AK699" t="str">
            <v>0.648000</v>
          </cell>
          <cell r="AL699" t="str">
            <v>1</v>
          </cell>
          <cell r="AM699" t="str">
            <v>F</v>
          </cell>
          <cell r="AN699" t="str">
            <v>M0</v>
          </cell>
          <cell r="AO699" t="str">
            <v>Active(Model)</v>
          </cell>
          <cell r="AP699" t="str">
            <v/>
          </cell>
          <cell r="AQ699" t="str">
            <v/>
          </cell>
          <cell r="AR699" t="str">
            <v>Y</v>
          </cell>
          <cell r="AS699" t="str">
            <v/>
          </cell>
          <cell r="AT699" t="str">
            <v>WM</v>
          </cell>
          <cell r="AU699" t="str">
            <v>Washing Machine</v>
          </cell>
          <cell r="AV699" t="str">
            <v>WMWL</v>
          </cell>
          <cell r="AW699" t="str">
            <v>Clothes Washer</v>
          </cell>
          <cell r="AX699" t="str">
            <v>WMWLFL</v>
          </cell>
          <cell r="AY699" t="str">
            <v>Clothes Washer_Front Loader</v>
          </cell>
          <cell r="AZ699" t="str">
            <v>WMWLFLHA</v>
          </cell>
          <cell r="BA699" t="str">
            <v>Clothes Washer_Drum(DD)</v>
          </cell>
        </row>
        <row r="700">
          <cell r="E700" t="str">
            <v>WM22WV26SR.ABWELAT</v>
          </cell>
          <cell r="F700">
            <v>61</v>
          </cell>
          <cell r="G700">
            <v>0</v>
          </cell>
          <cell r="H700">
            <v>0</v>
          </cell>
          <cell r="I700">
            <v>61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210</v>
          </cell>
          <cell r="O700">
            <v>0</v>
          </cell>
          <cell r="P700">
            <v>210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 t="str">
            <v/>
          </cell>
          <cell r="AH700" t="str">
            <v/>
          </cell>
          <cell r="AI700" t="str">
            <v/>
          </cell>
          <cell r="AJ700" t="str">
            <v/>
          </cell>
          <cell r="AK700" t="str">
            <v>0.648000</v>
          </cell>
          <cell r="AL700" t="str">
            <v>1</v>
          </cell>
          <cell r="AM700" t="str">
            <v>F</v>
          </cell>
          <cell r="AN700" t="str">
            <v>M0</v>
          </cell>
          <cell r="AO700" t="str">
            <v>Active(Model)</v>
          </cell>
          <cell r="AP700" t="str">
            <v/>
          </cell>
          <cell r="AQ700" t="str">
            <v/>
          </cell>
          <cell r="AR700" t="str">
            <v>Y</v>
          </cell>
          <cell r="AS700" t="str">
            <v/>
          </cell>
          <cell r="AT700" t="str">
            <v>WM</v>
          </cell>
          <cell r="AU700" t="str">
            <v>Washing Machine</v>
          </cell>
          <cell r="AV700" t="str">
            <v>WMWL</v>
          </cell>
          <cell r="AW700" t="str">
            <v>Clothes Washer</v>
          </cell>
          <cell r="AX700" t="str">
            <v>WMWLFL</v>
          </cell>
          <cell r="AY700" t="str">
            <v>Clothes Washer_Front Loader</v>
          </cell>
          <cell r="AZ700" t="str">
            <v>WMWLFLHA</v>
          </cell>
          <cell r="BA700" t="str">
            <v>Clothes Washer_Drum(DD)</v>
          </cell>
        </row>
        <row r="701">
          <cell r="E701" t="str">
            <v>WM23BFXS6.ABLEECD</v>
          </cell>
          <cell r="F701">
            <v>265</v>
          </cell>
          <cell r="G701">
            <v>0</v>
          </cell>
          <cell r="H701">
            <v>0</v>
          </cell>
          <cell r="I701">
            <v>265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 t="str">
            <v/>
          </cell>
          <cell r="AH701" t="str">
            <v/>
          </cell>
          <cell r="AI701" t="str">
            <v/>
          </cell>
          <cell r="AJ701" t="str">
            <v/>
          </cell>
          <cell r="AK701" t="str">
            <v>0.704700</v>
          </cell>
          <cell r="AL701" t="str">
            <v>1</v>
          </cell>
          <cell r="AM701" t="str">
            <v>F</v>
          </cell>
          <cell r="AN701" t="str">
            <v>M0</v>
          </cell>
          <cell r="AO701" t="str">
            <v>Active(Model)</v>
          </cell>
          <cell r="AP701" t="str">
            <v/>
          </cell>
          <cell r="AQ701" t="str">
            <v/>
          </cell>
          <cell r="AR701" t="str">
            <v>Y</v>
          </cell>
          <cell r="AS701" t="str">
            <v/>
          </cell>
          <cell r="AT701" t="str">
            <v>WM</v>
          </cell>
          <cell r="AU701" t="str">
            <v>Washing Machine</v>
          </cell>
          <cell r="AV701" t="str">
            <v>WMWL</v>
          </cell>
          <cell r="AW701" t="str">
            <v>Clothes Washer</v>
          </cell>
          <cell r="AX701" t="str">
            <v>WMWLFL</v>
          </cell>
          <cell r="AY701" t="str">
            <v>Clothes Washer_Front Loader</v>
          </cell>
          <cell r="AZ701" t="str">
            <v>WMWLFLHS</v>
          </cell>
          <cell r="BA701" t="str">
            <v>Clothes Washer_Drum(DD)_Steam</v>
          </cell>
        </row>
        <row r="702">
          <cell r="E702" t="str">
            <v>WM23VFXS6.ASSEECD</v>
          </cell>
          <cell r="F702">
            <v>376</v>
          </cell>
          <cell r="G702">
            <v>0</v>
          </cell>
          <cell r="H702">
            <v>0</v>
          </cell>
          <cell r="I702">
            <v>376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170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 t="str">
            <v/>
          </cell>
          <cell r="AH702" t="str">
            <v/>
          </cell>
          <cell r="AI702" t="str">
            <v/>
          </cell>
          <cell r="AJ702" t="str">
            <v/>
          </cell>
          <cell r="AK702" t="str">
            <v>0.704700</v>
          </cell>
          <cell r="AL702" t="str">
            <v>1</v>
          </cell>
          <cell r="AM702" t="str">
            <v>F</v>
          </cell>
          <cell r="AN702" t="str">
            <v>M0</v>
          </cell>
          <cell r="AO702" t="str">
            <v>Active(Model)</v>
          </cell>
          <cell r="AP702" t="str">
            <v/>
          </cell>
          <cell r="AQ702" t="str">
            <v/>
          </cell>
          <cell r="AR702" t="str">
            <v>Y</v>
          </cell>
          <cell r="AS702" t="str">
            <v/>
          </cell>
          <cell r="AT702" t="str">
            <v>WM</v>
          </cell>
          <cell r="AU702" t="str">
            <v>Washing Machine</v>
          </cell>
          <cell r="AV702" t="str">
            <v>WMWL</v>
          </cell>
          <cell r="AW702" t="str">
            <v>Clothes Washer</v>
          </cell>
          <cell r="AX702" t="str">
            <v>WMWLFL</v>
          </cell>
          <cell r="AY702" t="str">
            <v>Clothes Washer_Front Loader</v>
          </cell>
          <cell r="AZ702" t="str">
            <v>WMWLFLHS</v>
          </cell>
          <cell r="BA702" t="str">
            <v>Clothes Washer_Drum(DD)_Steam</v>
          </cell>
        </row>
        <row r="703">
          <cell r="E703" t="str">
            <v>WM25BFXS.ABLECOL</v>
          </cell>
          <cell r="F703">
            <v>90</v>
          </cell>
          <cell r="G703">
            <v>0</v>
          </cell>
          <cell r="H703">
            <v>0</v>
          </cell>
          <cell r="I703">
            <v>90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36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 t="str">
            <v/>
          </cell>
          <cell r="AH703" t="str">
            <v/>
          </cell>
          <cell r="AI703" t="str">
            <v/>
          </cell>
          <cell r="AJ703" t="str">
            <v/>
          </cell>
          <cell r="AK703" t="str">
            <v>0.704700</v>
          </cell>
          <cell r="AL703" t="str">
            <v>1</v>
          </cell>
          <cell r="AM703" t="str">
            <v>F</v>
          </cell>
          <cell r="AN703" t="str">
            <v>M0</v>
          </cell>
          <cell r="AO703" t="str">
            <v>Active(Model)</v>
          </cell>
          <cell r="AP703" t="str">
            <v/>
          </cell>
          <cell r="AQ703" t="str">
            <v/>
          </cell>
          <cell r="AR703" t="str">
            <v>Y</v>
          </cell>
          <cell r="AS703" t="str">
            <v/>
          </cell>
          <cell r="AT703" t="str">
            <v>WM</v>
          </cell>
          <cell r="AU703" t="str">
            <v>Washing Machine</v>
          </cell>
          <cell r="AV703" t="str">
            <v>WMWL</v>
          </cell>
          <cell r="AW703" t="str">
            <v>Clothes Washer</v>
          </cell>
          <cell r="AX703" t="str">
            <v>WMWLFL</v>
          </cell>
          <cell r="AY703" t="str">
            <v>Clothes Washer_Front Loader</v>
          </cell>
          <cell r="AZ703" t="str">
            <v>WMWLFLHS</v>
          </cell>
          <cell r="BA703" t="str">
            <v>Clothes Washer_Drum(DD)_Steam</v>
          </cell>
        </row>
        <row r="704">
          <cell r="E704" t="str">
            <v>WM25BV2S6BR.ABLEECD</v>
          </cell>
          <cell r="F704">
            <v>4</v>
          </cell>
          <cell r="G704">
            <v>0</v>
          </cell>
          <cell r="H704">
            <v>0</v>
          </cell>
          <cell r="I704">
            <v>4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 t="str">
            <v/>
          </cell>
          <cell r="AH704" t="str">
            <v/>
          </cell>
          <cell r="AI704" t="str">
            <v/>
          </cell>
          <cell r="AJ704" t="str">
            <v/>
          </cell>
          <cell r="AK704" t="str">
            <v>0.704700</v>
          </cell>
          <cell r="AL704" t="str">
            <v>1</v>
          </cell>
          <cell r="AM704" t="str">
            <v>F</v>
          </cell>
          <cell r="AN704" t="str">
            <v>M0</v>
          </cell>
          <cell r="AO704" t="str">
            <v>Active(Model)</v>
          </cell>
          <cell r="AP704" t="str">
            <v/>
          </cell>
          <cell r="AQ704" t="str">
            <v/>
          </cell>
          <cell r="AR704" t="str">
            <v>Y</v>
          </cell>
          <cell r="AS704" t="str">
            <v/>
          </cell>
          <cell r="AT704" t="str">
            <v>WM</v>
          </cell>
          <cell r="AU704" t="str">
            <v>Washing Machine</v>
          </cell>
          <cell r="AV704" t="str">
            <v>WMWL</v>
          </cell>
          <cell r="AW704" t="str">
            <v>Clothes Washer</v>
          </cell>
          <cell r="AX704" t="str">
            <v>WMWLFL</v>
          </cell>
          <cell r="AY704" t="str">
            <v>Clothes Washer_Front Loader</v>
          </cell>
          <cell r="AZ704" t="str">
            <v>WMWLFLHS</v>
          </cell>
          <cell r="BA704" t="str">
            <v>Clothes Washer_Drum(DD)_Steam</v>
          </cell>
        </row>
        <row r="705">
          <cell r="E705" t="str">
            <v>WM25BV2S6GR.ABLELAT</v>
          </cell>
          <cell r="F705">
            <v>83</v>
          </cell>
          <cell r="G705">
            <v>0</v>
          </cell>
          <cell r="H705">
            <v>0</v>
          </cell>
          <cell r="I705">
            <v>83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 t="str">
            <v/>
          </cell>
          <cell r="AH705" t="str">
            <v/>
          </cell>
          <cell r="AI705" t="str">
            <v/>
          </cell>
          <cell r="AJ705" t="str">
            <v/>
          </cell>
          <cell r="AK705" t="str">
            <v>0.704700</v>
          </cell>
          <cell r="AL705" t="str">
            <v>1</v>
          </cell>
          <cell r="AM705" t="str">
            <v>F</v>
          </cell>
          <cell r="AN705" t="str">
            <v>M0</v>
          </cell>
          <cell r="AO705" t="str">
            <v>Active(Model)</v>
          </cell>
          <cell r="AP705" t="str">
            <v/>
          </cell>
          <cell r="AQ705" t="str">
            <v/>
          </cell>
          <cell r="AR705" t="str">
            <v>Y</v>
          </cell>
          <cell r="AS705" t="str">
            <v/>
          </cell>
          <cell r="AT705" t="str">
            <v>WM</v>
          </cell>
          <cell r="AU705" t="str">
            <v>Washing Machine</v>
          </cell>
          <cell r="AV705" t="str">
            <v>WMWL</v>
          </cell>
          <cell r="AW705" t="str">
            <v>Clothes Washer</v>
          </cell>
          <cell r="AX705" t="str">
            <v>WMWLFL</v>
          </cell>
          <cell r="AY705" t="str">
            <v>Clothes Washer_Front Loader</v>
          </cell>
          <cell r="AZ705" t="str">
            <v>WMWLFLHS</v>
          </cell>
          <cell r="BA705" t="str">
            <v>Clothes Washer_Drum(DD)_Steam</v>
          </cell>
        </row>
        <row r="706">
          <cell r="E706" t="str">
            <v>WM25MV2S6W.ABMEECD</v>
          </cell>
          <cell r="F706">
            <v>221</v>
          </cell>
          <cell r="G706">
            <v>0</v>
          </cell>
          <cell r="H706">
            <v>0</v>
          </cell>
          <cell r="I706">
            <v>221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84</v>
          </cell>
          <cell r="O706">
            <v>42</v>
          </cell>
          <cell r="P706">
            <v>84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 t="str">
            <v/>
          </cell>
          <cell r="AH706" t="str">
            <v/>
          </cell>
          <cell r="AI706" t="str">
            <v/>
          </cell>
          <cell r="AJ706" t="str">
            <v/>
          </cell>
          <cell r="AK706" t="str">
            <v>0.704700</v>
          </cell>
          <cell r="AL706" t="str">
            <v>1</v>
          </cell>
          <cell r="AM706" t="str">
            <v>F</v>
          </cell>
          <cell r="AN706" t="str">
            <v>M0</v>
          </cell>
          <cell r="AO706" t="str">
            <v>Active(Model)</v>
          </cell>
          <cell r="AP706" t="str">
            <v/>
          </cell>
          <cell r="AQ706" t="str">
            <v/>
          </cell>
          <cell r="AR706" t="str">
            <v>Y</v>
          </cell>
          <cell r="AS706" t="str">
            <v/>
          </cell>
          <cell r="AT706" t="str">
            <v>WM</v>
          </cell>
          <cell r="AU706" t="str">
            <v>Washing Machine</v>
          </cell>
          <cell r="AV706" t="str">
            <v>WMWL</v>
          </cell>
          <cell r="AW706" t="str">
            <v>Clothes Washer</v>
          </cell>
          <cell r="AX706" t="str">
            <v>WMWLFL</v>
          </cell>
          <cell r="AY706" t="str">
            <v>Clothes Washer_Front Loader</v>
          </cell>
          <cell r="AZ706" t="str">
            <v>WMWLFLHA</v>
          </cell>
          <cell r="BA706" t="str">
            <v>Clothes Washer_Drum(DD)</v>
          </cell>
        </row>
        <row r="707">
          <cell r="E707" t="str">
            <v>WM25WV2S6W.ABWEECD</v>
          </cell>
          <cell r="F707">
            <v>74</v>
          </cell>
          <cell r="G707">
            <v>0</v>
          </cell>
          <cell r="H707">
            <v>0</v>
          </cell>
          <cell r="I707">
            <v>74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84</v>
          </cell>
          <cell r="O707">
            <v>114</v>
          </cell>
          <cell r="P707">
            <v>84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 t="str">
            <v/>
          </cell>
          <cell r="AH707" t="str">
            <v/>
          </cell>
          <cell r="AI707" t="str">
            <v/>
          </cell>
          <cell r="AJ707" t="str">
            <v/>
          </cell>
          <cell r="AK707" t="str">
            <v>0.704700</v>
          </cell>
          <cell r="AL707" t="str">
            <v>1</v>
          </cell>
          <cell r="AM707" t="str">
            <v>F</v>
          </cell>
          <cell r="AN707" t="str">
            <v>M0</v>
          </cell>
          <cell r="AO707" t="str">
            <v>Active(Model)</v>
          </cell>
          <cell r="AP707" t="str">
            <v/>
          </cell>
          <cell r="AQ707" t="str">
            <v/>
          </cell>
          <cell r="AR707" t="str">
            <v>Y</v>
          </cell>
          <cell r="AS707" t="str">
            <v/>
          </cell>
          <cell r="AT707" t="str">
            <v>WM</v>
          </cell>
          <cell r="AU707" t="str">
            <v>Washing Machine</v>
          </cell>
          <cell r="AV707" t="str">
            <v>WMWL</v>
          </cell>
          <cell r="AW707" t="str">
            <v>Clothes Washer</v>
          </cell>
          <cell r="AX707" t="str">
            <v>WMWLFL</v>
          </cell>
          <cell r="AY707" t="str">
            <v>Clothes Washer_Front Loader</v>
          </cell>
          <cell r="AZ707" t="str">
            <v>WMWLFLHS</v>
          </cell>
          <cell r="BA707" t="str">
            <v>Clothes Washer_Drum(DD)_Steam</v>
          </cell>
        </row>
        <row r="708">
          <cell r="E708" t="str">
            <v>WM25WV2S6W.ABWELAT</v>
          </cell>
          <cell r="F708">
            <v>180</v>
          </cell>
          <cell r="G708">
            <v>0</v>
          </cell>
          <cell r="H708">
            <v>0</v>
          </cell>
          <cell r="I708">
            <v>180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894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 t="str">
            <v/>
          </cell>
          <cell r="AH708" t="str">
            <v/>
          </cell>
          <cell r="AI708" t="str">
            <v/>
          </cell>
          <cell r="AJ708" t="str">
            <v/>
          </cell>
          <cell r="AK708" t="str">
            <v>0.704700</v>
          </cell>
          <cell r="AL708" t="str">
            <v>1</v>
          </cell>
          <cell r="AM708" t="str">
            <v>F</v>
          </cell>
          <cell r="AN708" t="str">
            <v>M0</v>
          </cell>
          <cell r="AO708" t="str">
            <v>Active(Model)</v>
          </cell>
          <cell r="AP708" t="str">
            <v/>
          </cell>
          <cell r="AQ708" t="str">
            <v/>
          </cell>
          <cell r="AR708" t="str">
            <v>Y</v>
          </cell>
          <cell r="AS708" t="str">
            <v/>
          </cell>
          <cell r="AT708" t="str">
            <v>WM</v>
          </cell>
          <cell r="AU708" t="str">
            <v>Washing Machine</v>
          </cell>
          <cell r="AV708" t="str">
            <v>WMWL</v>
          </cell>
          <cell r="AW708" t="str">
            <v>Clothes Washer</v>
          </cell>
          <cell r="AX708" t="str">
            <v>WMWLFL</v>
          </cell>
          <cell r="AY708" t="str">
            <v>Clothes Washer_Front Loader</v>
          </cell>
          <cell r="AZ708" t="str">
            <v>WMWLFLHS</v>
          </cell>
          <cell r="BA708" t="str">
            <v>Clothes Washer_Drum(DD)_Steam</v>
          </cell>
        </row>
        <row r="709">
          <cell r="E709" t="str">
            <v>WM3400CV.ASSEVUS</v>
          </cell>
          <cell r="F709">
            <v>1080</v>
          </cell>
          <cell r="G709">
            <v>0</v>
          </cell>
          <cell r="H709">
            <v>0</v>
          </cell>
          <cell r="I709">
            <v>1080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900</v>
          </cell>
          <cell r="O709">
            <v>810</v>
          </cell>
          <cell r="P709">
            <v>900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 t="str">
            <v/>
          </cell>
          <cell r="AH709" t="str">
            <v/>
          </cell>
          <cell r="AI709" t="str">
            <v/>
          </cell>
          <cell r="AJ709" t="str">
            <v/>
          </cell>
          <cell r="AK709" t="str">
            <v>0.648000</v>
          </cell>
          <cell r="AL709" t="str">
            <v>1</v>
          </cell>
          <cell r="AM709" t="str">
            <v>F</v>
          </cell>
          <cell r="AN709" t="str">
            <v>M0</v>
          </cell>
          <cell r="AO709" t="str">
            <v>Active(Model)</v>
          </cell>
          <cell r="AP709" t="str">
            <v/>
          </cell>
          <cell r="AQ709" t="str">
            <v/>
          </cell>
          <cell r="AR709" t="str">
            <v>Y</v>
          </cell>
          <cell r="AS709" t="str">
            <v/>
          </cell>
          <cell r="AT709" t="str">
            <v>WM</v>
          </cell>
          <cell r="AU709" t="str">
            <v>Washing Machine</v>
          </cell>
          <cell r="AV709" t="str">
            <v>WMWL</v>
          </cell>
          <cell r="AW709" t="str">
            <v>Clothes Washer</v>
          </cell>
          <cell r="AX709" t="str">
            <v>WMWLFL</v>
          </cell>
          <cell r="AY709" t="str">
            <v>Clothes Washer_Front Loader</v>
          </cell>
          <cell r="AZ709" t="str">
            <v>WMWLFLHA</v>
          </cell>
          <cell r="BA709" t="str">
            <v>Clothes Washer_Drum(DD)</v>
          </cell>
        </row>
        <row r="710">
          <cell r="E710" t="str">
            <v>WM3400CW.ABWEVUS</v>
          </cell>
          <cell r="F710">
            <v>335</v>
          </cell>
          <cell r="G710">
            <v>0</v>
          </cell>
          <cell r="H710">
            <v>0</v>
          </cell>
          <cell r="I710">
            <v>335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270</v>
          </cell>
          <cell r="O710">
            <v>0</v>
          </cell>
          <cell r="P710">
            <v>270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 t="str">
            <v/>
          </cell>
          <cell r="AH710" t="str">
            <v/>
          </cell>
          <cell r="AI710" t="str">
            <v/>
          </cell>
          <cell r="AJ710" t="str">
            <v/>
          </cell>
          <cell r="AK710" t="str">
            <v>0.648000</v>
          </cell>
          <cell r="AL710" t="str">
            <v>1</v>
          </cell>
          <cell r="AM710" t="str">
            <v>F</v>
          </cell>
          <cell r="AN710" t="str">
            <v>M0</v>
          </cell>
          <cell r="AO710" t="str">
            <v>Active(Model)</v>
          </cell>
          <cell r="AP710" t="str">
            <v/>
          </cell>
          <cell r="AQ710" t="str">
            <v/>
          </cell>
          <cell r="AR710" t="str">
            <v>Y</v>
          </cell>
          <cell r="AS710" t="str">
            <v/>
          </cell>
          <cell r="AT710" t="str">
            <v>WM</v>
          </cell>
          <cell r="AU710" t="str">
            <v>Washing Machine</v>
          </cell>
          <cell r="AV710" t="str">
            <v>WMWL</v>
          </cell>
          <cell r="AW710" t="str">
            <v>Clothes Washer</v>
          </cell>
          <cell r="AX710" t="str">
            <v>WMWLFL</v>
          </cell>
          <cell r="AY710" t="str">
            <v>Clothes Washer_Front Loader</v>
          </cell>
          <cell r="AZ710" t="str">
            <v>WMWLFLHA</v>
          </cell>
          <cell r="BA710" t="str">
            <v>Clothes Washer_Drum(DD)</v>
          </cell>
        </row>
        <row r="711">
          <cell r="E711" t="str">
            <v>WM3420CW.ABWEVUS</v>
          </cell>
          <cell r="F711">
            <v>3719</v>
          </cell>
          <cell r="G711">
            <v>0</v>
          </cell>
          <cell r="H711">
            <v>0</v>
          </cell>
          <cell r="I711">
            <v>3809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7547</v>
          </cell>
          <cell r="O711">
            <v>2070</v>
          </cell>
          <cell r="P711">
            <v>7547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 t="str">
            <v/>
          </cell>
          <cell r="AH711" t="str">
            <v/>
          </cell>
          <cell r="AI711" t="str">
            <v/>
          </cell>
          <cell r="AJ711" t="str">
            <v/>
          </cell>
          <cell r="AK711" t="str">
            <v>0.648000</v>
          </cell>
          <cell r="AL711" t="str">
            <v>1</v>
          </cell>
          <cell r="AM711" t="str">
            <v>F</v>
          </cell>
          <cell r="AN711" t="str">
            <v>M0</v>
          </cell>
          <cell r="AO711" t="str">
            <v>Active(Model)</v>
          </cell>
          <cell r="AP711" t="str">
            <v/>
          </cell>
          <cell r="AQ711" t="str">
            <v/>
          </cell>
          <cell r="AR711" t="str">
            <v>Y</v>
          </cell>
          <cell r="AS711" t="str">
            <v/>
          </cell>
          <cell r="AT711" t="str">
            <v>WM</v>
          </cell>
          <cell r="AU711" t="str">
            <v>Washing Machine</v>
          </cell>
          <cell r="AV711" t="str">
            <v>WMWL</v>
          </cell>
          <cell r="AW711" t="str">
            <v>Clothes Washer</v>
          </cell>
          <cell r="AX711" t="str">
            <v>WMWLFL</v>
          </cell>
          <cell r="AY711" t="str">
            <v>Clothes Washer_Front Loader</v>
          </cell>
          <cell r="AZ711" t="str">
            <v>WMWLFLHA</v>
          </cell>
          <cell r="BA711" t="str">
            <v>Clothes Washer_Drum(DD)</v>
          </cell>
        </row>
        <row r="712">
          <cell r="E712" t="str">
            <v>WM3450CW.ABWEECI</v>
          </cell>
          <cell r="F712">
            <v>180</v>
          </cell>
          <cell r="G712">
            <v>0</v>
          </cell>
          <cell r="H712">
            <v>0</v>
          </cell>
          <cell r="I712">
            <v>180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270</v>
          </cell>
          <cell r="O712">
            <v>270</v>
          </cell>
          <cell r="P712">
            <v>270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 t="str">
            <v/>
          </cell>
          <cell r="AH712" t="str">
            <v/>
          </cell>
          <cell r="AI712" t="str">
            <v/>
          </cell>
          <cell r="AJ712" t="str">
            <v/>
          </cell>
          <cell r="AK712" t="str">
            <v>0.648000</v>
          </cell>
          <cell r="AL712" t="str">
            <v>1</v>
          </cell>
          <cell r="AM712" t="str">
            <v>F</v>
          </cell>
          <cell r="AN712" t="str">
            <v>M0</v>
          </cell>
          <cell r="AO712" t="str">
            <v>Active(Model)</v>
          </cell>
          <cell r="AP712" t="str">
            <v/>
          </cell>
          <cell r="AQ712" t="str">
            <v/>
          </cell>
          <cell r="AR712" t="str">
            <v>Y</v>
          </cell>
          <cell r="AS712" t="str">
            <v/>
          </cell>
          <cell r="AT712" t="str">
            <v>WM</v>
          </cell>
          <cell r="AU712" t="str">
            <v>Washing Machine</v>
          </cell>
          <cell r="AV712" t="str">
            <v>WMWL</v>
          </cell>
          <cell r="AW712" t="str">
            <v>Clothes Washer</v>
          </cell>
          <cell r="AX712" t="str">
            <v>WMWLFL</v>
          </cell>
          <cell r="AY712" t="str">
            <v>Clothes Washer_Front Loader</v>
          </cell>
          <cell r="AZ712" t="str">
            <v>WMWLFLBD</v>
          </cell>
          <cell r="BA712" t="str">
            <v>Clothes Washer_Drum(DD)_Builder</v>
          </cell>
        </row>
        <row r="713">
          <cell r="E713" t="str">
            <v>WM3470CM.ABMEVUS</v>
          </cell>
          <cell r="F713">
            <v>465</v>
          </cell>
          <cell r="G713">
            <v>0</v>
          </cell>
          <cell r="H713">
            <v>0</v>
          </cell>
          <cell r="I713">
            <v>465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84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 t="str">
            <v/>
          </cell>
          <cell r="AH713" t="str">
            <v/>
          </cell>
          <cell r="AI713" t="str">
            <v/>
          </cell>
          <cell r="AJ713" t="str">
            <v/>
          </cell>
          <cell r="AK713" t="str">
            <v>0.704700</v>
          </cell>
          <cell r="AL713" t="str">
            <v>1</v>
          </cell>
          <cell r="AM713" t="str">
            <v>F</v>
          </cell>
          <cell r="AN713" t="str">
            <v>M0</v>
          </cell>
          <cell r="AO713" t="str">
            <v>Active(Model)</v>
          </cell>
          <cell r="AP713" t="str">
            <v/>
          </cell>
          <cell r="AQ713" t="str">
            <v/>
          </cell>
          <cell r="AR713" t="str">
            <v>Y</v>
          </cell>
          <cell r="AS713" t="str">
            <v/>
          </cell>
          <cell r="AT713" t="str">
            <v>WM</v>
          </cell>
          <cell r="AU713" t="str">
            <v>Washing Machine</v>
          </cell>
          <cell r="AV713" t="str">
            <v>WMWL</v>
          </cell>
          <cell r="AW713" t="str">
            <v>Clothes Washer</v>
          </cell>
          <cell r="AX713" t="str">
            <v>WMWLFL</v>
          </cell>
          <cell r="AY713" t="str">
            <v>Clothes Washer_Front Loader</v>
          </cell>
          <cell r="AZ713" t="str">
            <v>WMWLFLHS</v>
          </cell>
          <cell r="BA713" t="str">
            <v>Clothes Washer_Drum(DD)_Steam</v>
          </cell>
        </row>
        <row r="714">
          <cell r="E714" t="str">
            <v>WM3470CW.ABWEVUS</v>
          </cell>
          <cell r="F714">
            <v>119</v>
          </cell>
          <cell r="G714">
            <v>0</v>
          </cell>
          <cell r="H714">
            <v>0</v>
          </cell>
          <cell r="I714">
            <v>119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168</v>
          </cell>
          <cell r="O714">
            <v>84</v>
          </cell>
          <cell r="P714">
            <v>168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 t="str">
            <v/>
          </cell>
          <cell r="AH714" t="str">
            <v/>
          </cell>
          <cell r="AI714" t="str">
            <v/>
          </cell>
          <cell r="AJ714" t="str">
            <v/>
          </cell>
          <cell r="AK714" t="str">
            <v>0.704700</v>
          </cell>
          <cell r="AL714" t="str">
            <v>1</v>
          </cell>
          <cell r="AM714" t="str">
            <v>F</v>
          </cell>
          <cell r="AN714" t="str">
            <v>M0</v>
          </cell>
          <cell r="AO714" t="str">
            <v>Active(Model)</v>
          </cell>
          <cell r="AP714" t="str">
            <v/>
          </cell>
          <cell r="AQ714" t="str">
            <v/>
          </cell>
          <cell r="AR714" t="str">
            <v>Y</v>
          </cell>
          <cell r="AS714" t="str">
            <v/>
          </cell>
          <cell r="AT714" t="str">
            <v>WM</v>
          </cell>
          <cell r="AU714" t="str">
            <v>Washing Machine</v>
          </cell>
          <cell r="AV714" t="str">
            <v>WMWL</v>
          </cell>
          <cell r="AW714" t="str">
            <v>Clothes Washer</v>
          </cell>
          <cell r="AX714" t="str">
            <v>WMWLFL</v>
          </cell>
          <cell r="AY714" t="str">
            <v>Clothes Washer_Front Loader</v>
          </cell>
          <cell r="AZ714" t="str">
            <v>WMWLFLHS</v>
          </cell>
          <cell r="BA714" t="str">
            <v>Clothes Washer_Drum(DD)_Steam</v>
          </cell>
        </row>
        <row r="715">
          <cell r="E715" t="str">
            <v>WM3555HVA.APTEVUS</v>
          </cell>
          <cell r="F715">
            <v>2</v>
          </cell>
          <cell r="G715">
            <v>0</v>
          </cell>
          <cell r="H715">
            <v>0</v>
          </cell>
          <cell r="I715">
            <v>2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 t="str">
            <v/>
          </cell>
          <cell r="AH715" t="str">
            <v/>
          </cell>
          <cell r="AI715" t="str">
            <v/>
          </cell>
          <cell r="AJ715" t="str">
            <v/>
          </cell>
          <cell r="AK715" t="str">
            <v>0.383328</v>
          </cell>
          <cell r="AL715" t="str">
            <v>1</v>
          </cell>
          <cell r="AM715" t="str">
            <v>F</v>
          </cell>
          <cell r="AN715" t="str">
            <v>M0</v>
          </cell>
          <cell r="AO715" t="str">
            <v>Active(Model)</v>
          </cell>
          <cell r="AP715" t="str">
            <v/>
          </cell>
          <cell r="AQ715" t="str">
            <v/>
          </cell>
          <cell r="AR715" t="str">
            <v>Y</v>
          </cell>
          <cell r="AS715" t="str">
            <v/>
          </cell>
          <cell r="AT715" t="str">
            <v>WM</v>
          </cell>
          <cell r="AU715" t="str">
            <v>Washing Machine</v>
          </cell>
          <cell r="AV715" t="str">
            <v>WMWL</v>
          </cell>
          <cell r="AW715" t="str">
            <v>Clothes Washer</v>
          </cell>
          <cell r="AX715" t="str">
            <v>WMWLFL</v>
          </cell>
          <cell r="AY715" t="str">
            <v>Clothes Washer_Front Loader</v>
          </cell>
          <cell r="AZ715" t="str">
            <v>WMWLFLSC</v>
          </cell>
          <cell r="BA715" t="str">
            <v>Clothes Washer_Drum(DD)_Steam_24</v>
          </cell>
        </row>
        <row r="716">
          <cell r="E716" t="str">
            <v>WM3580CX.ANBEVCI</v>
          </cell>
          <cell r="F716">
            <v>1</v>
          </cell>
          <cell r="G716">
            <v>0</v>
          </cell>
          <cell r="H716">
            <v>0</v>
          </cell>
          <cell r="I716">
            <v>1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 t="str">
            <v/>
          </cell>
          <cell r="AH716" t="str">
            <v/>
          </cell>
          <cell r="AI716" t="str">
            <v/>
          </cell>
          <cell r="AJ716" t="str">
            <v/>
          </cell>
          <cell r="AK716" t="str">
            <v>0.648000</v>
          </cell>
          <cell r="AL716" t="str">
            <v>1</v>
          </cell>
          <cell r="AM716" t="str">
            <v>F</v>
          </cell>
          <cell r="AN716" t="str">
            <v>M0</v>
          </cell>
          <cell r="AO716" t="str">
            <v>Active(Model)</v>
          </cell>
          <cell r="AP716" t="str">
            <v/>
          </cell>
          <cell r="AQ716" t="str">
            <v/>
          </cell>
          <cell r="AR716" t="str">
            <v>Y</v>
          </cell>
          <cell r="AS716" t="str">
            <v/>
          </cell>
          <cell r="AT716" t="str">
            <v>WM</v>
          </cell>
          <cell r="AU716" t="str">
            <v>Washing Machine</v>
          </cell>
          <cell r="AV716" t="str">
            <v>WMWL</v>
          </cell>
          <cell r="AW716" t="str">
            <v>Clothes Washer</v>
          </cell>
          <cell r="AX716" t="str">
            <v>WMWLFL</v>
          </cell>
          <cell r="AY716" t="str">
            <v>Clothes Washer_Front Loader</v>
          </cell>
          <cell r="AZ716" t="str">
            <v>WMWLFLHA</v>
          </cell>
          <cell r="BA716" t="str">
            <v>Clothes Washer_Drum(DD)</v>
          </cell>
        </row>
        <row r="717">
          <cell r="E717" t="str">
            <v>WM3600HVA.ASSEVCI</v>
          </cell>
          <cell r="F717">
            <v>228</v>
          </cell>
          <cell r="G717">
            <v>0</v>
          </cell>
          <cell r="H717">
            <v>0</v>
          </cell>
          <cell r="I717">
            <v>228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450</v>
          </cell>
          <cell r="O717">
            <v>90</v>
          </cell>
          <cell r="P717">
            <v>450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 t="str">
            <v/>
          </cell>
          <cell r="AH717" t="str">
            <v/>
          </cell>
          <cell r="AI717" t="str">
            <v/>
          </cell>
          <cell r="AJ717" t="str">
            <v/>
          </cell>
          <cell r="AK717" t="str">
            <v>0.648000</v>
          </cell>
          <cell r="AL717" t="str">
            <v>1</v>
          </cell>
          <cell r="AM717" t="str">
            <v>F</v>
          </cell>
          <cell r="AN717" t="str">
            <v>M0</v>
          </cell>
          <cell r="AO717" t="str">
            <v>Active(Model)</v>
          </cell>
          <cell r="AP717" t="str">
            <v/>
          </cell>
          <cell r="AQ717" t="str">
            <v/>
          </cell>
          <cell r="AR717" t="str">
            <v>Y</v>
          </cell>
          <cell r="AS717" t="str">
            <v/>
          </cell>
          <cell r="AT717" t="str">
            <v>WM</v>
          </cell>
          <cell r="AU717" t="str">
            <v>Washing Machine</v>
          </cell>
          <cell r="AV717" t="str">
            <v>WMWL</v>
          </cell>
          <cell r="AW717" t="str">
            <v>Clothes Washer</v>
          </cell>
          <cell r="AX717" t="str">
            <v>WMWLFL</v>
          </cell>
          <cell r="AY717" t="str">
            <v>Clothes Washer_Front Loader</v>
          </cell>
          <cell r="AZ717" t="str">
            <v>WMWLFLHS</v>
          </cell>
          <cell r="BA717" t="str">
            <v>Clothes Washer_Drum(DD)_Steam</v>
          </cell>
        </row>
        <row r="718">
          <cell r="E718" t="str">
            <v>WM3600HWA.ABWEVUS</v>
          </cell>
          <cell r="F718">
            <v>787</v>
          </cell>
          <cell r="G718">
            <v>0</v>
          </cell>
          <cell r="H718">
            <v>0</v>
          </cell>
          <cell r="I718">
            <v>787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1415</v>
          </cell>
          <cell r="O718">
            <v>720</v>
          </cell>
          <cell r="P718">
            <v>1415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 t="str">
            <v/>
          </cell>
          <cell r="AH718" t="str">
            <v/>
          </cell>
          <cell r="AI718" t="str">
            <v/>
          </cell>
          <cell r="AJ718" t="str">
            <v/>
          </cell>
          <cell r="AK718" t="str">
            <v>0.648000</v>
          </cell>
          <cell r="AL718" t="str">
            <v>1</v>
          </cell>
          <cell r="AM718" t="str">
            <v>F</v>
          </cell>
          <cell r="AN718" t="str">
            <v>M0</v>
          </cell>
          <cell r="AO718" t="str">
            <v>Active(Model)</v>
          </cell>
          <cell r="AP718" t="str">
            <v/>
          </cell>
          <cell r="AQ718" t="str">
            <v/>
          </cell>
          <cell r="AR718" t="str">
            <v>Y</v>
          </cell>
          <cell r="AS718" t="str">
            <v/>
          </cell>
          <cell r="AT718" t="str">
            <v>WM</v>
          </cell>
          <cell r="AU718" t="str">
            <v>Washing Machine</v>
          </cell>
          <cell r="AV718" t="str">
            <v>WMWL</v>
          </cell>
          <cell r="AW718" t="str">
            <v>Clothes Washer</v>
          </cell>
          <cell r="AX718" t="str">
            <v>WMWLFL</v>
          </cell>
          <cell r="AY718" t="str">
            <v>Clothes Washer_Front Loader</v>
          </cell>
          <cell r="AZ718" t="str">
            <v>WMWLFLHS</v>
          </cell>
          <cell r="BA718" t="str">
            <v>Clothes Washer_Drum(DD)_Steam</v>
          </cell>
        </row>
        <row r="719">
          <cell r="E719" t="str">
            <v>WM3850HVA.ASSEECI</v>
          </cell>
          <cell r="F719">
            <v>388</v>
          </cell>
          <cell r="G719">
            <v>0</v>
          </cell>
          <cell r="H719">
            <v>0</v>
          </cell>
          <cell r="I719">
            <v>388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1049</v>
          </cell>
          <cell r="O719">
            <v>630</v>
          </cell>
          <cell r="P719">
            <v>1049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 t="str">
            <v/>
          </cell>
          <cell r="AH719" t="str">
            <v/>
          </cell>
          <cell r="AI719" t="str">
            <v/>
          </cell>
          <cell r="AJ719" t="str">
            <v/>
          </cell>
          <cell r="AK719" t="str">
            <v>0.648000</v>
          </cell>
          <cell r="AL719" t="str">
            <v>1</v>
          </cell>
          <cell r="AM719" t="str">
            <v>F</v>
          </cell>
          <cell r="AN719" t="str">
            <v>M0</v>
          </cell>
          <cell r="AO719" t="str">
            <v>Active(Model)</v>
          </cell>
          <cell r="AP719" t="str">
            <v/>
          </cell>
          <cell r="AQ719" t="str">
            <v/>
          </cell>
          <cell r="AR719" t="str">
            <v>Y</v>
          </cell>
          <cell r="AS719" t="str">
            <v/>
          </cell>
          <cell r="AT719" t="str">
            <v>WM</v>
          </cell>
          <cell r="AU719" t="str">
            <v>Washing Machine</v>
          </cell>
          <cell r="AV719" t="str">
            <v>WMWL</v>
          </cell>
          <cell r="AW719" t="str">
            <v>Clothes Washer</v>
          </cell>
          <cell r="AX719" t="str">
            <v>WMWLFL</v>
          </cell>
          <cell r="AY719" t="str">
            <v>Clothes Washer_Front Loader</v>
          </cell>
          <cell r="AZ719" t="str">
            <v>WMWLFLHS</v>
          </cell>
          <cell r="BA719" t="str">
            <v>Clothes Washer_Drum(DD)_Steam</v>
          </cell>
        </row>
        <row r="720">
          <cell r="E720" t="str">
            <v>WM4000HBA.ABLEVUS</v>
          </cell>
          <cell r="F720">
            <v>720</v>
          </cell>
          <cell r="G720">
            <v>0</v>
          </cell>
          <cell r="H720">
            <v>0</v>
          </cell>
          <cell r="I720">
            <v>720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630</v>
          </cell>
          <cell r="O720">
            <v>0</v>
          </cell>
          <cell r="P720">
            <v>630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 t="str">
            <v/>
          </cell>
          <cell r="AH720" t="str">
            <v/>
          </cell>
          <cell r="AI720" t="str">
            <v/>
          </cell>
          <cell r="AJ720" t="str">
            <v/>
          </cell>
          <cell r="AK720" t="str">
            <v>0.648000</v>
          </cell>
          <cell r="AL720" t="str">
            <v>1</v>
          </cell>
          <cell r="AM720" t="str">
            <v>F</v>
          </cell>
          <cell r="AN720" t="str">
            <v>M0</v>
          </cell>
          <cell r="AO720" t="str">
            <v>Active(Model)</v>
          </cell>
          <cell r="AP720" t="str">
            <v/>
          </cell>
          <cell r="AQ720" t="str">
            <v/>
          </cell>
          <cell r="AR720" t="str">
            <v>Y</v>
          </cell>
          <cell r="AS720" t="str">
            <v/>
          </cell>
          <cell r="AT720" t="str">
            <v>WM</v>
          </cell>
          <cell r="AU720" t="str">
            <v>Washing Machine</v>
          </cell>
          <cell r="AV720" t="str">
            <v>WMWL</v>
          </cell>
          <cell r="AW720" t="str">
            <v>Clothes Washer</v>
          </cell>
          <cell r="AX720" t="str">
            <v>WMWLFL</v>
          </cell>
          <cell r="AY720" t="str">
            <v>Clothes Washer_Front Loader</v>
          </cell>
          <cell r="AZ720" t="str">
            <v>WMWLFLHS</v>
          </cell>
          <cell r="BA720" t="str">
            <v>Clothes Washer_Drum(DD)_Steam</v>
          </cell>
        </row>
        <row r="721">
          <cell r="E721" t="str">
            <v>WM4000HWA.ABWEVUS</v>
          </cell>
          <cell r="F721">
            <v>1070</v>
          </cell>
          <cell r="G721">
            <v>0</v>
          </cell>
          <cell r="H721">
            <v>0</v>
          </cell>
          <cell r="I721">
            <v>1070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450</v>
          </cell>
          <cell r="O721">
            <v>90</v>
          </cell>
          <cell r="P721">
            <v>450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 t="str">
            <v/>
          </cell>
          <cell r="AH721" t="str">
            <v/>
          </cell>
          <cell r="AI721" t="str">
            <v/>
          </cell>
          <cell r="AJ721" t="str">
            <v/>
          </cell>
          <cell r="AK721" t="str">
            <v>0.648000</v>
          </cell>
          <cell r="AL721" t="str">
            <v>1</v>
          </cell>
          <cell r="AM721" t="str">
            <v>F</v>
          </cell>
          <cell r="AN721" t="str">
            <v>M0</v>
          </cell>
          <cell r="AO721" t="str">
            <v>Active(Model)</v>
          </cell>
          <cell r="AP721" t="str">
            <v/>
          </cell>
          <cell r="AQ721" t="str">
            <v/>
          </cell>
          <cell r="AR721" t="str">
            <v>Y</v>
          </cell>
          <cell r="AS721" t="str">
            <v/>
          </cell>
          <cell r="AT721" t="str">
            <v>WM</v>
          </cell>
          <cell r="AU721" t="str">
            <v>Washing Machine</v>
          </cell>
          <cell r="AV721" t="str">
            <v>WMWL</v>
          </cell>
          <cell r="AW721" t="str">
            <v>Clothes Washer</v>
          </cell>
          <cell r="AX721" t="str">
            <v>WMWLFL</v>
          </cell>
          <cell r="AY721" t="str">
            <v>Clothes Washer_Front Loader</v>
          </cell>
          <cell r="AZ721" t="str">
            <v>WMWLFLHS</v>
          </cell>
          <cell r="BA721" t="str">
            <v>Clothes Washer_Drum(DD)_Steam</v>
          </cell>
        </row>
        <row r="722">
          <cell r="E722" t="str">
            <v>WM4100HBA.ABLEVUS</v>
          </cell>
          <cell r="F722">
            <v>420</v>
          </cell>
          <cell r="G722">
            <v>0</v>
          </cell>
          <cell r="H722">
            <v>0</v>
          </cell>
          <cell r="I722">
            <v>420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450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 t="str">
            <v/>
          </cell>
          <cell r="AH722" t="str">
            <v/>
          </cell>
          <cell r="AI722" t="str">
            <v/>
          </cell>
          <cell r="AJ722" t="str">
            <v/>
          </cell>
          <cell r="AK722" t="str">
            <v>0.648000</v>
          </cell>
          <cell r="AL722" t="str">
            <v>1</v>
          </cell>
          <cell r="AM722" t="str">
            <v>F</v>
          </cell>
          <cell r="AN722" t="str">
            <v>M0</v>
          </cell>
          <cell r="AO722" t="str">
            <v>Active(Model)</v>
          </cell>
          <cell r="AP722" t="str">
            <v/>
          </cell>
          <cell r="AQ722" t="str">
            <v/>
          </cell>
          <cell r="AR722" t="str">
            <v>Y</v>
          </cell>
          <cell r="AS722" t="str">
            <v/>
          </cell>
          <cell r="AT722" t="str">
            <v>WM</v>
          </cell>
          <cell r="AU722" t="str">
            <v>Washing Machine</v>
          </cell>
          <cell r="AV722" t="str">
            <v>WMWL</v>
          </cell>
          <cell r="AW722" t="str">
            <v>Clothes Washer</v>
          </cell>
          <cell r="AX722" t="str">
            <v>WMWLFL</v>
          </cell>
          <cell r="AY722" t="str">
            <v>Clothes Washer_Front Loader</v>
          </cell>
          <cell r="AZ722" t="str">
            <v>WMWLFLHS</v>
          </cell>
          <cell r="BA722" t="str">
            <v>Clothes Washer_Drum(DD)_Steam</v>
          </cell>
        </row>
        <row r="723">
          <cell r="E723" t="str">
            <v>WM5500HVA.ASSEVUS</v>
          </cell>
          <cell r="F723">
            <v>90</v>
          </cell>
          <cell r="G723">
            <v>0</v>
          </cell>
          <cell r="H723">
            <v>0</v>
          </cell>
          <cell r="I723">
            <v>90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179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 t="str">
            <v/>
          </cell>
          <cell r="AH723" t="str">
            <v/>
          </cell>
          <cell r="AI723" t="str">
            <v/>
          </cell>
          <cell r="AJ723" t="str">
            <v/>
          </cell>
          <cell r="AK723" t="str">
            <v>0.704700</v>
          </cell>
          <cell r="AL723" t="str">
            <v>1</v>
          </cell>
          <cell r="AM723" t="str">
            <v>F</v>
          </cell>
          <cell r="AN723" t="str">
            <v>M0</v>
          </cell>
          <cell r="AO723" t="str">
            <v>Active(Model)</v>
          </cell>
          <cell r="AP723" t="str">
            <v/>
          </cell>
          <cell r="AQ723" t="str">
            <v/>
          </cell>
          <cell r="AR723" t="str">
            <v>Y</v>
          </cell>
          <cell r="AS723" t="str">
            <v/>
          </cell>
          <cell r="AT723" t="str">
            <v>WM</v>
          </cell>
          <cell r="AU723" t="str">
            <v>Washing Machine</v>
          </cell>
          <cell r="AV723" t="str">
            <v>WMWL</v>
          </cell>
          <cell r="AW723" t="str">
            <v>Clothes Washer</v>
          </cell>
          <cell r="AX723" t="str">
            <v>WMWLFL</v>
          </cell>
          <cell r="AY723" t="str">
            <v>Clothes Washer_Front Loader</v>
          </cell>
          <cell r="AZ723" t="str">
            <v>WMWLFLHS</v>
          </cell>
          <cell r="BA723" t="str">
            <v>Clothes Washer_Drum(DD)_Steam</v>
          </cell>
        </row>
        <row r="724">
          <cell r="E724" t="str">
            <v>WM5800HAA.AGWEVUS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1260</v>
          </cell>
          <cell r="O724">
            <v>168</v>
          </cell>
          <cell r="P724">
            <v>1260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 t="str">
            <v/>
          </cell>
          <cell r="AH724" t="str">
            <v/>
          </cell>
          <cell r="AI724" t="str">
            <v/>
          </cell>
          <cell r="AJ724" t="str">
            <v/>
          </cell>
          <cell r="AK724" t="str">
            <v>0.669097</v>
          </cell>
          <cell r="AL724" t="str">
            <v>1</v>
          </cell>
          <cell r="AM724" t="str">
            <v>F</v>
          </cell>
          <cell r="AN724" t="str">
            <v>M0</v>
          </cell>
          <cell r="AO724" t="str">
            <v>Active(Model)</v>
          </cell>
          <cell r="AP724" t="str">
            <v/>
          </cell>
          <cell r="AQ724" t="str">
            <v/>
          </cell>
          <cell r="AR724" t="str">
            <v>Y</v>
          </cell>
          <cell r="AS724" t="str">
            <v/>
          </cell>
          <cell r="AT724" t="str">
            <v>WM</v>
          </cell>
          <cell r="AU724" t="str">
            <v>Washing Machine</v>
          </cell>
          <cell r="AV724" t="str">
            <v>WMWL</v>
          </cell>
          <cell r="AW724" t="str">
            <v>Clothes Washer</v>
          </cell>
          <cell r="AX724" t="str">
            <v>WMWLFL</v>
          </cell>
          <cell r="AY724" t="str">
            <v>Clothes Washer_Front Loader</v>
          </cell>
          <cell r="AZ724" t="str">
            <v>WMWLFLHS</v>
          </cell>
          <cell r="BA724" t="str">
            <v>Clothes Washer_Drum(DD)_Steam</v>
          </cell>
        </row>
        <row r="725">
          <cell r="E725" t="str">
            <v>WM5800HVA.ASSEVUS</v>
          </cell>
          <cell r="F725">
            <v>46</v>
          </cell>
          <cell r="G725">
            <v>0</v>
          </cell>
          <cell r="H725">
            <v>0</v>
          </cell>
          <cell r="I725">
            <v>46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2809</v>
          </cell>
          <cell r="O725">
            <v>1848</v>
          </cell>
          <cell r="P725">
            <v>2809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 t="str">
            <v/>
          </cell>
          <cell r="AH725" t="str">
            <v/>
          </cell>
          <cell r="AI725" t="str">
            <v/>
          </cell>
          <cell r="AJ725" t="str">
            <v/>
          </cell>
          <cell r="AK725" t="str">
            <v>0.669097</v>
          </cell>
          <cell r="AL725" t="str">
            <v>1</v>
          </cell>
          <cell r="AM725" t="str">
            <v>F</v>
          </cell>
          <cell r="AN725" t="str">
            <v>M0</v>
          </cell>
          <cell r="AO725" t="str">
            <v>Active(Model)</v>
          </cell>
          <cell r="AP725" t="str">
            <v/>
          </cell>
          <cell r="AQ725" t="str">
            <v/>
          </cell>
          <cell r="AR725" t="str">
            <v>Y</v>
          </cell>
          <cell r="AS725" t="str">
            <v/>
          </cell>
          <cell r="AT725" t="str">
            <v>WM</v>
          </cell>
          <cell r="AU725" t="str">
            <v>Washing Machine</v>
          </cell>
          <cell r="AV725" t="str">
            <v>WMWL</v>
          </cell>
          <cell r="AW725" t="str">
            <v>Clothes Washer</v>
          </cell>
          <cell r="AX725" t="str">
            <v>WMWLFL</v>
          </cell>
          <cell r="AY725" t="str">
            <v>Clothes Washer_Front Loader</v>
          </cell>
          <cell r="AZ725" t="str">
            <v>WMWLFLHS</v>
          </cell>
          <cell r="BA725" t="str">
            <v>Clothes Washer_Drum(DD)_Steam</v>
          </cell>
        </row>
        <row r="726">
          <cell r="E726" t="str">
            <v>WM6500HBA.ABLEVUS</v>
          </cell>
          <cell r="F726">
            <v>80</v>
          </cell>
          <cell r="G726">
            <v>0</v>
          </cell>
          <cell r="H726">
            <v>0</v>
          </cell>
          <cell r="I726">
            <v>80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683</v>
          </cell>
          <cell r="O726">
            <v>281</v>
          </cell>
          <cell r="P726">
            <v>683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 t="str">
            <v/>
          </cell>
          <cell r="AH726" t="str">
            <v/>
          </cell>
          <cell r="AI726" t="str">
            <v/>
          </cell>
          <cell r="AJ726" t="str">
            <v/>
          </cell>
          <cell r="AK726" t="str">
            <v>0.704700</v>
          </cell>
          <cell r="AL726" t="str">
            <v>1</v>
          </cell>
          <cell r="AM726" t="str">
            <v>F</v>
          </cell>
          <cell r="AN726" t="str">
            <v>M0</v>
          </cell>
          <cell r="AO726" t="str">
            <v>Active(Model)</v>
          </cell>
          <cell r="AP726" t="str">
            <v/>
          </cell>
          <cell r="AQ726" t="str">
            <v/>
          </cell>
          <cell r="AR726" t="str">
            <v>Y</v>
          </cell>
          <cell r="AS726" t="str">
            <v/>
          </cell>
          <cell r="AT726" t="str">
            <v>WM</v>
          </cell>
          <cell r="AU726" t="str">
            <v>Washing Machine</v>
          </cell>
          <cell r="AV726" t="str">
            <v>WMWL</v>
          </cell>
          <cell r="AW726" t="str">
            <v>Clothes Washer</v>
          </cell>
          <cell r="AX726" t="str">
            <v>WMWLFL</v>
          </cell>
          <cell r="AY726" t="str">
            <v>Clothes Washer_Front Loader</v>
          </cell>
          <cell r="AZ726" t="str">
            <v>WMWLFLHS</v>
          </cell>
          <cell r="BA726" t="str">
            <v>Clothes Washer_Drum(DD)_Steam</v>
          </cell>
        </row>
        <row r="727">
          <cell r="E727" t="str">
            <v>WM6500HWA.ABWEVUS</v>
          </cell>
          <cell r="F727">
            <v>53</v>
          </cell>
          <cell r="G727">
            <v>0</v>
          </cell>
          <cell r="H727">
            <v>0</v>
          </cell>
          <cell r="I727">
            <v>53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479</v>
          </cell>
          <cell r="O727">
            <v>195</v>
          </cell>
          <cell r="P727">
            <v>479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 t="str">
            <v/>
          </cell>
          <cell r="AH727" t="str">
            <v/>
          </cell>
          <cell r="AI727" t="str">
            <v/>
          </cell>
          <cell r="AJ727" t="str">
            <v/>
          </cell>
          <cell r="AK727" t="str">
            <v>0.704700</v>
          </cell>
          <cell r="AL727" t="str">
            <v>1</v>
          </cell>
          <cell r="AM727" t="str">
            <v>F</v>
          </cell>
          <cell r="AN727" t="str">
            <v>M0</v>
          </cell>
          <cell r="AO727" t="str">
            <v>Active(Model)</v>
          </cell>
          <cell r="AP727" t="str">
            <v/>
          </cell>
          <cell r="AQ727" t="str">
            <v/>
          </cell>
          <cell r="AR727" t="str">
            <v>Y</v>
          </cell>
          <cell r="AS727" t="str">
            <v/>
          </cell>
          <cell r="AT727" t="str">
            <v>WM</v>
          </cell>
          <cell r="AU727" t="str">
            <v>Washing Machine</v>
          </cell>
          <cell r="AV727" t="str">
            <v>WMWL</v>
          </cell>
          <cell r="AW727" t="str">
            <v>Clothes Washer</v>
          </cell>
          <cell r="AX727" t="str">
            <v>WMWLFL</v>
          </cell>
          <cell r="AY727" t="str">
            <v>Clothes Washer_Front Loader</v>
          </cell>
          <cell r="AZ727" t="str">
            <v>WMWLFLHS</v>
          </cell>
          <cell r="BA727" t="str">
            <v>Clothes Washer_Drum(DD)_Steam</v>
          </cell>
        </row>
        <row r="728">
          <cell r="E728" t="str">
            <v>WM6700HBA.ABLEVUS</v>
          </cell>
          <cell r="F728">
            <v>28</v>
          </cell>
          <cell r="G728">
            <v>0</v>
          </cell>
          <cell r="H728">
            <v>0</v>
          </cell>
          <cell r="I728">
            <v>28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549</v>
          </cell>
          <cell r="O728">
            <v>433</v>
          </cell>
          <cell r="P728">
            <v>549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 t="str">
            <v/>
          </cell>
          <cell r="AH728" t="str">
            <v/>
          </cell>
          <cell r="AI728" t="str">
            <v/>
          </cell>
          <cell r="AJ728" t="str">
            <v/>
          </cell>
          <cell r="AK728" t="str">
            <v>0.704700</v>
          </cell>
          <cell r="AL728" t="str">
            <v>1</v>
          </cell>
          <cell r="AM728" t="str">
            <v>F</v>
          </cell>
          <cell r="AN728" t="str">
            <v>M0</v>
          </cell>
          <cell r="AO728" t="str">
            <v>Active(Model)</v>
          </cell>
          <cell r="AP728" t="str">
            <v/>
          </cell>
          <cell r="AQ728" t="str">
            <v/>
          </cell>
          <cell r="AR728" t="str">
            <v>Y</v>
          </cell>
          <cell r="AS728" t="str">
            <v/>
          </cell>
          <cell r="AT728" t="str">
            <v>WM</v>
          </cell>
          <cell r="AU728" t="str">
            <v>Washing Machine</v>
          </cell>
          <cell r="AV728" t="str">
            <v>WMWL</v>
          </cell>
          <cell r="AW728" t="str">
            <v>Clothes Washer</v>
          </cell>
          <cell r="AX728" t="str">
            <v>WMWLFL</v>
          </cell>
          <cell r="AY728" t="str">
            <v>Clothes Washer_Front Loader</v>
          </cell>
          <cell r="AZ728" t="str">
            <v>WMWLFLHS</v>
          </cell>
          <cell r="BA728" t="str">
            <v>Clothes Washer_Drum(DD)_Steam</v>
          </cell>
        </row>
        <row r="729">
          <cell r="E729" t="str">
            <v>WT21EGTX6.AEGELAT</v>
          </cell>
          <cell r="F729">
            <v>126</v>
          </cell>
          <cell r="G729">
            <v>0</v>
          </cell>
          <cell r="H729">
            <v>0</v>
          </cell>
          <cell r="I729">
            <v>126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450</v>
          </cell>
          <cell r="O729">
            <v>0</v>
          </cell>
          <cell r="P729">
            <v>450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 t="str">
            <v/>
          </cell>
          <cell r="AH729" t="str">
            <v/>
          </cell>
          <cell r="AI729" t="str">
            <v/>
          </cell>
          <cell r="AJ729" t="str">
            <v/>
          </cell>
          <cell r="AK729" t="str">
            <v>0.599580</v>
          </cell>
          <cell r="AL729" t="str">
            <v>1</v>
          </cell>
          <cell r="AM729" t="str">
            <v>F</v>
          </cell>
          <cell r="AN729" t="str">
            <v>M0</v>
          </cell>
          <cell r="AO729" t="str">
            <v>Active(Model)</v>
          </cell>
          <cell r="AP729" t="str">
            <v/>
          </cell>
          <cell r="AQ729" t="str">
            <v/>
          </cell>
          <cell r="AR729" t="str">
            <v>Y</v>
          </cell>
          <cell r="AS729" t="str">
            <v/>
          </cell>
          <cell r="AT729" t="str">
            <v>WM</v>
          </cell>
          <cell r="AU729" t="str">
            <v>Washing Machine</v>
          </cell>
          <cell r="AV729" t="str">
            <v>WMWL</v>
          </cell>
          <cell r="AW729" t="str">
            <v>Clothes Washer</v>
          </cell>
          <cell r="AX729" t="str">
            <v>WMWLTL</v>
          </cell>
          <cell r="AY729" t="str">
            <v>Clothes Washer_Top Loader</v>
          </cell>
          <cell r="AZ729" t="str">
            <v>WMWLTLTA</v>
          </cell>
          <cell r="BA729" t="str">
            <v>Clothes Washer_Turbo Drum</v>
          </cell>
        </row>
        <row r="730">
          <cell r="E730" t="str">
            <v>WT21EWTX6.AGWELAT</v>
          </cell>
          <cell r="F730">
            <v>156</v>
          </cell>
          <cell r="G730">
            <v>0</v>
          </cell>
          <cell r="H730">
            <v>0</v>
          </cell>
          <cell r="I730">
            <v>156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330</v>
          </cell>
          <cell r="O730">
            <v>0</v>
          </cell>
          <cell r="P730">
            <v>330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 t="str">
            <v/>
          </cell>
          <cell r="AH730" t="str">
            <v/>
          </cell>
          <cell r="AI730" t="str">
            <v/>
          </cell>
          <cell r="AJ730" t="str">
            <v/>
          </cell>
          <cell r="AK730" t="str">
            <v>0.599580</v>
          </cell>
          <cell r="AL730" t="str">
            <v>1</v>
          </cell>
          <cell r="AM730" t="str">
            <v>F</v>
          </cell>
          <cell r="AN730" t="str">
            <v>M0</v>
          </cell>
          <cell r="AO730" t="str">
            <v>Active(Model)</v>
          </cell>
          <cell r="AP730" t="str">
            <v/>
          </cell>
          <cell r="AQ730" t="str">
            <v/>
          </cell>
          <cell r="AR730" t="str">
            <v>Y</v>
          </cell>
          <cell r="AS730" t="str">
            <v/>
          </cell>
          <cell r="AT730" t="str">
            <v>WM</v>
          </cell>
          <cell r="AU730" t="str">
            <v>Washing Machine</v>
          </cell>
          <cell r="AV730" t="str">
            <v>WMWL</v>
          </cell>
          <cell r="AW730" t="str">
            <v>Clothes Washer</v>
          </cell>
          <cell r="AX730" t="str">
            <v>WMWLTL</v>
          </cell>
          <cell r="AY730" t="str">
            <v>Clothes Washer_Top Loader</v>
          </cell>
          <cell r="AZ730" t="str">
            <v>WMWLTLTA</v>
          </cell>
          <cell r="BA730" t="str">
            <v>Clothes Washer_Turbo Drum</v>
          </cell>
        </row>
        <row r="731">
          <cell r="E731" t="str">
            <v>WT21OBTX6.ANBELAT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180</v>
          </cell>
          <cell r="O731">
            <v>450</v>
          </cell>
          <cell r="P731">
            <v>180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 t="str">
            <v/>
          </cell>
          <cell r="AH731" t="str">
            <v/>
          </cell>
          <cell r="AI731" t="str">
            <v/>
          </cell>
          <cell r="AJ731" t="str">
            <v/>
          </cell>
          <cell r="AK731" t="str">
            <v>0.599580</v>
          </cell>
          <cell r="AL731" t="str">
            <v>1</v>
          </cell>
          <cell r="AM731" t="str">
            <v>F</v>
          </cell>
          <cell r="AN731" t="str">
            <v>M0</v>
          </cell>
          <cell r="AO731" t="str">
            <v>Active(Model)</v>
          </cell>
          <cell r="AP731" t="str">
            <v/>
          </cell>
          <cell r="AQ731" t="str">
            <v/>
          </cell>
          <cell r="AR731" t="str">
            <v>Y</v>
          </cell>
          <cell r="AS731" t="str">
            <v/>
          </cell>
          <cell r="AT731" t="str">
            <v>WM</v>
          </cell>
          <cell r="AU731" t="str">
            <v>Washing Machine</v>
          </cell>
          <cell r="AV731" t="str">
            <v>WMWL</v>
          </cell>
          <cell r="AW731" t="str">
            <v>Clothes Washer</v>
          </cell>
          <cell r="AX731" t="str">
            <v>WMWLTL</v>
          </cell>
          <cell r="AY731" t="str">
            <v>Clothes Washer_Top Loader</v>
          </cell>
          <cell r="AZ731" t="str">
            <v>WMWLTLTA</v>
          </cell>
          <cell r="BA731" t="str">
            <v>Clothes Washer_Turbo Drum</v>
          </cell>
        </row>
        <row r="732">
          <cell r="E732" t="str">
            <v>WT23EGTX6.AEGELAT</v>
          </cell>
          <cell r="F732">
            <v>2</v>
          </cell>
          <cell r="G732">
            <v>0</v>
          </cell>
          <cell r="H732">
            <v>0</v>
          </cell>
          <cell r="I732">
            <v>2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 t="str">
            <v/>
          </cell>
          <cell r="AH732" t="str">
            <v/>
          </cell>
          <cell r="AI732" t="str">
            <v/>
          </cell>
          <cell r="AJ732" t="str">
            <v/>
          </cell>
          <cell r="AK732" t="str">
            <v>0.599580</v>
          </cell>
          <cell r="AL732" t="str">
            <v>1</v>
          </cell>
          <cell r="AM732" t="str">
            <v>F</v>
          </cell>
          <cell r="AN732" t="str">
            <v>M0</v>
          </cell>
          <cell r="AO732" t="str">
            <v>Active(Model)</v>
          </cell>
          <cell r="AP732" t="str">
            <v/>
          </cell>
          <cell r="AQ732" t="str">
            <v/>
          </cell>
          <cell r="AR732" t="str">
            <v>Y</v>
          </cell>
          <cell r="AS732" t="str">
            <v/>
          </cell>
          <cell r="AT732" t="str">
            <v>WM</v>
          </cell>
          <cell r="AU732" t="str">
            <v>Washing Machine</v>
          </cell>
          <cell r="AV732" t="str">
            <v>WMWL</v>
          </cell>
          <cell r="AW732" t="str">
            <v>Clothes Washer</v>
          </cell>
          <cell r="AX732" t="str">
            <v>WMWLTL</v>
          </cell>
          <cell r="AY732" t="str">
            <v>Clothes Washer_Top Loader</v>
          </cell>
          <cell r="AZ732" t="str">
            <v>WMWLTLTA</v>
          </cell>
          <cell r="BA732" t="str">
            <v>Clothes Washer_Turbo Drum</v>
          </cell>
        </row>
        <row r="733">
          <cell r="E733" t="str">
            <v>WT6485CW.ABWEVUS</v>
          </cell>
          <cell r="F733">
            <v>612</v>
          </cell>
          <cell r="G733">
            <v>0</v>
          </cell>
          <cell r="H733">
            <v>89</v>
          </cell>
          <cell r="I733">
            <v>1241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2334</v>
          </cell>
          <cell r="O733">
            <v>450</v>
          </cell>
          <cell r="P733">
            <v>2334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 t="str">
            <v/>
          </cell>
          <cell r="AH733" t="str">
            <v/>
          </cell>
          <cell r="AI733" t="str">
            <v/>
          </cell>
          <cell r="AJ733" t="str">
            <v/>
          </cell>
          <cell r="AK733" t="str">
            <v>0.676480</v>
          </cell>
          <cell r="AL733" t="str">
            <v>1</v>
          </cell>
          <cell r="AM733" t="str">
            <v>F</v>
          </cell>
          <cell r="AN733" t="str">
            <v>M0</v>
          </cell>
          <cell r="AO733" t="str">
            <v>Active(Model)</v>
          </cell>
          <cell r="AP733" t="str">
            <v/>
          </cell>
          <cell r="AQ733" t="str">
            <v/>
          </cell>
          <cell r="AR733" t="str">
            <v>Y</v>
          </cell>
          <cell r="AS733" t="str">
            <v/>
          </cell>
          <cell r="AT733" t="str">
            <v>WM</v>
          </cell>
          <cell r="AU733" t="str">
            <v>Washing Machine</v>
          </cell>
          <cell r="AV733" t="str">
            <v>WMWL</v>
          </cell>
          <cell r="AW733" t="str">
            <v>Clothes Washer</v>
          </cell>
          <cell r="AX733" t="str">
            <v>WMWLTL</v>
          </cell>
          <cell r="AY733" t="str">
            <v>Clothes Washer_Top Loader</v>
          </cell>
          <cell r="AZ733" t="str">
            <v>WMWLTLTA</v>
          </cell>
          <cell r="BA733" t="str">
            <v>Clothes Washer_Turbo Drum</v>
          </cell>
        </row>
        <row r="734">
          <cell r="E734" t="str">
            <v>WX3-1408W.AGWRVAP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765</v>
          </cell>
          <cell r="O734">
            <v>160</v>
          </cell>
          <cell r="P734">
            <v>765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 t="str">
            <v/>
          </cell>
          <cell r="AH734" t="str">
            <v/>
          </cell>
          <cell r="AI734" t="str">
            <v/>
          </cell>
          <cell r="AJ734" t="str">
            <v/>
          </cell>
          <cell r="AK734" t="str">
            <v>0.383328</v>
          </cell>
          <cell r="AL734" t="str">
            <v>1</v>
          </cell>
          <cell r="AM734" t="str">
            <v>F</v>
          </cell>
          <cell r="AN734" t="str">
            <v>M0</v>
          </cell>
          <cell r="AO734" t="str">
            <v>Active(Model)</v>
          </cell>
          <cell r="AP734" t="str">
            <v/>
          </cell>
          <cell r="AQ734" t="str">
            <v/>
          </cell>
          <cell r="AR734" t="str">
            <v>Y</v>
          </cell>
          <cell r="AS734" t="str">
            <v/>
          </cell>
          <cell r="AT734" t="str">
            <v>WM</v>
          </cell>
          <cell r="AU734" t="str">
            <v>Washing Machine</v>
          </cell>
          <cell r="AV734" t="str">
            <v>WMWL</v>
          </cell>
          <cell r="AW734" t="str">
            <v>Clothes Washer</v>
          </cell>
          <cell r="AX734" t="str">
            <v>WMWLFL</v>
          </cell>
          <cell r="AY734" t="str">
            <v>Clothes Washer_Front Loader</v>
          </cell>
          <cell r="AZ734" t="str">
            <v>WMWLFLSC</v>
          </cell>
          <cell r="BA734" t="str">
            <v>Clothes Washer_Drum(DD)_Steam_24</v>
          </cell>
        </row>
        <row r="735">
          <cell r="E735" t="str">
            <v>WX3-1409W.AGWRVAP</v>
          </cell>
          <cell r="F735">
            <v>199</v>
          </cell>
          <cell r="G735">
            <v>0</v>
          </cell>
          <cell r="H735">
            <v>0</v>
          </cell>
          <cell r="I735">
            <v>200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115</v>
          </cell>
          <cell r="O735">
            <v>160</v>
          </cell>
          <cell r="P735">
            <v>115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 t="str">
            <v/>
          </cell>
          <cell r="AH735" t="str">
            <v/>
          </cell>
          <cell r="AI735" t="str">
            <v/>
          </cell>
          <cell r="AJ735" t="str">
            <v/>
          </cell>
          <cell r="AK735" t="str">
            <v>0.383328</v>
          </cell>
          <cell r="AL735" t="str">
            <v>1</v>
          </cell>
          <cell r="AM735" t="str">
            <v>F</v>
          </cell>
          <cell r="AN735" t="str">
            <v>M0</v>
          </cell>
          <cell r="AO735" t="str">
            <v>Active(Model)</v>
          </cell>
          <cell r="AP735" t="str">
            <v/>
          </cell>
          <cell r="AQ735" t="str">
            <v/>
          </cell>
          <cell r="AR735" t="str">
            <v>Y</v>
          </cell>
          <cell r="AS735" t="str">
            <v/>
          </cell>
          <cell r="AT735" t="str">
            <v>WM</v>
          </cell>
          <cell r="AU735" t="str">
            <v>Washing Machine</v>
          </cell>
          <cell r="AV735" t="str">
            <v>WMWL</v>
          </cell>
          <cell r="AW735" t="str">
            <v>Clothes Washer</v>
          </cell>
          <cell r="AX735" t="str">
            <v>WMWLFL</v>
          </cell>
          <cell r="AY735" t="str">
            <v>Clothes Washer_Front Loader</v>
          </cell>
          <cell r="AZ735" t="str">
            <v>WMWLFLSC</v>
          </cell>
          <cell r="BA735" t="str">
            <v>Clothes Washer_Drum(DD)_Steam_24</v>
          </cell>
        </row>
        <row r="736">
          <cell r="E736" t="str">
            <v>WX3-1410W.AGWRVAP</v>
          </cell>
          <cell r="F736">
            <v>555</v>
          </cell>
          <cell r="G736">
            <v>0</v>
          </cell>
          <cell r="H736">
            <v>0</v>
          </cell>
          <cell r="I736">
            <v>714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670</v>
          </cell>
          <cell r="O736">
            <v>477</v>
          </cell>
          <cell r="P736">
            <v>670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 t="str">
            <v/>
          </cell>
          <cell r="AH736" t="str">
            <v/>
          </cell>
          <cell r="AI736" t="str">
            <v/>
          </cell>
          <cell r="AJ736" t="str">
            <v/>
          </cell>
          <cell r="AK736" t="str">
            <v>0.383328</v>
          </cell>
          <cell r="AL736" t="str">
            <v>1</v>
          </cell>
          <cell r="AM736" t="str">
            <v>F</v>
          </cell>
          <cell r="AN736" t="str">
            <v>M0</v>
          </cell>
          <cell r="AO736" t="str">
            <v>Active(Model)</v>
          </cell>
          <cell r="AP736" t="str">
            <v/>
          </cell>
          <cell r="AQ736" t="str">
            <v/>
          </cell>
          <cell r="AR736" t="str">
            <v>Y</v>
          </cell>
          <cell r="AS736" t="str">
            <v/>
          </cell>
          <cell r="AT736" t="str">
            <v>WM</v>
          </cell>
          <cell r="AU736" t="str">
            <v>Washing Machine</v>
          </cell>
          <cell r="AV736" t="str">
            <v>WMWL</v>
          </cell>
          <cell r="AW736" t="str">
            <v>Clothes Washer</v>
          </cell>
          <cell r="AX736" t="str">
            <v>WMWLFL</v>
          </cell>
          <cell r="AY736" t="str">
            <v>Clothes Washer_Front Loader</v>
          </cell>
          <cell r="AZ736" t="str">
            <v>WMWLFLSC</v>
          </cell>
          <cell r="BA736" t="str">
            <v>Clothes Washer_Drum(DD)_Steam_24</v>
          </cell>
        </row>
        <row r="737">
          <cell r="E737" t="str">
            <v>100MRGB96BS.ATV</v>
          </cell>
          <cell r="F737">
            <v>7</v>
          </cell>
          <cell r="G737">
            <v>0</v>
          </cell>
          <cell r="H737">
            <v>0</v>
          </cell>
          <cell r="I737">
            <v>9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 t="str">
            <v>LCDPREPLUS</v>
          </cell>
          <cell r="AH737" t="str">
            <v>LCD_Premium Plus</v>
          </cell>
          <cell r="AI737" t="str">
            <v/>
          </cell>
          <cell r="AJ737" t="str">
            <v/>
          </cell>
          <cell r="AK737" t="str">
            <v>1.103463</v>
          </cell>
          <cell r="AL737" t="str">
            <v>2</v>
          </cell>
          <cell r="AM737" t="str">
            <v>Q</v>
          </cell>
          <cell r="AN737" t="str">
            <v>M0</v>
          </cell>
          <cell r="AO737" t="str">
            <v>Active(Model)</v>
          </cell>
          <cell r="AP737" t="str">
            <v/>
          </cell>
          <cell r="AQ737" t="str">
            <v/>
          </cell>
          <cell r="AR737" t="str">
            <v>Y</v>
          </cell>
          <cell r="AS737" t="str">
            <v/>
          </cell>
          <cell r="AT737" t="str">
            <v>TV</v>
          </cell>
          <cell r="AU737" t="str">
            <v>TV</v>
          </cell>
          <cell r="AV737" t="str">
            <v>TVLE</v>
          </cell>
          <cell r="AW737" t="str">
            <v>LED LCD TV</v>
          </cell>
          <cell r="AX737" t="str">
            <v>TVLEA0</v>
          </cell>
          <cell r="AY737" t="str">
            <v>LED LCD TV 100</v>
          </cell>
          <cell r="AZ737" t="str">
            <v>TVLEA0NU</v>
          </cell>
          <cell r="BA737" t="str">
            <v>LED LCD TV 100 (UD)</v>
          </cell>
        </row>
        <row r="738">
          <cell r="E738" t="str">
            <v>100QNED86BS.ATV</v>
          </cell>
          <cell r="F738">
            <v>12</v>
          </cell>
          <cell r="G738">
            <v>0</v>
          </cell>
          <cell r="H738">
            <v>0</v>
          </cell>
          <cell r="I738">
            <v>12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3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 t="str">
            <v>LCDPREPLUS</v>
          </cell>
          <cell r="AH738" t="str">
            <v>LCD_Premium Plus</v>
          </cell>
          <cell r="AI738" t="str">
            <v/>
          </cell>
          <cell r="AJ738" t="str">
            <v/>
          </cell>
          <cell r="AK738" t="str">
            <v>1.103463</v>
          </cell>
          <cell r="AL738" t="str">
            <v>2</v>
          </cell>
          <cell r="AM738" t="str">
            <v>Q</v>
          </cell>
          <cell r="AN738" t="str">
            <v>M0</v>
          </cell>
          <cell r="AO738" t="str">
            <v>Active(Model)</v>
          </cell>
          <cell r="AP738" t="str">
            <v/>
          </cell>
          <cell r="AQ738" t="str">
            <v/>
          </cell>
          <cell r="AR738" t="str">
            <v>Y</v>
          </cell>
          <cell r="AS738" t="str">
            <v/>
          </cell>
          <cell r="AT738" t="str">
            <v>TV</v>
          </cell>
          <cell r="AU738" t="str">
            <v>TV</v>
          </cell>
          <cell r="AV738" t="str">
            <v>TVLE</v>
          </cell>
          <cell r="AW738" t="str">
            <v>LED LCD TV</v>
          </cell>
          <cell r="AX738" t="str">
            <v>TVLEA0</v>
          </cell>
          <cell r="AY738" t="str">
            <v>LED LCD TV 100</v>
          </cell>
          <cell r="AZ738" t="str">
            <v>TVLEA0NU</v>
          </cell>
          <cell r="BA738" t="str">
            <v>LED LCD TV 100 (UD)</v>
          </cell>
        </row>
        <row r="739">
          <cell r="E739" t="str">
            <v>14U40V-G.APV33EU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 t="str">
            <v/>
          </cell>
          <cell r="AH739" t="str">
            <v/>
          </cell>
          <cell r="AI739" t="str">
            <v/>
          </cell>
          <cell r="AJ739" t="str">
            <v/>
          </cell>
          <cell r="AK739" t="str">
            <v>0.000000</v>
          </cell>
          <cell r="AL739" t="str">
            <v>2</v>
          </cell>
          <cell r="AM739" t="str">
            <v>Q</v>
          </cell>
          <cell r="AN739" t="str">
            <v>M0</v>
          </cell>
          <cell r="AO739" t="str">
            <v>Active(Model)</v>
          </cell>
          <cell r="AP739" t="str">
            <v/>
          </cell>
          <cell r="AQ739" t="str">
            <v/>
          </cell>
          <cell r="AR739" t="str">
            <v>Y</v>
          </cell>
          <cell r="AS739" t="str">
            <v/>
          </cell>
          <cell r="AT739" t="str">
            <v>PC</v>
          </cell>
          <cell r="AU739" t="str">
            <v>PC</v>
          </cell>
          <cell r="AV739" t="str">
            <v>PCNT</v>
          </cell>
          <cell r="AW739" t="str">
            <v>Notebook PC</v>
          </cell>
          <cell r="AX739" t="str">
            <v>PCNTNN</v>
          </cell>
          <cell r="AY739" t="str">
            <v>New Notebook</v>
          </cell>
          <cell r="AZ739" t="str">
            <v>PCNTNNBC</v>
          </cell>
          <cell r="BA739" t="str">
            <v>B2C</v>
          </cell>
        </row>
        <row r="740">
          <cell r="E740" t="str">
            <v>16Z90S-G.AH76A5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3</v>
          </cell>
          <cell r="AF740">
            <v>0</v>
          </cell>
          <cell r="AG740" t="str">
            <v/>
          </cell>
          <cell r="AH740" t="str">
            <v/>
          </cell>
          <cell r="AI740" t="str">
            <v/>
          </cell>
          <cell r="AJ740" t="str">
            <v/>
          </cell>
          <cell r="AK740" t="str">
            <v>0.009458</v>
          </cell>
          <cell r="AL740" t="str">
            <v>2</v>
          </cell>
          <cell r="AM740" t="str">
            <v>Q</v>
          </cell>
          <cell r="AN740" t="str">
            <v>M0</v>
          </cell>
          <cell r="AO740" t="str">
            <v>Active(Model)</v>
          </cell>
          <cell r="AP740" t="str">
            <v/>
          </cell>
          <cell r="AQ740" t="str">
            <v/>
          </cell>
          <cell r="AR740" t="str">
            <v>Y</v>
          </cell>
          <cell r="AS740" t="str">
            <v/>
          </cell>
          <cell r="AT740" t="str">
            <v>PC</v>
          </cell>
          <cell r="AU740" t="str">
            <v>PC</v>
          </cell>
          <cell r="AV740" t="str">
            <v>PCNT</v>
          </cell>
          <cell r="AW740" t="str">
            <v>Notebook PC</v>
          </cell>
          <cell r="AX740" t="str">
            <v>PCNTCN</v>
          </cell>
          <cell r="AY740" t="str">
            <v>Notebook</v>
          </cell>
          <cell r="AZ740" t="str">
            <v>PCNTCNQE</v>
          </cell>
          <cell r="BA740" t="str">
            <v>Sugar 16(16Z90S)</v>
          </cell>
        </row>
        <row r="741">
          <cell r="E741" t="str">
            <v>16Z90U-G.AN55A5</v>
          </cell>
          <cell r="F741">
            <v>44</v>
          </cell>
          <cell r="G741">
            <v>0</v>
          </cell>
          <cell r="H741">
            <v>0</v>
          </cell>
          <cell r="I741">
            <v>46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3</v>
          </cell>
          <cell r="AF741">
            <v>0</v>
          </cell>
          <cell r="AG741" t="str">
            <v/>
          </cell>
          <cell r="AH741" t="str">
            <v/>
          </cell>
          <cell r="AI741" t="str">
            <v/>
          </cell>
          <cell r="AJ741" t="str">
            <v/>
          </cell>
          <cell r="AK741" t="str">
            <v>0.009458</v>
          </cell>
          <cell r="AL741" t="str">
            <v>2</v>
          </cell>
          <cell r="AM741" t="str">
            <v>Q</v>
          </cell>
          <cell r="AN741" t="str">
            <v>M0</v>
          </cell>
          <cell r="AO741" t="str">
            <v>Active(Model)</v>
          </cell>
          <cell r="AP741" t="str">
            <v/>
          </cell>
          <cell r="AQ741" t="str">
            <v/>
          </cell>
          <cell r="AR741" t="str">
            <v>Y</v>
          </cell>
          <cell r="AS741" t="str">
            <v/>
          </cell>
          <cell r="AT741" t="str">
            <v>PC</v>
          </cell>
          <cell r="AU741" t="str">
            <v>PC</v>
          </cell>
          <cell r="AV741" t="str">
            <v>PCNT</v>
          </cell>
          <cell r="AW741" t="str">
            <v>Notebook PC</v>
          </cell>
          <cell r="AX741" t="str">
            <v>PCNTNN</v>
          </cell>
          <cell r="AY741" t="str">
            <v>New Notebook</v>
          </cell>
          <cell r="AZ741" t="str">
            <v>PCNTNNBC</v>
          </cell>
          <cell r="BA741" t="str">
            <v>B2C</v>
          </cell>
        </row>
        <row r="742">
          <cell r="E742" t="str">
            <v>16Z90U-G.AV85A5</v>
          </cell>
          <cell r="F742">
            <v>15</v>
          </cell>
          <cell r="G742">
            <v>0</v>
          </cell>
          <cell r="H742">
            <v>0</v>
          </cell>
          <cell r="I742">
            <v>17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1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 t="str">
            <v/>
          </cell>
          <cell r="AH742" t="str">
            <v/>
          </cell>
          <cell r="AI742" t="str">
            <v/>
          </cell>
          <cell r="AJ742" t="str">
            <v/>
          </cell>
          <cell r="AK742" t="str">
            <v>0.009458</v>
          </cell>
          <cell r="AL742" t="str">
            <v>2</v>
          </cell>
          <cell r="AM742" t="str">
            <v>Q</v>
          </cell>
          <cell r="AN742" t="str">
            <v>M0</v>
          </cell>
          <cell r="AO742" t="str">
            <v>Active(Model)</v>
          </cell>
          <cell r="AP742" t="str">
            <v/>
          </cell>
          <cell r="AQ742" t="str">
            <v/>
          </cell>
          <cell r="AR742" t="str">
            <v>Y</v>
          </cell>
          <cell r="AS742" t="str">
            <v/>
          </cell>
          <cell r="AT742" t="str">
            <v>PC</v>
          </cell>
          <cell r="AU742" t="str">
            <v>PC</v>
          </cell>
          <cell r="AV742" t="str">
            <v>PCNT</v>
          </cell>
          <cell r="AW742" t="str">
            <v>Notebook PC</v>
          </cell>
          <cell r="AX742" t="str">
            <v>PCNTNN</v>
          </cell>
          <cell r="AY742" t="str">
            <v>New Notebook</v>
          </cell>
          <cell r="AZ742" t="str">
            <v>PCNTNNBC</v>
          </cell>
          <cell r="BA742" t="str">
            <v>B2C</v>
          </cell>
        </row>
        <row r="743">
          <cell r="E743" t="str">
            <v>16Z95U-G.AV85A5</v>
          </cell>
          <cell r="F743">
            <v>5</v>
          </cell>
          <cell r="G743">
            <v>0</v>
          </cell>
          <cell r="H743">
            <v>0</v>
          </cell>
          <cell r="I743">
            <v>7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1</v>
          </cell>
          <cell r="AF743">
            <v>0</v>
          </cell>
          <cell r="AG743" t="str">
            <v/>
          </cell>
          <cell r="AH743" t="str">
            <v/>
          </cell>
          <cell r="AI743" t="str">
            <v/>
          </cell>
          <cell r="AJ743" t="str">
            <v/>
          </cell>
          <cell r="AK743" t="str">
            <v>0.009458</v>
          </cell>
          <cell r="AL743" t="str">
            <v>2</v>
          </cell>
          <cell r="AM743" t="str">
            <v>Q</v>
          </cell>
          <cell r="AN743" t="str">
            <v>M0</v>
          </cell>
          <cell r="AO743" t="str">
            <v>Active(Model)</v>
          </cell>
          <cell r="AP743" t="str">
            <v/>
          </cell>
          <cell r="AQ743" t="str">
            <v/>
          </cell>
          <cell r="AR743" t="str">
            <v>Y</v>
          </cell>
          <cell r="AS743" t="str">
            <v/>
          </cell>
          <cell r="AT743" t="str">
            <v>PC</v>
          </cell>
          <cell r="AU743" t="str">
            <v>PC</v>
          </cell>
          <cell r="AV743" t="str">
            <v>PCNT</v>
          </cell>
          <cell r="AW743" t="str">
            <v>Notebook PC</v>
          </cell>
          <cell r="AX743" t="str">
            <v>PCNTNN</v>
          </cell>
          <cell r="AY743" t="str">
            <v>New Notebook</v>
          </cell>
          <cell r="AZ743" t="str">
            <v>PCNTNNBC</v>
          </cell>
          <cell r="BA743" t="str">
            <v>B2C</v>
          </cell>
        </row>
        <row r="744">
          <cell r="E744" t="str">
            <v>17HK700G-WP.ATV</v>
          </cell>
          <cell r="F744">
            <v>10</v>
          </cell>
          <cell r="G744">
            <v>0</v>
          </cell>
          <cell r="H744">
            <v>0</v>
          </cell>
          <cell r="I744">
            <v>10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6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 t="str">
            <v>MNTPREPLUS</v>
          </cell>
          <cell r="AH744" t="str">
            <v>MNT_Premium_Plus</v>
          </cell>
          <cell r="AI744" t="str">
            <v/>
          </cell>
          <cell r="AJ744" t="str">
            <v/>
          </cell>
          <cell r="AK744" t="str">
            <v>0.140117</v>
          </cell>
          <cell r="AL744" t="str">
            <v>2</v>
          </cell>
          <cell r="AM744" t="str">
            <v>Q</v>
          </cell>
          <cell r="AN744" t="str">
            <v>M0</v>
          </cell>
          <cell r="AO744" t="str">
            <v>Active(Model)</v>
          </cell>
          <cell r="AP744" t="str">
            <v/>
          </cell>
          <cell r="AQ744" t="str">
            <v/>
          </cell>
          <cell r="AR744" t="str">
            <v>Y</v>
          </cell>
          <cell r="AS744" t="str">
            <v/>
          </cell>
          <cell r="AT744" t="str">
            <v>MN</v>
          </cell>
          <cell r="AU744" t="str">
            <v>Monitor</v>
          </cell>
          <cell r="AV744" t="str">
            <v>MNME</v>
          </cell>
          <cell r="AW744" t="str">
            <v>Medical Equipment</v>
          </cell>
          <cell r="AX744" t="str">
            <v>MNMEDX</v>
          </cell>
          <cell r="AY744" t="str">
            <v>Digital X-ray Detector</v>
          </cell>
          <cell r="AZ744" t="str">
            <v>MNMEDX24</v>
          </cell>
          <cell r="BA744" t="str">
            <v>DXD 17x17</v>
          </cell>
        </row>
        <row r="745">
          <cell r="E745" t="str">
            <v>17HQ701G-BP.ATV</v>
          </cell>
          <cell r="F745">
            <v>2</v>
          </cell>
          <cell r="G745">
            <v>0</v>
          </cell>
          <cell r="H745">
            <v>0</v>
          </cell>
          <cell r="I745">
            <v>3</v>
          </cell>
          <cell r="J745">
            <v>0</v>
          </cell>
          <cell r="K745">
            <v>0</v>
          </cell>
          <cell r="L745">
            <v>1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1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 t="str">
            <v>MNTPREPLUS</v>
          </cell>
          <cell r="AH745" t="str">
            <v>MNT_Premium_Plus</v>
          </cell>
          <cell r="AI745" t="str">
            <v/>
          </cell>
          <cell r="AJ745" t="str">
            <v/>
          </cell>
          <cell r="AK745" t="str">
            <v>0.140117</v>
          </cell>
          <cell r="AL745" t="str">
            <v>2</v>
          </cell>
          <cell r="AM745" t="str">
            <v>Q</v>
          </cell>
          <cell r="AN745" t="str">
            <v>M0</v>
          </cell>
          <cell r="AO745" t="str">
            <v>Active(Model)</v>
          </cell>
          <cell r="AP745" t="str">
            <v/>
          </cell>
          <cell r="AQ745" t="str">
            <v/>
          </cell>
          <cell r="AR745" t="str">
            <v>Y</v>
          </cell>
          <cell r="AS745" t="str">
            <v/>
          </cell>
          <cell r="AT745" t="str">
            <v>MN</v>
          </cell>
          <cell r="AU745" t="str">
            <v>Monitor</v>
          </cell>
          <cell r="AV745" t="str">
            <v>MNME</v>
          </cell>
          <cell r="AW745" t="str">
            <v>Medical Equipment</v>
          </cell>
          <cell r="AX745" t="str">
            <v>MNMEDX</v>
          </cell>
          <cell r="AY745" t="str">
            <v>Digital X-ray Detector</v>
          </cell>
          <cell r="AZ745" t="str">
            <v>MNMEDX24</v>
          </cell>
          <cell r="BA745" t="str">
            <v>DXD 17x17</v>
          </cell>
        </row>
        <row r="746">
          <cell r="E746" t="str">
            <v>17HQ901G-BP.ATV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 t="str">
            <v>MNTPREPLUS</v>
          </cell>
          <cell r="AH746" t="str">
            <v>MNT_Premium_Plus</v>
          </cell>
          <cell r="AI746" t="str">
            <v/>
          </cell>
          <cell r="AJ746" t="str">
            <v/>
          </cell>
          <cell r="AK746" t="str">
            <v>0.140117</v>
          </cell>
          <cell r="AL746" t="str">
            <v>2</v>
          </cell>
          <cell r="AM746" t="str">
            <v>Q</v>
          </cell>
          <cell r="AN746" t="str">
            <v>M0</v>
          </cell>
          <cell r="AO746" t="str">
            <v>Active(Model)</v>
          </cell>
          <cell r="AP746" t="str">
            <v/>
          </cell>
          <cell r="AQ746" t="str">
            <v/>
          </cell>
          <cell r="AR746" t="str">
            <v>Y</v>
          </cell>
          <cell r="AS746" t="str">
            <v/>
          </cell>
          <cell r="AT746" t="str">
            <v>MN</v>
          </cell>
          <cell r="AU746" t="str">
            <v>Monitor</v>
          </cell>
          <cell r="AV746" t="str">
            <v>MNME</v>
          </cell>
          <cell r="AW746" t="str">
            <v>Medical Equipment</v>
          </cell>
          <cell r="AX746" t="str">
            <v>MNMEDX</v>
          </cell>
          <cell r="AY746" t="str">
            <v>Digital X-ray Detector</v>
          </cell>
          <cell r="AZ746" t="str">
            <v>MNMEDX24</v>
          </cell>
          <cell r="BA746" t="str">
            <v>DXD 17x17</v>
          </cell>
        </row>
        <row r="747">
          <cell r="E747" t="str">
            <v>21HQ513D-S.ATV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 t="str">
            <v/>
          </cell>
          <cell r="AH747" t="str">
            <v/>
          </cell>
          <cell r="AI747" t="str">
            <v/>
          </cell>
          <cell r="AJ747" t="str">
            <v/>
          </cell>
          <cell r="AK747" t="str">
            <v>0.069131</v>
          </cell>
          <cell r="AL747" t="str">
            <v>2</v>
          </cell>
          <cell r="AM747" t="str">
            <v>Q</v>
          </cell>
          <cell r="AN747" t="str">
            <v>M0</v>
          </cell>
          <cell r="AO747" t="str">
            <v>Active(Model)</v>
          </cell>
          <cell r="AP747" t="str">
            <v/>
          </cell>
          <cell r="AQ747" t="str">
            <v/>
          </cell>
          <cell r="AR747" t="str">
            <v>Y</v>
          </cell>
          <cell r="AS747" t="str">
            <v/>
          </cell>
          <cell r="AT747" t="str">
            <v>MN</v>
          </cell>
          <cell r="AU747" t="str">
            <v>Monitor</v>
          </cell>
          <cell r="AV747" t="str">
            <v>MNME</v>
          </cell>
          <cell r="AW747" t="str">
            <v>Medical Equipment</v>
          </cell>
          <cell r="AX747" t="str">
            <v>MNMEDD</v>
          </cell>
          <cell r="AY747" t="str">
            <v>Diagnostic Display</v>
          </cell>
          <cell r="AZ747" t="str">
            <v>MNMEDD21</v>
          </cell>
          <cell r="BA747" t="str">
            <v>Diagnostic Display 21</v>
          </cell>
        </row>
        <row r="748">
          <cell r="E748" t="str">
            <v>21HQ613D-B.ATV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 t="str">
            <v/>
          </cell>
          <cell r="AH748" t="str">
            <v/>
          </cell>
          <cell r="AI748" t="str">
            <v/>
          </cell>
          <cell r="AJ748" t="str">
            <v/>
          </cell>
          <cell r="AK748" t="str">
            <v>0.092228</v>
          </cell>
          <cell r="AL748" t="str">
            <v>2</v>
          </cell>
          <cell r="AM748" t="str">
            <v>Q</v>
          </cell>
          <cell r="AN748" t="str">
            <v>M0</v>
          </cell>
          <cell r="AO748" t="str">
            <v>Active(Model)</v>
          </cell>
          <cell r="AP748" t="str">
            <v/>
          </cell>
          <cell r="AQ748" t="str">
            <v/>
          </cell>
          <cell r="AR748" t="str">
            <v>Y</v>
          </cell>
          <cell r="AS748" t="str">
            <v/>
          </cell>
          <cell r="AT748" t="str">
            <v>MN</v>
          </cell>
          <cell r="AU748" t="str">
            <v>Monitor</v>
          </cell>
          <cell r="AV748" t="str">
            <v>MNME</v>
          </cell>
          <cell r="AW748" t="str">
            <v>Medical Equipment</v>
          </cell>
          <cell r="AX748" t="str">
            <v>MNMEDD</v>
          </cell>
          <cell r="AY748" t="str">
            <v>Diagnostic Display</v>
          </cell>
          <cell r="AZ748" t="str">
            <v>MNMEDD21</v>
          </cell>
          <cell r="BA748" t="str">
            <v>Diagnostic Display 21</v>
          </cell>
        </row>
        <row r="749">
          <cell r="E749" t="str">
            <v>22SM3G-B.ATV</v>
          </cell>
          <cell r="F749">
            <v>1</v>
          </cell>
          <cell r="G749">
            <v>0</v>
          </cell>
          <cell r="H749">
            <v>0</v>
          </cell>
          <cell r="I749">
            <v>1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 t="str">
            <v>ID</v>
          </cell>
          <cell r="AH749" t="str">
            <v>Information Display</v>
          </cell>
          <cell r="AI749" t="str">
            <v/>
          </cell>
          <cell r="AJ749" t="str">
            <v/>
          </cell>
          <cell r="AK749" t="str">
            <v>0.026188</v>
          </cell>
          <cell r="AL749" t="str">
            <v>2</v>
          </cell>
          <cell r="AM749" t="str">
            <v>Q</v>
          </cell>
          <cell r="AN749" t="str">
            <v>M0</v>
          </cell>
          <cell r="AO749" t="str">
            <v>Active(Model)</v>
          </cell>
          <cell r="AP749" t="str">
            <v/>
          </cell>
          <cell r="AQ749" t="str">
            <v/>
          </cell>
          <cell r="AR749" t="str">
            <v>Y</v>
          </cell>
          <cell r="AS749" t="str">
            <v/>
          </cell>
          <cell r="AT749" t="str">
            <v>CS</v>
          </cell>
          <cell r="AU749" t="str">
            <v>Commercial Display_Signage</v>
          </cell>
          <cell r="AV749" t="str">
            <v>CSME</v>
          </cell>
          <cell r="AW749" t="str">
            <v>Commercial_LED LCD Monitor</v>
          </cell>
          <cell r="AX749" t="str">
            <v>CSME22</v>
          </cell>
          <cell r="AY749" t="str">
            <v>Commercial_LED LCD Monitor 22</v>
          </cell>
          <cell r="AZ749" t="str">
            <v>CSME22FW</v>
          </cell>
          <cell r="BA749" t="str">
            <v>Commercial_LED LCD Monitor 22 (MFT WIDE)</v>
          </cell>
        </row>
        <row r="750">
          <cell r="E750" t="str">
            <v>22U401A-B.ATVQ</v>
          </cell>
          <cell r="F750">
            <v>0</v>
          </cell>
          <cell r="G750">
            <v>0</v>
          </cell>
          <cell r="H750">
            <v>0</v>
          </cell>
          <cell r="I750">
            <v>7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49</v>
          </cell>
          <cell r="AF750">
            <v>0</v>
          </cell>
          <cell r="AG750" t="str">
            <v/>
          </cell>
          <cell r="AH750" t="str">
            <v/>
          </cell>
          <cell r="AI750" t="str">
            <v/>
          </cell>
          <cell r="AJ750" t="str">
            <v/>
          </cell>
          <cell r="AK750" t="str">
            <v>0.026855</v>
          </cell>
          <cell r="AL750" t="str">
            <v>2</v>
          </cell>
          <cell r="AM750" t="str">
            <v>Q</v>
          </cell>
          <cell r="AN750" t="str">
            <v>M0</v>
          </cell>
          <cell r="AO750" t="str">
            <v>Active(Model)</v>
          </cell>
          <cell r="AP750" t="str">
            <v/>
          </cell>
          <cell r="AQ750" t="str">
            <v/>
          </cell>
          <cell r="AR750" t="str">
            <v>Y</v>
          </cell>
          <cell r="AS750" t="str">
            <v/>
          </cell>
          <cell r="AT750" t="str">
            <v>MN</v>
          </cell>
          <cell r="AU750" t="str">
            <v>Monitor</v>
          </cell>
          <cell r="AV750" t="str">
            <v>MNLC</v>
          </cell>
          <cell r="AW750" t="str">
            <v>LCD Monitor</v>
          </cell>
          <cell r="AX750" t="str">
            <v>MNLC22</v>
          </cell>
          <cell r="AY750" t="str">
            <v>LCD Monitor 22</v>
          </cell>
          <cell r="AZ750" t="str">
            <v>MNLC22NO</v>
          </cell>
          <cell r="BA750" t="str">
            <v>LCD Monitor 22 (OS, Wide)</v>
          </cell>
        </row>
        <row r="751">
          <cell r="E751" t="str">
            <v>24BA400-B.ATV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1</v>
          </cell>
          <cell r="L751">
            <v>0</v>
          </cell>
          <cell r="M751">
            <v>0</v>
          </cell>
          <cell r="N751">
            <v>0</v>
          </cell>
          <cell r="O751">
            <v>8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 t="str">
            <v/>
          </cell>
          <cell r="AH751" t="str">
            <v/>
          </cell>
          <cell r="AI751" t="str">
            <v/>
          </cell>
          <cell r="AJ751" t="str">
            <v/>
          </cell>
          <cell r="AK751" t="str">
            <v>0.036836</v>
          </cell>
          <cell r="AL751" t="str">
            <v>2</v>
          </cell>
          <cell r="AM751" t="str">
            <v>Q</v>
          </cell>
          <cell r="AN751" t="str">
            <v>M0</v>
          </cell>
          <cell r="AO751" t="str">
            <v>Active(Model)</v>
          </cell>
          <cell r="AP751" t="str">
            <v/>
          </cell>
          <cell r="AQ751" t="str">
            <v/>
          </cell>
          <cell r="AR751" t="str">
            <v>Y</v>
          </cell>
          <cell r="AS751" t="str">
            <v/>
          </cell>
          <cell r="AT751" t="str">
            <v>MN</v>
          </cell>
          <cell r="AU751" t="str">
            <v>Monitor</v>
          </cell>
          <cell r="AV751" t="str">
            <v>MNLC</v>
          </cell>
          <cell r="AW751" t="str">
            <v>LCD Monitor</v>
          </cell>
          <cell r="AX751" t="str">
            <v>MNLC24</v>
          </cell>
          <cell r="AY751" t="str">
            <v>LCD Monitor 24</v>
          </cell>
          <cell r="AZ751" t="str">
            <v>MNLC24BI</v>
          </cell>
          <cell r="BA751" t="str">
            <v>LCD Monitor 24 (B2B Inhouse)</v>
          </cell>
        </row>
        <row r="752">
          <cell r="E752" t="str">
            <v>24G411B-B.ATV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14</v>
          </cell>
          <cell r="L752">
            <v>0</v>
          </cell>
          <cell r="M752">
            <v>0</v>
          </cell>
          <cell r="N752">
            <v>0</v>
          </cell>
          <cell r="O752">
            <v>10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 t="str">
            <v/>
          </cell>
          <cell r="AH752" t="str">
            <v/>
          </cell>
          <cell r="AI752" t="str">
            <v/>
          </cell>
          <cell r="AJ752" t="str">
            <v/>
          </cell>
          <cell r="AK752" t="str">
            <v>0.031986</v>
          </cell>
          <cell r="AL752" t="str">
            <v>2</v>
          </cell>
          <cell r="AM752" t="str">
            <v>Q</v>
          </cell>
          <cell r="AN752" t="str">
            <v>M0</v>
          </cell>
          <cell r="AO752" t="str">
            <v>Active(Model)</v>
          </cell>
          <cell r="AP752" t="str">
            <v/>
          </cell>
          <cell r="AQ752" t="str">
            <v/>
          </cell>
          <cell r="AR752" t="str">
            <v>Y</v>
          </cell>
          <cell r="AS752" t="str">
            <v/>
          </cell>
          <cell r="AT752" t="str">
            <v>MN</v>
          </cell>
          <cell r="AU752" t="str">
            <v>Monitor</v>
          </cell>
          <cell r="AV752" t="str">
            <v>MNLC</v>
          </cell>
          <cell r="AW752" t="str">
            <v>LCD Monitor</v>
          </cell>
          <cell r="AX752" t="str">
            <v>MNLC24</v>
          </cell>
          <cell r="AY752" t="str">
            <v>LCD Monitor 24</v>
          </cell>
          <cell r="AZ752" t="str">
            <v>MNLC24NW</v>
          </cell>
          <cell r="BA752" t="str">
            <v>LCD Monitor 24  (WIDE)</v>
          </cell>
        </row>
        <row r="753">
          <cell r="E753" t="str">
            <v>24HR513C-B.ATV</v>
          </cell>
          <cell r="F753">
            <v>4</v>
          </cell>
          <cell r="G753">
            <v>0</v>
          </cell>
          <cell r="H753">
            <v>0</v>
          </cell>
          <cell r="I753">
            <v>4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 t="str">
            <v/>
          </cell>
          <cell r="AH753" t="str">
            <v/>
          </cell>
          <cell r="AI753" t="str">
            <v/>
          </cell>
          <cell r="AJ753" t="str">
            <v/>
          </cell>
          <cell r="AK753" t="str">
            <v>0.068399</v>
          </cell>
          <cell r="AL753" t="str">
            <v>2</v>
          </cell>
          <cell r="AM753" t="str">
            <v>Q</v>
          </cell>
          <cell r="AN753" t="str">
            <v>M0</v>
          </cell>
          <cell r="AO753" t="str">
            <v>Active(Model)</v>
          </cell>
          <cell r="AP753" t="str">
            <v/>
          </cell>
          <cell r="AQ753" t="str">
            <v/>
          </cell>
          <cell r="AR753" t="str">
            <v>Y</v>
          </cell>
          <cell r="AS753" t="str">
            <v/>
          </cell>
          <cell r="AT753" t="str">
            <v>MN</v>
          </cell>
          <cell r="AU753" t="str">
            <v>Monitor</v>
          </cell>
          <cell r="AV753" t="str">
            <v>MNME</v>
          </cell>
          <cell r="AW753" t="str">
            <v>Medical Equipment</v>
          </cell>
          <cell r="AX753" t="str">
            <v>MNMEMD</v>
          </cell>
          <cell r="AY753" t="str">
            <v>Medical Display</v>
          </cell>
          <cell r="AZ753" t="str">
            <v>MNMEMD24</v>
          </cell>
          <cell r="BA753" t="str">
            <v>Medical Display 24</v>
          </cell>
        </row>
        <row r="754">
          <cell r="E754" t="str">
            <v>24U631A-B.ATVQ</v>
          </cell>
          <cell r="F754">
            <v>138</v>
          </cell>
          <cell r="G754">
            <v>0</v>
          </cell>
          <cell r="H754">
            <v>0</v>
          </cell>
          <cell r="I754">
            <v>192</v>
          </cell>
          <cell r="J754">
            <v>0</v>
          </cell>
          <cell r="K754">
            <v>0</v>
          </cell>
          <cell r="L754">
            <v>0</v>
          </cell>
          <cell r="M754">
            <v>1</v>
          </cell>
          <cell r="N754">
            <v>0</v>
          </cell>
          <cell r="O754">
            <v>0</v>
          </cell>
          <cell r="P754">
            <v>1</v>
          </cell>
          <cell r="Q754">
            <v>192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40</v>
          </cell>
          <cell r="AE754">
            <v>0</v>
          </cell>
          <cell r="AF754">
            <v>40</v>
          </cell>
          <cell r="AG754" t="str">
            <v>MNTBASIC</v>
          </cell>
          <cell r="AH754" t="str">
            <v>MNT_Basic</v>
          </cell>
          <cell r="AI754" t="str">
            <v/>
          </cell>
          <cell r="AJ754" t="str">
            <v/>
          </cell>
          <cell r="AK754" t="str">
            <v>0.030895</v>
          </cell>
          <cell r="AL754" t="str">
            <v>2</v>
          </cell>
          <cell r="AM754" t="str">
            <v>Q</v>
          </cell>
          <cell r="AN754" t="str">
            <v>M0</v>
          </cell>
          <cell r="AO754" t="str">
            <v>Active(Model)</v>
          </cell>
          <cell r="AP754" t="str">
            <v/>
          </cell>
          <cell r="AQ754" t="str">
            <v/>
          </cell>
          <cell r="AR754" t="str">
            <v>Y</v>
          </cell>
          <cell r="AS754" t="str">
            <v/>
          </cell>
          <cell r="AT754" t="str">
            <v>MN</v>
          </cell>
          <cell r="AU754" t="str">
            <v>Monitor</v>
          </cell>
          <cell r="AV754" t="str">
            <v>MNLC</v>
          </cell>
          <cell r="AW754" t="str">
            <v>LCD Monitor</v>
          </cell>
          <cell r="AX754" t="str">
            <v>MNLC24</v>
          </cell>
          <cell r="AY754" t="str">
            <v>LCD Monitor 24</v>
          </cell>
          <cell r="AZ754" t="str">
            <v>MNLC24NO</v>
          </cell>
          <cell r="BA754" t="str">
            <v>LCD Monitor 24 (OS, Wide)</v>
          </cell>
        </row>
        <row r="755">
          <cell r="E755" t="str">
            <v>25G523B-B.ATV</v>
          </cell>
          <cell r="F755">
            <v>199</v>
          </cell>
          <cell r="G755">
            <v>0</v>
          </cell>
          <cell r="H755">
            <v>0</v>
          </cell>
          <cell r="I755">
            <v>229</v>
          </cell>
          <cell r="J755">
            <v>0</v>
          </cell>
          <cell r="K755">
            <v>0</v>
          </cell>
          <cell r="L755">
            <v>0</v>
          </cell>
          <cell r="M755">
            <v>7</v>
          </cell>
          <cell r="N755">
            <v>0</v>
          </cell>
          <cell r="O755">
            <v>3</v>
          </cell>
          <cell r="P755">
            <v>7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 t="str">
            <v/>
          </cell>
          <cell r="AH755" t="str">
            <v/>
          </cell>
          <cell r="AI755" t="str">
            <v/>
          </cell>
          <cell r="AJ755" t="str">
            <v/>
          </cell>
          <cell r="AK755" t="str">
            <v>0.033791</v>
          </cell>
          <cell r="AL755" t="str">
            <v>2</v>
          </cell>
          <cell r="AM755" t="str">
            <v>Q</v>
          </cell>
          <cell r="AN755" t="str">
            <v>M0</v>
          </cell>
          <cell r="AO755" t="str">
            <v>Active(Model)</v>
          </cell>
          <cell r="AP755" t="str">
            <v/>
          </cell>
          <cell r="AQ755" t="str">
            <v/>
          </cell>
          <cell r="AR755" t="str">
            <v>Y</v>
          </cell>
          <cell r="AS755" t="str">
            <v/>
          </cell>
          <cell r="AT755" t="str">
            <v>MN</v>
          </cell>
          <cell r="AU755" t="str">
            <v>Monitor</v>
          </cell>
          <cell r="AV755" t="str">
            <v>MNLC</v>
          </cell>
          <cell r="AW755" t="str">
            <v>LCD Monitor</v>
          </cell>
          <cell r="AX755" t="str">
            <v>MNLC25</v>
          </cell>
          <cell r="AY755" t="str">
            <v>LCD Monitor 25</v>
          </cell>
          <cell r="AZ755" t="str">
            <v>MNLC25NW</v>
          </cell>
          <cell r="BA755" t="str">
            <v>LCD Monitor 25 (WIDE)</v>
          </cell>
        </row>
        <row r="756">
          <cell r="E756" t="str">
            <v>25G550B-B.ATV</v>
          </cell>
          <cell r="F756">
            <v>41</v>
          </cell>
          <cell r="G756">
            <v>0</v>
          </cell>
          <cell r="H756">
            <v>0</v>
          </cell>
          <cell r="I756">
            <v>64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1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 t="str">
            <v/>
          </cell>
          <cell r="AH756" t="str">
            <v/>
          </cell>
          <cell r="AI756" t="str">
            <v/>
          </cell>
          <cell r="AJ756" t="str">
            <v/>
          </cell>
          <cell r="AK756" t="str">
            <v>0.057797</v>
          </cell>
          <cell r="AL756" t="str">
            <v>2</v>
          </cell>
          <cell r="AM756" t="str">
            <v>Q</v>
          </cell>
          <cell r="AN756" t="str">
            <v>M0</v>
          </cell>
          <cell r="AO756" t="str">
            <v>Active(Model)</v>
          </cell>
          <cell r="AP756" t="str">
            <v/>
          </cell>
          <cell r="AQ756" t="str">
            <v/>
          </cell>
          <cell r="AR756" t="str">
            <v>Y</v>
          </cell>
          <cell r="AS756" t="str">
            <v/>
          </cell>
          <cell r="AT756" t="str">
            <v>MN</v>
          </cell>
          <cell r="AU756" t="str">
            <v>Monitor</v>
          </cell>
          <cell r="AV756" t="str">
            <v>MNLC</v>
          </cell>
          <cell r="AW756" t="str">
            <v>LCD Monitor</v>
          </cell>
          <cell r="AX756" t="str">
            <v>MNLC25</v>
          </cell>
          <cell r="AY756" t="str">
            <v>LCD Monitor 25</v>
          </cell>
          <cell r="AZ756" t="str">
            <v>MNLC25NW</v>
          </cell>
          <cell r="BA756" t="str">
            <v>LCD Monitor 25 (WIDE)</v>
          </cell>
        </row>
        <row r="757">
          <cell r="E757" t="str">
            <v>25G590B-B.ATV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 t="str">
            <v/>
          </cell>
          <cell r="AH757" t="str">
            <v/>
          </cell>
          <cell r="AI757" t="str">
            <v/>
          </cell>
          <cell r="AJ757" t="str">
            <v/>
          </cell>
          <cell r="AK757" t="str">
            <v>0.055141</v>
          </cell>
          <cell r="AL757" t="str">
            <v>2</v>
          </cell>
          <cell r="AM757" t="str">
            <v>Q</v>
          </cell>
          <cell r="AN757" t="str">
            <v>M0</v>
          </cell>
          <cell r="AO757" t="str">
            <v>Active(Model)</v>
          </cell>
          <cell r="AP757" t="str">
            <v/>
          </cell>
          <cell r="AQ757" t="str">
            <v/>
          </cell>
          <cell r="AR757" t="str">
            <v>Y</v>
          </cell>
          <cell r="AS757" t="str">
            <v/>
          </cell>
          <cell r="AT757" t="str">
            <v>MN</v>
          </cell>
          <cell r="AU757" t="str">
            <v>Monitor</v>
          </cell>
          <cell r="AV757" t="str">
            <v>MNLC</v>
          </cell>
          <cell r="AW757" t="str">
            <v>LCD Monitor</v>
          </cell>
          <cell r="AX757" t="str">
            <v>MNLC25</v>
          </cell>
          <cell r="AY757" t="str">
            <v>LCD Monitor 25</v>
          </cell>
          <cell r="AZ757" t="str">
            <v>MNLC25NW</v>
          </cell>
          <cell r="BA757" t="str">
            <v>LCD Monitor 25 (WIDE)</v>
          </cell>
        </row>
        <row r="758">
          <cell r="E758" t="str">
            <v>25G590B-BB.ARDRMUN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 t="str">
            <v/>
          </cell>
          <cell r="AH758" t="str">
            <v/>
          </cell>
          <cell r="AI758" t="str">
            <v/>
          </cell>
          <cell r="AJ758" t="str">
            <v/>
          </cell>
          <cell r="AK758" t="str">
            <v>0.055141</v>
          </cell>
          <cell r="AL758" t="str">
            <v>2</v>
          </cell>
          <cell r="AM758" t="str">
            <v>Q</v>
          </cell>
          <cell r="AN758" t="str">
            <v>M0</v>
          </cell>
          <cell r="AO758" t="str">
            <v>Active(Model)</v>
          </cell>
          <cell r="AP758" t="str">
            <v/>
          </cell>
          <cell r="AQ758" t="str">
            <v/>
          </cell>
          <cell r="AR758" t="str">
            <v>Y</v>
          </cell>
          <cell r="AS758" t="str">
            <v/>
          </cell>
          <cell r="AT758" t="str">
            <v>MN</v>
          </cell>
          <cell r="AU758" t="str">
            <v>Monitor</v>
          </cell>
          <cell r="AV758" t="str">
            <v>MNLC</v>
          </cell>
          <cell r="AW758" t="str">
            <v>LCD Monitor</v>
          </cell>
          <cell r="AX758" t="str">
            <v>MNLC25</v>
          </cell>
          <cell r="AY758" t="str">
            <v>LCD Monitor 25</v>
          </cell>
          <cell r="AZ758" t="str">
            <v>MNLC25NW</v>
          </cell>
          <cell r="BA758" t="str">
            <v>LCD Monitor 25 (WIDE)</v>
          </cell>
        </row>
        <row r="759">
          <cell r="E759" t="str">
            <v>27BA400-B.ATV</v>
          </cell>
          <cell r="F759">
            <v>10</v>
          </cell>
          <cell r="G759">
            <v>0</v>
          </cell>
          <cell r="H759">
            <v>0</v>
          </cell>
          <cell r="I759">
            <v>30</v>
          </cell>
          <cell r="J759">
            <v>1</v>
          </cell>
          <cell r="K759">
            <v>0</v>
          </cell>
          <cell r="L759">
            <v>0</v>
          </cell>
          <cell r="M759">
            <v>4</v>
          </cell>
          <cell r="N759">
            <v>5</v>
          </cell>
          <cell r="O759">
            <v>4</v>
          </cell>
          <cell r="P759">
            <v>9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 t="str">
            <v/>
          </cell>
          <cell r="AH759" t="str">
            <v/>
          </cell>
          <cell r="AI759" t="str">
            <v/>
          </cell>
          <cell r="AJ759" t="str">
            <v/>
          </cell>
          <cell r="AK759" t="str">
            <v>0.044522</v>
          </cell>
          <cell r="AL759" t="str">
            <v>2</v>
          </cell>
          <cell r="AM759" t="str">
            <v>Q</v>
          </cell>
          <cell r="AN759" t="str">
            <v>M0</v>
          </cell>
          <cell r="AO759" t="str">
            <v>Active(Model)</v>
          </cell>
          <cell r="AP759" t="str">
            <v/>
          </cell>
          <cell r="AQ759" t="str">
            <v/>
          </cell>
          <cell r="AR759" t="str">
            <v>Y</v>
          </cell>
          <cell r="AS759" t="str">
            <v/>
          </cell>
          <cell r="AT759" t="str">
            <v>MN</v>
          </cell>
          <cell r="AU759" t="str">
            <v>Monitor</v>
          </cell>
          <cell r="AV759" t="str">
            <v>MNLC</v>
          </cell>
          <cell r="AW759" t="str">
            <v>LCD Monitor</v>
          </cell>
          <cell r="AX759" t="str">
            <v>MNLC27</v>
          </cell>
          <cell r="AY759" t="str">
            <v>LCD Monitor 27</v>
          </cell>
          <cell r="AZ759" t="str">
            <v>MNLC27BI</v>
          </cell>
          <cell r="BA759" t="str">
            <v>LCD Monitor 27 (B2B Inhouse)</v>
          </cell>
        </row>
        <row r="760">
          <cell r="E760" t="str">
            <v>27G411A-B.ATV</v>
          </cell>
          <cell r="F760">
            <v>40</v>
          </cell>
          <cell r="G760">
            <v>0</v>
          </cell>
          <cell r="H760">
            <v>0</v>
          </cell>
          <cell r="I760">
            <v>50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 t="str">
            <v/>
          </cell>
          <cell r="AH760" t="str">
            <v/>
          </cell>
          <cell r="AI760" t="str">
            <v/>
          </cell>
          <cell r="AJ760" t="str">
            <v/>
          </cell>
          <cell r="AK760" t="str">
            <v>0.041835</v>
          </cell>
          <cell r="AL760" t="str">
            <v>2</v>
          </cell>
          <cell r="AM760" t="str">
            <v>Q</v>
          </cell>
          <cell r="AN760" t="str">
            <v>M0</v>
          </cell>
          <cell r="AO760" t="str">
            <v>Active(Model)</v>
          </cell>
          <cell r="AP760" t="str">
            <v/>
          </cell>
          <cell r="AQ760" t="str">
            <v/>
          </cell>
          <cell r="AR760" t="str">
            <v>Y</v>
          </cell>
          <cell r="AS760" t="str">
            <v/>
          </cell>
          <cell r="AT760" t="str">
            <v>MN</v>
          </cell>
          <cell r="AU760" t="str">
            <v>Monitor</v>
          </cell>
          <cell r="AV760" t="str">
            <v>MNLC</v>
          </cell>
          <cell r="AW760" t="str">
            <v>LCD Monitor</v>
          </cell>
          <cell r="AX760" t="str">
            <v>MNLC27</v>
          </cell>
          <cell r="AY760" t="str">
            <v>LCD Monitor 27</v>
          </cell>
          <cell r="AZ760" t="str">
            <v>MNLC27NW</v>
          </cell>
          <cell r="BA760" t="str">
            <v>LCD Monitor 27 (Wide)</v>
          </cell>
        </row>
        <row r="761">
          <cell r="E761" t="str">
            <v>27G411B-B.ATV</v>
          </cell>
          <cell r="F761">
            <v>73</v>
          </cell>
          <cell r="G761">
            <v>0</v>
          </cell>
          <cell r="H761">
            <v>0</v>
          </cell>
          <cell r="I761">
            <v>101</v>
          </cell>
          <cell r="J761">
            <v>3</v>
          </cell>
          <cell r="K761">
            <v>0</v>
          </cell>
          <cell r="L761">
            <v>0</v>
          </cell>
          <cell r="M761">
            <v>5</v>
          </cell>
          <cell r="N761">
            <v>0</v>
          </cell>
          <cell r="O761">
            <v>8</v>
          </cell>
          <cell r="P761">
            <v>5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 t="str">
            <v/>
          </cell>
          <cell r="AH761" t="str">
            <v/>
          </cell>
          <cell r="AI761" t="str">
            <v/>
          </cell>
          <cell r="AJ761" t="str">
            <v/>
          </cell>
          <cell r="AK761" t="str">
            <v>0.041835</v>
          </cell>
          <cell r="AL761" t="str">
            <v>2</v>
          </cell>
          <cell r="AM761" t="str">
            <v>Q</v>
          </cell>
          <cell r="AN761" t="str">
            <v>M0</v>
          </cell>
          <cell r="AO761" t="str">
            <v>Active(Model)</v>
          </cell>
          <cell r="AP761" t="str">
            <v/>
          </cell>
          <cell r="AQ761" t="str">
            <v/>
          </cell>
          <cell r="AR761" t="str">
            <v>Y</v>
          </cell>
          <cell r="AS761" t="str">
            <v/>
          </cell>
          <cell r="AT761" t="str">
            <v>MN</v>
          </cell>
          <cell r="AU761" t="str">
            <v>Monitor</v>
          </cell>
          <cell r="AV761" t="str">
            <v>MNLC</v>
          </cell>
          <cell r="AW761" t="str">
            <v>LCD Monitor</v>
          </cell>
          <cell r="AX761" t="str">
            <v>MNLC27</v>
          </cell>
          <cell r="AY761" t="str">
            <v>LCD Monitor 27</v>
          </cell>
          <cell r="AZ761" t="str">
            <v>MNLC27NW</v>
          </cell>
          <cell r="BA761" t="str">
            <v>LCD Monitor 27 (Wide)</v>
          </cell>
        </row>
        <row r="762">
          <cell r="E762" t="str">
            <v>27G523B-B.ATV</v>
          </cell>
          <cell r="F762">
            <v>6</v>
          </cell>
          <cell r="G762">
            <v>0</v>
          </cell>
          <cell r="H762">
            <v>0</v>
          </cell>
          <cell r="I762">
            <v>20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1</v>
          </cell>
          <cell r="O762">
            <v>0</v>
          </cell>
          <cell r="P762">
            <v>1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 t="str">
            <v/>
          </cell>
          <cell r="AH762" t="str">
            <v/>
          </cell>
          <cell r="AI762" t="str">
            <v/>
          </cell>
          <cell r="AJ762" t="str">
            <v/>
          </cell>
          <cell r="AK762" t="str">
            <v>0.042441</v>
          </cell>
          <cell r="AL762" t="str">
            <v>2</v>
          </cell>
          <cell r="AM762" t="str">
            <v>Q</v>
          </cell>
          <cell r="AN762" t="str">
            <v>M0</v>
          </cell>
          <cell r="AO762" t="str">
            <v>Active(Model)</v>
          </cell>
          <cell r="AP762" t="str">
            <v/>
          </cell>
          <cell r="AQ762" t="str">
            <v/>
          </cell>
          <cell r="AR762" t="str">
            <v>Y</v>
          </cell>
          <cell r="AS762" t="str">
            <v/>
          </cell>
          <cell r="AT762" t="str">
            <v>MN</v>
          </cell>
          <cell r="AU762" t="str">
            <v>Monitor</v>
          </cell>
          <cell r="AV762" t="str">
            <v>MNLC</v>
          </cell>
          <cell r="AW762" t="str">
            <v>LCD Monitor</v>
          </cell>
          <cell r="AX762" t="str">
            <v>MNLC27</v>
          </cell>
          <cell r="AY762" t="str">
            <v>LCD Monitor 27</v>
          </cell>
          <cell r="AZ762" t="str">
            <v>MNLC27NW</v>
          </cell>
          <cell r="BA762" t="str">
            <v>LCD Monitor 27 (Wide)</v>
          </cell>
        </row>
        <row r="763">
          <cell r="E763" t="str">
            <v>27G550B-B.ATV</v>
          </cell>
          <cell r="F763">
            <v>172</v>
          </cell>
          <cell r="G763">
            <v>0</v>
          </cell>
          <cell r="H763">
            <v>0</v>
          </cell>
          <cell r="I763">
            <v>178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 t="str">
            <v/>
          </cell>
          <cell r="AH763" t="str">
            <v/>
          </cell>
          <cell r="AI763" t="str">
            <v/>
          </cell>
          <cell r="AJ763" t="str">
            <v/>
          </cell>
          <cell r="AK763" t="str">
            <v>0.062400</v>
          </cell>
          <cell r="AL763" t="str">
            <v>2</v>
          </cell>
          <cell r="AM763" t="str">
            <v>Q</v>
          </cell>
          <cell r="AN763" t="str">
            <v>M0</v>
          </cell>
          <cell r="AO763" t="str">
            <v>Active(Model)</v>
          </cell>
          <cell r="AP763" t="str">
            <v/>
          </cell>
          <cell r="AQ763" t="str">
            <v/>
          </cell>
          <cell r="AR763" t="str">
            <v>Y</v>
          </cell>
          <cell r="AS763" t="str">
            <v/>
          </cell>
          <cell r="AT763" t="str">
            <v>MN</v>
          </cell>
          <cell r="AU763" t="str">
            <v>Monitor</v>
          </cell>
          <cell r="AV763" t="str">
            <v>MNLC</v>
          </cell>
          <cell r="AW763" t="str">
            <v>LCD Monitor</v>
          </cell>
          <cell r="AX763" t="str">
            <v>MNLC27</v>
          </cell>
          <cell r="AY763" t="str">
            <v>LCD Monitor 27</v>
          </cell>
          <cell r="AZ763" t="str">
            <v>MNLC27NW</v>
          </cell>
          <cell r="BA763" t="str">
            <v>LCD Monitor 27 (Wide)</v>
          </cell>
        </row>
        <row r="764">
          <cell r="E764" t="str">
            <v>27G610A-B.ATVQ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 t="str">
            <v/>
          </cell>
          <cell r="AH764" t="str">
            <v/>
          </cell>
          <cell r="AI764" t="str">
            <v/>
          </cell>
          <cell r="AJ764" t="str">
            <v/>
          </cell>
          <cell r="AK764" t="str">
            <v>0.052679</v>
          </cell>
          <cell r="AL764" t="str">
            <v>2</v>
          </cell>
          <cell r="AM764" t="str">
            <v>Q</v>
          </cell>
          <cell r="AN764" t="str">
            <v>M0</v>
          </cell>
          <cell r="AO764" t="str">
            <v>Active(Model)</v>
          </cell>
          <cell r="AP764" t="str">
            <v/>
          </cell>
          <cell r="AQ764" t="str">
            <v/>
          </cell>
          <cell r="AR764" t="str">
            <v>Y</v>
          </cell>
          <cell r="AS764" t="str">
            <v/>
          </cell>
          <cell r="AT764" t="str">
            <v>MN</v>
          </cell>
          <cell r="AU764" t="str">
            <v>Monitor</v>
          </cell>
          <cell r="AV764" t="str">
            <v>MNLC</v>
          </cell>
          <cell r="AW764" t="str">
            <v>LCD Monitor</v>
          </cell>
          <cell r="AX764" t="str">
            <v>MNLC27</v>
          </cell>
          <cell r="AY764" t="str">
            <v>LCD Monitor 27</v>
          </cell>
          <cell r="AZ764" t="str">
            <v>MNLC27NO</v>
          </cell>
          <cell r="BA764" t="str">
            <v>LCD Monitor 27 (OS, Wide)</v>
          </cell>
        </row>
        <row r="765">
          <cell r="E765" t="str">
            <v>27G640A-B.ATVQ</v>
          </cell>
          <cell r="F765">
            <v>0</v>
          </cell>
          <cell r="G765">
            <v>0</v>
          </cell>
          <cell r="H765">
            <v>0</v>
          </cell>
          <cell r="I765">
            <v>10</v>
          </cell>
          <cell r="J765">
            <v>0</v>
          </cell>
          <cell r="K765">
            <v>0</v>
          </cell>
          <cell r="L765">
            <v>0</v>
          </cell>
          <cell r="M765">
            <v>4</v>
          </cell>
          <cell r="N765">
            <v>0</v>
          </cell>
          <cell r="O765">
            <v>0</v>
          </cell>
          <cell r="P765">
            <v>4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 t="str">
            <v/>
          </cell>
          <cell r="AH765" t="str">
            <v/>
          </cell>
          <cell r="AI765" t="str">
            <v/>
          </cell>
          <cell r="AJ765" t="str">
            <v/>
          </cell>
          <cell r="AK765" t="str">
            <v>0.062147</v>
          </cell>
          <cell r="AL765" t="str">
            <v>2</v>
          </cell>
          <cell r="AM765" t="str">
            <v>Q</v>
          </cell>
          <cell r="AN765" t="str">
            <v>M0</v>
          </cell>
          <cell r="AO765" t="str">
            <v>Active(Model)</v>
          </cell>
          <cell r="AP765" t="str">
            <v/>
          </cell>
          <cell r="AQ765" t="str">
            <v/>
          </cell>
          <cell r="AR765" t="str">
            <v>Y</v>
          </cell>
          <cell r="AS765" t="str">
            <v/>
          </cell>
          <cell r="AT765" t="str">
            <v>MN</v>
          </cell>
          <cell r="AU765" t="str">
            <v>Monitor</v>
          </cell>
          <cell r="AV765" t="str">
            <v>MNLC</v>
          </cell>
          <cell r="AW765" t="str">
            <v>LCD Monitor</v>
          </cell>
          <cell r="AX765" t="str">
            <v>MNLC27</v>
          </cell>
          <cell r="AY765" t="str">
            <v>LCD Monitor 27</v>
          </cell>
          <cell r="AZ765" t="str">
            <v>MNLC27NO</v>
          </cell>
          <cell r="BA765" t="str">
            <v>LCD Monitor 27 (OS, Wide)</v>
          </cell>
        </row>
        <row r="766">
          <cell r="E766" t="str">
            <v>27GX704A-B.ATV</v>
          </cell>
          <cell r="F766">
            <v>261</v>
          </cell>
          <cell r="G766">
            <v>0</v>
          </cell>
          <cell r="H766">
            <v>0</v>
          </cell>
          <cell r="I766">
            <v>267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 t="str">
            <v/>
          </cell>
          <cell r="AH766" t="str">
            <v/>
          </cell>
          <cell r="AI766" t="str">
            <v/>
          </cell>
          <cell r="AJ766" t="str">
            <v/>
          </cell>
          <cell r="AK766" t="str">
            <v>0.057250</v>
          </cell>
          <cell r="AL766" t="str">
            <v>2</v>
          </cell>
          <cell r="AM766" t="str">
            <v>Q</v>
          </cell>
          <cell r="AN766" t="str">
            <v>M0</v>
          </cell>
          <cell r="AO766" t="str">
            <v>Active(Model)</v>
          </cell>
          <cell r="AP766" t="str">
            <v/>
          </cell>
          <cell r="AQ766" t="str">
            <v/>
          </cell>
          <cell r="AR766" t="str">
            <v>Y</v>
          </cell>
          <cell r="AS766" t="str">
            <v/>
          </cell>
          <cell r="AT766" t="str">
            <v>MN</v>
          </cell>
          <cell r="AU766" t="str">
            <v>Monitor</v>
          </cell>
          <cell r="AV766" t="str">
            <v>MNOL</v>
          </cell>
          <cell r="AW766" t="str">
            <v>OLED Monitor</v>
          </cell>
          <cell r="AX766" t="str">
            <v>MNOL27</v>
          </cell>
          <cell r="AY766" t="str">
            <v>OLED Monitor 27</v>
          </cell>
          <cell r="AZ766" t="str">
            <v>MNOL27NW</v>
          </cell>
          <cell r="BA766" t="str">
            <v>OLED Monitor 27 (WIDE)</v>
          </cell>
        </row>
        <row r="767">
          <cell r="E767" t="str">
            <v>27GX790B-B.ATV</v>
          </cell>
          <cell r="F767">
            <v>81</v>
          </cell>
          <cell r="G767">
            <v>0</v>
          </cell>
          <cell r="H767">
            <v>0</v>
          </cell>
          <cell r="I767">
            <v>91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 t="str">
            <v/>
          </cell>
          <cell r="AH767" t="str">
            <v/>
          </cell>
          <cell r="AI767" t="str">
            <v/>
          </cell>
          <cell r="AJ767" t="str">
            <v/>
          </cell>
          <cell r="AK767" t="str">
            <v>0.071315</v>
          </cell>
          <cell r="AL767" t="str">
            <v>2</v>
          </cell>
          <cell r="AM767" t="str">
            <v>Q</v>
          </cell>
          <cell r="AN767" t="str">
            <v>M0</v>
          </cell>
          <cell r="AO767" t="str">
            <v>Active(Model)</v>
          </cell>
          <cell r="AP767" t="str">
            <v/>
          </cell>
          <cell r="AQ767" t="str">
            <v/>
          </cell>
          <cell r="AR767" t="str">
            <v>Y</v>
          </cell>
          <cell r="AS767" t="str">
            <v/>
          </cell>
          <cell r="AT767" t="str">
            <v>MN</v>
          </cell>
          <cell r="AU767" t="str">
            <v>Monitor</v>
          </cell>
          <cell r="AV767" t="str">
            <v>MNOL</v>
          </cell>
          <cell r="AW767" t="str">
            <v>OLED Monitor</v>
          </cell>
          <cell r="AX767" t="str">
            <v>MNOL27</v>
          </cell>
          <cell r="AY767" t="str">
            <v>OLED Monitor 27</v>
          </cell>
          <cell r="AZ767" t="str">
            <v>MNOL27NW</v>
          </cell>
          <cell r="BA767" t="str">
            <v>OLED Monitor 27 (WIDE)</v>
          </cell>
        </row>
        <row r="768">
          <cell r="E768" t="str">
            <v>27HK510S-W.ATV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 t="str">
            <v>MNTPREPLUS</v>
          </cell>
          <cell r="AH768" t="str">
            <v>MNT_Premium_Plus</v>
          </cell>
          <cell r="AI768" t="str">
            <v/>
          </cell>
          <cell r="AJ768" t="str">
            <v/>
          </cell>
          <cell r="AK768" t="str">
            <v>0.057859</v>
          </cell>
          <cell r="AL768" t="str">
            <v>2</v>
          </cell>
          <cell r="AM768" t="str">
            <v>Q</v>
          </cell>
          <cell r="AN768" t="str">
            <v>M0</v>
          </cell>
          <cell r="AO768" t="str">
            <v>Active(Model)</v>
          </cell>
          <cell r="AP768" t="str">
            <v/>
          </cell>
          <cell r="AQ768" t="str">
            <v/>
          </cell>
          <cell r="AR768" t="str">
            <v>Y</v>
          </cell>
          <cell r="AS768" t="str">
            <v/>
          </cell>
          <cell r="AT768" t="str">
            <v>MN</v>
          </cell>
          <cell r="AU768" t="str">
            <v>Monitor</v>
          </cell>
          <cell r="AV768" t="str">
            <v>MNME</v>
          </cell>
          <cell r="AW768" t="str">
            <v>Medical Equipment</v>
          </cell>
          <cell r="AX768" t="str">
            <v>MNMESD</v>
          </cell>
          <cell r="AY768" t="str">
            <v>Surgical Display</v>
          </cell>
          <cell r="AZ768" t="str">
            <v>MNMESD27</v>
          </cell>
          <cell r="BA768" t="str">
            <v>Surgical Display 27</v>
          </cell>
        </row>
        <row r="769">
          <cell r="E769" t="str">
            <v>27HS713C-B.ATV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5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 t="str">
            <v/>
          </cell>
          <cell r="AH769" t="str">
            <v/>
          </cell>
          <cell r="AI769" t="str">
            <v/>
          </cell>
          <cell r="AJ769" t="str">
            <v/>
          </cell>
          <cell r="AK769" t="str">
            <v>0.072080</v>
          </cell>
          <cell r="AL769" t="str">
            <v>2</v>
          </cell>
          <cell r="AM769" t="str">
            <v>Q</v>
          </cell>
          <cell r="AN769" t="str">
            <v>M0</v>
          </cell>
          <cell r="AO769" t="str">
            <v>Active(Model)</v>
          </cell>
          <cell r="AP769" t="str">
            <v/>
          </cell>
          <cell r="AQ769" t="str">
            <v/>
          </cell>
          <cell r="AR769" t="str">
            <v>Y</v>
          </cell>
          <cell r="AS769" t="str">
            <v/>
          </cell>
          <cell r="AT769" t="str">
            <v>MN</v>
          </cell>
          <cell r="AU769" t="str">
            <v>Monitor</v>
          </cell>
          <cell r="AV769" t="str">
            <v>MNME</v>
          </cell>
          <cell r="AW769" t="str">
            <v>Medical Equipment</v>
          </cell>
          <cell r="AX769" t="str">
            <v>MNMEMD</v>
          </cell>
          <cell r="AY769" t="str">
            <v>Medical Display</v>
          </cell>
          <cell r="AZ769" t="str">
            <v>MNMEMD27</v>
          </cell>
          <cell r="BA769" t="str">
            <v>Medical Display 27</v>
          </cell>
        </row>
        <row r="770">
          <cell r="E770" t="str">
            <v>27HS714S-W.ATV</v>
          </cell>
          <cell r="F770">
            <v>2</v>
          </cell>
          <cell r="G770">
            <v>0</v>
          </cell>
          <cell r="H770">
            <v>0</v>
          </cell>
          <cell r="I770">
            <v>2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 t="str">
            <v/>
          </cell>
          <cell r="AH770" t="str">
            <v/>
          </cell>
          <cell r="AI770" t="str">
            <v/>
          </cell>
          <cell r="AJ770" t="str">
            <v/>
          </cell>
          <cell r="AK770" t="str">
            <v>0.074922</v>
          </cell>
          <cell r="AL770" t="str">
            <v>2</v>
          </cell>
          <cell r="AM770" t="str">
            <v>Q</v>
          </cell>
          <cell r="AN770" t="str">
            <v>M0</v>
          </cell>
          <cell r="AO770" t="str">
            <v>Active(Model)</v>
          </cell>
          <cell r="AP770" t="str">
            <v/>
          </cell>
          <cell r="AQ770" t="str">
            <v/>
          </cell>
          <cell r="AR770" t="str">
            <v>Y</v>
          </cell>
          <cell r="AS770" t="str">
            <v/>
          </cell>
          <cell r="AT770" t="str">
            <v>MN</v>
          </cell>
          <cell r="AU770" t="str">
            <v>Monitor</v>
          </cell>
          <cell r="AV770" t="str">
            <v>MNME</v>
          </cell>
          <cell r="AW770" t="str">
            <v>Medical Equipment</v>
          </cell>
          <cell r="AX770" t="str">
            <v>MNMESD</v>
          </cell>
          <cell r="AY770" t="str">
            <v>Surgical Display</v>
          </cell>
          <cell r="AZ770" t="str">
            <v>MNMESD27</v>
          </cell>
          <cell r="BA770" t="str">
            <v>Surgical Display 27</v>
          </cell>
        </row>
        <row r="771">
          <cell r="E771" t="str">
            <v>27LX6TDGA.ATV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1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 t="str">
            <v>LCDBASIC</v>
          </cell>
          <cell r="AH771" t="str">
            <v>LCD_Basic</v>
          </cell>
          <cell r="AI771" t="str">
            <v/>
          </cell>
          <cell r="AJ771" t="str">
            <v/>
          </cell>
          <cell r="AK771" t="str">
            <v>0.151876</v>
          </cell>
          <cell r="AL771" t="str">
            <v>2</v>
          </cell>
          <cell r="AM771" t="str">
            <v>Q</v>
          </cell>
          <cell r="AN771" t="str">
            <v>M0</v>
          </cell>
          <cell r="AO771" t="str">
            <v>Active(Model)</v>
          </cell>
          <cell r="AP771" t="str">
            <v/>
          </cell>
          <cell r="AQ771" t="str">
            <v/>
          </cell>
          <cell r="AR771" t="str">
            <v>Y</v>
          </cell>
          <cell r="AS771" t="str">
            <v/>
          </cell>
          <cell r="AT771" t="str">
            <v>TV</v>
          </cell>
          <cell r="AU771" t="str">
            <v>TV</v>
          </cell>
          <cell r="AV771" t="str">
            <v>TVLS</v>
          </cell>
          <cell r="AW771" t="str">
            <v>TV Life Style</v>
          </cell>
          <cell r="AX771" t="str">
            <v>TVLS27</v>
          </cell>
          <cell r="AY771" t="str">
            <v>TV Life Style 27</v>
          </cell>
          <cell r="AZ771" t="str">
            <v>TVLS27NQ</v>
          </cell>
          <cell r="BA771" t="str">
            <v>Life Style Display 27 (QHD)</v>
          </cell>
        </row>
        <row r="772">
          <cell r="E772" t="str">
            <v>27U411B-B.ATV</v>
          </cell>
          <cell r="F772">
            <v>2451</v>
          </cell>
          <cell r="G772">
            <v>0</v>
          </cell>
          <cell r="H772">
            <v>0</v>
          </cell>
          <cell r="I772">
            <v>2451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 t="str">
            <v/>
          </cell>
          <cell r="AH772" t="str">
            <v/>
          </cell>
          <cell r="AI772" t="str">
            <v/>
          </cell>
          <cell r="AJ772" t="str">
            <v/>
          </cell>
          <cell r="AK772" t="str">
            <v>0.041835</v>
          </cell>
          <cell r="AL772" t="str">
            <v>2</v>
          </cell>
          <cell r="AM772" t="str">
            <v>Q</v>
          </cell>
          <cell r="AN772" t="str">
            <v>M0</v>
          </cell>
          <cell r="AO772" t="str">
            <v>Active(Model)</v>
          </cell>
          <cell r="AP772" t="str">
            <v/>
          </cell>
          <cell r="AQ772" t="str">
            <v/>
          </cell>
          <cell r="AR772" t="str">
            <v>Y</v>
          </cell>
          <cell r="AS772" t="str">
            <v/>
          </cell>
          <cell r="AT772" t="str">
            <v>MN</v>
          </cell>
          <cell r="AU772" t="str">
            <v>Monitor</v>
          </cell>
          <cell r="AV772" t="str">
            <v>MNLC</v>
          </cell>
          <cell r="AW772" t="str">
            <v>LCD Monitor</v>
          </cell>
          <cell r="AX772" t="str">
            <v>MNLC27</v>
          </cell>
          <cell r="AY772" t="str">
            <v>LCD Monitor 27</v>
          </cell>
          <cell r="AZ772" t="str">
            <v>MNLC27NW</v>
          </cell>
          <cell r="BA772" t="str">
            <v>LCD Monitor 27 (Wide)</v>
          </cell>
        </row>
        <row r="773">
          <cell r="E773" t="str">
            <v>27U631A-B.ATVQ</v>
          </cell>
          <cell r="F773">
            <v>0</v>
          </cell>
          <cell r="G773">
            <v>0</v>
          </cell>
          <cell r="H773">
            <v>0</v>
          </cell>
          <cell r="I773">
            <v>1</v>
          </cell>
          <cell r="J773">
            <v>0</v>
          </cell>
          <cell r="K773">
            <v>133</v>
          </cell>
          <cell r="L773">
            <v>0</v>
          </cell>
          <cell r="M773">
            <v>1</v>
          </cell>
          <cell r="N773">
            <v>0</v>
          </cell>
          <cell r="O773">
            <v>1</v>
          </cell>
          <cell r="P773">
            <v>1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 t="str">
            <v/>
          </cell>
          <cell r="AH773" t="str">
            <v/>
          </cell>
          <cell r="AI773" t="str">
            <v/>
          </cell>
          <cell r="AJ773" t="str">
            <v/>
          </cell>
          <cell r="AK773" t="str">
            <v>0.043470</v>
          </cell>
          <cell r="AL773" t="str">
            <v>2</v>
          </cell>
          <cell r="AM773" t="str">
            <v>Q</v>
          </cell>
          <cell r="AN773" t="str">
            <v>M0</v>
          </cell>
          <cell r="AO773" t="str">
            <v>Active(Model)</v>
          </cell>
          <cell r="AP773" t="str">
            <v/>
          </cell>
          <cell r="AQ773" t="str">
            <v/>
          </cell>
          <cell r="AR773" t="str">
            <v>Y</v>
          </cell>
          <cell r="AS773" t="str">
            <v/>
          </cell>
          <cell r="AT773" t="str">
            <v>MN</v>
          </cell>
          <cell r="AU773" t="str">
            <v>Monitor</v>
          </cell>
          <cell r="AV773" t="str">
            <v>MNLC</v>
          </cell>
          <cell r="AW773" t="str">
            <v>LCD Monitor</v>
          </cell>
          <cell r="AX773" t="str">
            <v>MNLC27</v>
          </cell>
          <cell r="AY773" t="str">
            <v>LCD Monitor 27</v>
          </cell>
          <cell r="AZ773" t="str">
            <v>MNLC27NO</v>
          </cell>
          <cell r="BA773" t="str">
            <v>LCD Monitor 27 (OS, Wide)</v>
          </cell>
        </row>
        <row r="774">
          <cell r="E774" t="str">
            <v>27U711B-B.ATV</v>
          </cell>
          <cell r="F774">
            <v>452</v>
          </cell>
          <cell r="G774">
            <v>0</v>
          </cell>
          <cell r="H774">
            <v>0</v>
          </cell>
          <cell r="I774">
            <v>470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1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 t="str">
            <v/>
          </cell>
          <cell r="AH774" t="str">
            <v/>
          </cell>
          <cell r="AI774" t="str">
            <v/>
          </cell>
          <cell r="AJ774" t="str">
            <v/>
          </cell>
          <cell r="AK774" t="str">
            <v>0.042131</v>
          </cell>
          <cell r="AL774" t="str">
            <v>2</v>
          </cell>
          <cell r="AM774" t="str">
            <v>Q</v>
          </cell>
          <cell r="AN774" t="str">
            <v>M0</v>
          </cell>
          <cell r="AO774" t="str">
            <v>Active(Model)</v>
          </cell>
          <cell r="AP774" t="str">
            <v/>
          </cell>
          <cell r="AQ774" t="str">
            <v/>
          </cell>
          <cell r="AR774" t="str">
            <v>Y</v>
          </cell>
          <cell r="AS774" t="str">
            <v/>
          </cell>
          <cell r="AT774" t="str">
            <v>MN</v>
          </cell>
          <cell r="AU774" t="str">
            <v>Monitor</v>
          </cell>
          <cell r="AV774" t="str">
            <v>MNLC</v>
          </cell>
          <cell r="AW774" t="str">
            <v>LCD Monitor</v>
          </cell>
          <cell r="AX774" t="str">
            <v>MNLC27</v>
          </cell>
          <cell r="AY774" t="str">
            <v>LCD Monitor 27</v>
          </cell>
          <cell r="AZ774" t="str">
            <v>MNLC27NW</v>
          </cell>
          <cell r="BA774" t="str">
            <v>LCD Monitor 27 (Wide)</v>
          </cell>
        </row>
        <row r="775">
          <cell r="E775" t="str">
            <v>27U730B-B.ATV</v>
          </cell>
          <cell r="F775">
            <v>213</v>
          </cell>
          <cell r="G775">
            <v>0</v>
          </cell>
          <cell r="H775">
            <v>0</v>
          </cell>
          <cell r="I775">
            <v>233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 t="str">
            <v/>
          </cell>
          <cell r="AH775" t="str">
            <v/>
          </cell>
          <cell r="AI775" t="str">
            <v/>
          </cell>
          <cell r="AJ775" t="str">
            <v/>
          </cell>
          <cell r="AK775" t="str">
            <v>0.040033</v>
          </cell>
          <cell r="AL775" t="str">
            <v>2</v>
          </cell>
          <cell r="AM775" t="str">
            <v>Q</v>
          </cell>
          <cell r="AN775" t="str">
            <v>M0</v>
          </cell>
          <cell r="AO775" t="str">
            <v>Active(Model)</v>
          </cell>
          <cell r="AP775" t="str">
            <v/>
          </cell>
          <cell r="AQ775" t="str">
            <v/>
          </cell>
          <cell r="AR775" t="str">
            <v>Y</v>
          </cell>
          <cell r="AS775" t="str">
            <v/>
          </cell>
          <cell r="AT775" t="str">
            <v>MN</v>
          </cell>
          <cell r="AU775" t="str">
            <v>Monitor</v>
          </cell>
          <cell r="AV775" t="str">
            <v>MNLC</v>
          </cell>
          <cell r="AW775" t="str">
            <v>LCD Monitor</v>
          </cell>
          <cell r="AX775" t="str">
            <v>MNLC27</v>
          </cell>
          <cell r="AY775" t="str">
            <v>LCD Monitor 27</v>
          </cell>
          <cell r="AZ775" t="str">
            <v>MNLC27NW</v>
          </cell>
          <cell r="BA775" t="str">
            <v>LCD Monitor 27 (Wide)</v>
          </cell>
        </row>
        <row r="776">
          <cell r="E776" t="str">
            <v>27U731SB-W.ATV</v>
          </cell>
          <cell r="F776">
            <v>0</v>
          </cell>
          <cell r="G776">
            <v>0</v>
          </cell>
          <cell r="H776">
            <v>0</v>
          </cell>
          <cell r="I776">
            <v>1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 t="str">
            <v/>
          </cell>
          <cell r="AH776" t="str">
            <v/>
          </cell>
          <cell r="AI776" t="str">
            <v/>
          </cell>
          <cell r="AJ776" t="str">
            <v/>
          </cell>
          <cell r="AK776" t="str">
            <v>0.043430</v>
          </cell>
          <cell r="AL776" t="str">
            <v>2</v>
          </cell>
          <cell r="AM776" t="str">
            <v>Q</v>
          </cell>
          <cell r="AN776" t="str">
            <v>M0</v>
          </cell>
          <cell r="AO776" t="str">
            <v>Active(Model)</v>
          </cell>
          <cell r="AP776" t="str">
            <v/>
          </cell>
          <cell r="AQ776" t="str">
            <v/>
          </cell>
          <cell r="AR776" t="str">
            <v>Y</v>
          </cell>
          <cell r="AS776" t="str">
            <v/>
          </cell>
          <cell r="AT776" t="str">
            <v>MN</v>
          </cell>
          <cell r="AU776" t="str">
            <v>Monitor</v>
          </cell>
          <cell r="AV776" t="str">
            <v>MNLC</v>
          </cell>
          <cell r="AW776" t="str">
            <v>LCD Monitor</v>
          </cell>
          <cell r="AX776" t="str">
            <v>MNLC27</v>
          </cell>
          <cell r="AY776" t="str">
            <v>LCD Monitor 27</v>
          </cell>
          <cell r="AZ776" t="str">
            <v>MNLC27NW</v>
          </cell>
          <cell r="BA776" t="str">
            <v>LCD Monitor 27 (Wide)</v>
          </cell>
        </row>
        <row r="777">
          <cell r="E777" t="str">
            <v>27UP850K-W.ATV</v>
          </cell>
          <cell r="F777">
            <v>68</v>
          </cell>
          <cell r="G777">
            <v>0</v>
          </cell>
          <cell r="H777">
            <v>0</v>
          </cell>
          <cell r="I777">
            <v>101</v>
          </cell>
          <cell r="J777">
            <v>3</v>
          </cell>
          <cell r="K777">
            <v>0</v>
          </cell>
          <cell r="L777">
            <v>0</v>
          </cell>
          <cell r="M777">
            <v>1</v>
          </cell>
          <cell r="N777">
            <v>0</v>
          </cell>
          <cell r="O777">
            <v>0</v>
          </cell>
          <cell r="P777">
            <v>1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 t="str">
            <v/>
          </cell>
          <cell r="AH777" t="str">
            <v/>
          </cell>
          <cell r="AI777" t="str">
            <v/>
          </cell>
          <cell r="AJ777" t="str">
            <v/>
          </cell>
          <cell r="AK777" t="str">
            <v>0.069189</v>
          </cell>
          <cell r="AL777" t="str">
            <v>2</v>
          </cell>
          <cell r="AM777" t="str">
            <v>Q</v>
          </cell>
          <cell r="AN777" t="str">
            <v>M0</v>
          </cell>
          <cell r="AO777" t="str">
            <v>Active(Model)</v>
          </cell>
          <cell r="AP777" t="str">
            <v/>
          </cell>
          <cell r="AQ777" t="str">
            <v/>
          </cell>
          <cell r="AR777" t="str">
            <v>Y</v>
          </cell>
          <cell r="AS777" t="str">
            <v/>
          </cell>
          <cell r="AT777" t="str">
            <v>MN</v>
          </cell>
          <cell r="AU777" t="str">
            <v>Monitor</v>
          </cell>
          <cell r="AV777" t="str">
            <v>MNLC</v>
          </cell>
          <cell r="AW777" t="str">
            <v>LCD Monitor</v>
          </cell>
          <cell r="AX777" t="str">
            <v>MNLC27</v>
          </cell>
          <cell r="AY777" t="str">
            <v>LCD Monitor 27</v>
          </cell>
          <cell r="AZ777" t="str">
            <v>MNLC27NW</v>
          </cell>
          <cell r="BA777" t="str">
            <v>LCD Monitor 27 (Wide)</v>
          </cell>
        </row>
        <row r="778">
          <cell r="E778" t="str">
            <v>29U511A-B.ATV</v>
          </cell>
          <cell r="F778">
            <v>0</v>
          </cell>
          <cell r="G778">
            <v>0</v>
          </cell>
          <cell r="H778">
            <v>0</v>
          </cell>
          <cell r="I778">
            <v>23</v>
          </cell>
          <cell r="J778">
            <v>1</v>
          </cell>
          <cell r="K778">
            <v>0</v>
          </cell>
          <cell r="L778">
            <v>0</v>
          </cell>
          <cell r="M778">
            <v>5</v>
          </cell>
          <cell r="N778">
            <v>1</v>
          </cell>
          <cell r="O778">
            <v>1</v>
          </cell>
          <cell r="P778">
            <v>6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19</v>
          </cell>
          <cell r="AB778">
            <v>0</v>
          </cell>
          <cell r="AC778">
            <v>6</v>
          </cell>
          <cell r="AD778">
            <v>1</v>
          </cell>
          <cell r="AE778">
            <v>8</v>
          </cell>
          <cell r="AF778">
            <v>7</v>
          </cell>
          <cell r="AG778" t="str">
            <v/>
          </cell>
          <cell r="AH778" t="str">
            <v/>
          </cell>
          <cell r="AI778" t="str">
            <v/>
          </cell>
          <cell r="AJ778" t="str">
            <v/>
          </cell>
          <cell r="AK778" t="str">
            <v>0.039698</v>
          </cell>
          <cell r="AL778" t="str">
            <v>2</v>
          </cell>
          <cell r="AM778" t="str">
            <v>Q</v>
          </cell>
          <cell r="AN778" t="str">
            <v>M0</v>
          </cell>
          <cell r="AO778" t="str">
            <v>Active(Model)</v>
          </cell>
          <cell r="AP778" t="str">
            <v/>
          </cell>
          <cell r="AQ778" t="str">
            <v/>
          </cell>
          <cell r="AR778" t="str">
            <v>Y</v>
          </cell>
          <cell r="AS778" t="str">
            <v/>
          </cell>
          <cell r="AT778" t="str">
            <v>MN</v>
          </cell>
          <cell r="AU778" t="str">
            <v>Monitor</v>
          </cell>
          <cell r="AV778" t="str">
            <v>MNLC</v>
          </cell>
          <cell r="AW778" t="str">
            <v>LCD Monitor</v>
          </cell>
          <cell r="AX778" t="str">
            <v>MNLC29</v>
          </cell>
          <cell r="AY778" t="str">
            <v>LCD Monitor 29</v>
          </cell>
          <cell r="AZ778" t="str">
            <v>MNLC29NW</v>
          </cell>
          <cell r="BA778" t="str">
            <v>LCD Monitor 29 (WIDE)</v>
          </cell>
        </row>
        <row r="779">
          <cell r="E779" t="str">
            <v>29U531A-W.ATV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 t="str">
            <v/>
          </cell>
          <cell r="AH779" t="str">
            <v/>
          </cell>
          <cell r="AI779" t="str">
            <v/>
          </cell>
          <cell r="AJ779" t="str">
            <v/>
          </cell>
          <cell r="AK779" t="str">
            <v>0.040309</v>
          </cell>
          <cell r="AL779" t="str">
            <v>2</v>
          </cell>
          <cell r="AM779" t="str">
            <v>Q</v>
          </cell>
          <cell r="AN779" t="str">
            <v>M0</v>
          </cell>
          <cell r="AO779" t="str">
            <v>Active(Model)</v>
          </cell>
          <cell r="AP779" t="str">
            <v/>
          </cell>
          <cell r="AQ779" t="str">
            <v/>
          </cell>
          <cell r="AR779" t="str">
            <v>Y</v>
          </cell>
          <cell r="AS779" t="str">
            <v/>
          </cell>
          <cell r="AT779" t="str">
            <v>MN</v>
          </cell>
          <cell r="AU779" t="str">
            <v>Monitor</v>
          </cell>
          <cell r="AV779" t="str">
            <v>MNLC</v>
          </cell>
          <cell r="AW779" t="str">
            <v>LCD Monitor</v>
          </cell>
          <cell r="AX779" t="str">
            <v>MNLC29</v>
          </cell>
          <cell r="AY779" t="str">
            <v>LCD Monitor 29</v>
          </cell>
          <cell r="AZ779" t="str">
            <v>MNLC29NW</v>
          </cell>
          <cell r="BA779" t="str">
            <v>LCD Monitor 29 (WIDE)</v>
          </cell>
        </row>
        <row r="780">
          <cell r="E780" t="str">
            <v>32GX870B-B.ATV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 t="str">
            <v/>
          </cell>
          <cell r="AH780" t="str">
            <v/>
          </cell>
          <cell r="AI780" t="str">
            <v/>
          </cell>
          <cell r="AJ780" t="str">
            <v/>
          </cell>
          <cell r="AK780" t="str">
            <v>0.096864</v>
          </cell>
          <cell r="AL780" t="str">
            <v>2</v>
          </cell>
          <cell r="AM780" t="str">
            <v>Q</v>
          </cell>
          <cell r="AN780" t="str">
            <v>M0</v>
          </cell>
          <cell r="AO780" t="str">
            <v>Active(Model)</v>
          </cell>
          <cell r="AP780" t="str">
            <v/>
          </cell>
          <cell r="AQ780" t="str">
            <v/>
          </cell>
          <cell r="AR780" t="str">
            <v>Y</v>
          </cell>
          <cell r="AS780" t="str">
            <v/>
          </cell>
          <cell r="AT780" t="str">
            <v>MN</v>
          </cell>
          <cell r="AU780" t="str">
            <v>Monitor</v>
          </cell>
          <cell r="AV780" t="str">
            <v>MNOL</v>
          </cell>
          <cell r="AW780" t="str">
            <v>OLED Monitor</v>
          </cell>
          <cell r="AX780" t="str">
            <v>MNOL32</v>
          </cell>
          <cell r="AY780" t="str">
            <v>OLED Monitor 32</v>
          </cell>
          <cell r="AZ780" t="str">
            <v>MNOL32NW</v>
          </cell>
          <cell r="BA780" t="str">
            <v>OLED Monitor 32 (WIDE)</v>
          </cell>
        </row>
        <row r="781">
          <cell r="E781" t="str">
            <v>32HL512D-B.ATV</v>
          </cell>
          <cell r="F781">
            <v>2</v>
          </cell>
          <cell r="G781">
            <v>0</v>
          </cell>
          <cell r="H781">
            <v>0</v>
          </cell>
          <cell r="I781">
            <v>2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 t="str">
            <v/>
          </cell>
          <cell r="AH781" t="str">
            <v/>
          </cell>
          <cell r="AI781" t="str">
            <v/>
          </cell>
          <cell r="AJ781" t="str">
            <v/>
          </cell>
          <cell r="AK781" t="str">
            <v>0.109962</v>
          </cell>
          <cell r="AL781" t="str">
            <v>2</v>
          </cell>
          <cell r="AM781" t="str">
            <v>Q</v>
          </cell>
          <cell r="AN781" t="str">
            <v>M0</v>
          </cell>
          <cell r="AO781" t="str">
            <v>Active(Model)</v>
          </cell>
          <cell r="AP781" t="str">
            <v/>
          </cell>
          <cell r="AQ781" t="str">
            <v/>
          </cell>
          <cell r="AR781" t="str">
            <v>Y</v>
          </cell>
          <cell r="AS781" t="str">
            <v/>
          </cell>
          <cell r="AT781" t="str">
            <v>MN</v>
          </cell>
          <cell r="AU781" t="str">
            <v>Monitor</v>
          </cell>
          <cell r="AV781" t="str">
            <v>MNME</v>
          </cell>
          <cell r="AW781" t="str">
            <v>Medical Equipment</v>
          </cell>
          <cell r="AX781" t="str">
            <v>MNMEDD</v>
          </cell>
          <cell r="AY781" t="str">
            <v>Diagnostic Display</v>
          </cell>
          <cell r="AZ781" t="str">
            <v>MNMEDD32</v>
          </cell>
          <cell r="BA781" t="str">
            <v>Diagnostic Display 32</v>
          </cell>
        </row>
        <row r="782">
          <cell r="E782" t="str">
            <v>32HQ713D-B.ATV</v>
          </cell>
          <cell r="F782">
            <v>2</v>
          </cell>
          <cell r="G782">
            <v>0</v>
          </cell>
          <cell r="H782">
            <v>0</v>
          </cell>
          <cell r="I782">
            <v>2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 t="str">
            <v/>
          </cell>
          <cell r="AH782" t="str">
            <v/>
          </cell>
          <cell r="AI782" t="str">
            <v/>
          </cell>
          <cell r="AJ782" t="str">
            <v/>
          </cell>
          <cell r="AK782" t="str">
            <v>0.210556</v>
          </cell>
          <cell r="AL782" t="str">
            <v>2</v>
          </cell>
          <cell r="AM782" t="str">
            <v>Q</v>
          </cell>
          <cell r="AN782" t="str">
            <v>M0</v>
          </cell>
          <cell r="AO782" t="str">
            <v>Active(Model)</v>
          </cell>
          <cell r="AP782" t="str">
            <v/>
          </cell>
          <cell r="AQ782" t="str">
            <v/>
          </cell>
          <cell r="AR782" t="str">
            <v>Y</v>
          </cell>
          <cell r="AS782" t="str">
            <v/>
          </cell>
          <cell r="AT782" t="str">
            <v>MN</v>
          </cell>
          <cell r="AU782" t="str">
            <v>Monitor</v>
          </cell>
          <cell r="AV782" t="str">
            <v>MNME</v>
          </cell>
          <cell r="AW782" t="str">
            <v>Medical Equipment</v>
          </cell>
          <cell r="AX782" t="str">
            <v>MNMEDD</v>
          </cell>
          <cell r="AY782" t="str">
            <v>Diagnostic Display</v>
          </cell>
          <cell r="AZ782" t="str">
            <v>MNMEDD32</v>
          </cell>
          <cell r="BA782" t="str">
            <v>Diagnostic Display 32</v>
          </cell>
        </row>
        <row r="783">
          <cell r="E783" t="str">
            <v>32HR734S-W.ATV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 t="str">
            <v/>
          </cell>
          <cell r="AH783" t="str">
            <v/>
          </cell>
          <cell r="AI783" t="str">
            <v/>
          </cell>
          <cell r="AJ783" t="str">
            <v/>
          </cell>
          <cell r="AK783" t="str">
            <v>0.088577</v>
          </cell>
          <cell r="AL783" t="str">
            <v>2</v>
          </cell>
          <cell r="AM783" t="str">
            <v>Q</v>
          </cell>
          <cell r="AN783" t="str">
            <v>M0</v>
          </cell>
          <cell r="AO783" t="str">
            <v>Active(Model)</v>
          </cell>
          <cell r="AP783" t="str">
            <v/>
          </cell>
          <cell r="AQ783" t="str">
            <v/>
          </cell>
          <cell r="AR783" t="str">
            <v>Y</v>
          </cell>
          <cell r="AS783" t="str">
            <v/>
          </cell>
          <cell r="AT783" t="str">
            <v>MN</v>
          </cell>
          <cell r="AU783" t="str">
            <v>Monitor</v>
          </cell>
          <cell r="AV783" t="str">
            <v>MNME</v>
          </cell>
          <cell r="AW783" t="str">
            <v>Medical Equipment</v>
          </cell>
          <cell r="AX783" t="str">
            <v>MNMESD</v>
          </cell>
          <cell r="AY783" t="str">
            <v>Surgical Display</v>
          </cell>
          <cell r="AZ783" t="str">
            <v>MNMESD32</v>
          </cell>
          <cell r="BA783" t="str">
            <v>Surgical Display 32</v>
          </cell>
        </row>
        <row r="784">
          <cell r="E784" t="str">
            <v>32LB655BPSA.ATV</v>
          </cell>
          <cell r="F784">
            <v>1</v>
          </cell>
          <cell r="G784">
            <v>0</v>
          </cell>
          <cell r="H784">
            <v>0</v>
          </cell>
          <cell r="I784">
            <v>197</v>
          </cell>
          <cell r="J784">
            <v>0</v>
          </cell>
          <cell r="K784">
            <v>110</v>
          </cell>
          <cell r="L784">
            <v>0</v>
          </cell>
          <cell r="M784">
            <v>180</v>
          </cell>
          <cell r="N784">
            <v>0</v>
          </cell>
          <cell r="O784">
            <v>0</v>
          </cell>
          <cell r="P784">
            <v>180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 t="str">
            <v>LCDBASIC</v>
          </cell>
          <cell r="AH784" t="str">
            <v>LCD_Basic</v>
          </cell>
          <cell r="AI784" t="str">
            <v/>
          </cell>
          <cell r="AJ784" t="str">
            <v/>
          </cell>
          <cell r="AK784" t="str">
            <v>0.046476</v>
          </cell>
          <cell r="AL784" t="str">
            <v>2</v>
          </cell>
          <cell r="AM784" t="str">
            <v>Q</v>
          </cell>
          <cell r="AN784" t="str">
            <v>M0</v>
          </cell>
          <cell r="AO784" t="str">
            <v>Active(Model)</v>
          </cell>
          <cell r="AP784" t="str">
            <v/>
          </cell>
          <cell r="AQ784" t="str">
            <v/>
          </cell>
          <cell r="AR784" t="str">
            <v>Y</v>
          </cell>
          <cell r="AS784" t="str">
            <v/>
          </cell>
          <cell r="AT784" t="str">
            <v>TV</v>
          </cell>
          <cell r="AU784" t="str">
            <v>TV</v>
          </cell>
          <cell r="AV784" t="str">
            <v>TVLE</v>
          </cell>
          <cell r="AW784" t="str">
            <v>LED LCD TV</v>
          </cell>
          <cell r="AX784" t="str">
            <v>TVLE32</v>
          </cell>
          <cell r="AY784" t="str">
            <v>LED LCD TV 32</v>
          </cell>
          <cell r="AZ784" t="str">
            <v>TVLE32NX</v>
          </cell>
          <cell r="BA784" t="str">
            <v>LED LCD TV 32 (HD)</v>
          </cell>
        </row>
        <row r="785">
          <cell r="E785" t="str">
            <v>32LX6BDGA.ATV</v>
          </cell>
          <cell r="F785">
            <v>83</v>
          </cell>
          <cell r="G785">
            <v>0</v>
          </cell>
          <cell r="H785">
            <v>0</v>
          </cell>
          <cell r="I785">
            <v>105</v>
          </cell>
          <cell r="J785">
            <v>8</v>
          </cell>
          <cell r="K785">
            <v>0</v>
          </cell>
          <cell r="L785">
            <v>0</v>
          </cell>
          <cell r="M785">
            <v>2</v>
          </cell>
          <cell r="N785">
            <v>4</v>
          </cell>
          <cell r="O785">
            <v>0</v>
          </cell>
          <cell r="P785">
            <v>6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1</v>
          </cell>
          <cell r="AD785">
            <v>0</v>
          </cell>
          <cell r="AE785">
            <v>0</v>
          </cell>
          <cell r="AF785">
            <v>1</v>
          </cell>
          <cell r="AG785" t="str">
            <v>LCDBASIC</v>
          </cell>
          <cell r="AH785" t="str">
            <v>LCD_Basic</v>
          </cell>
          <cell r="AI785" t="str">
            <v/>
          </cell>
          <cell r="AJ785" t="str">
            <v/>
          </cell>
          <cell r="AK785" t="str">
            <v>0.129730</v>
          </cell>
          <cell r="AL785" t="str">
            <v>2</v>
          </cell>
          <cell r="AM785" t="str">
            <v>Q</v>
          </cell>
          <cell r="AN785" t="str">
            <v>M0</v>
          </cell>
          <cell r="AO785" t="str">
            <v>Active(Model)</v>
          </cell>
          <cell r="AP785" t="str">
            <v/>
          </cell>
          <cell r="AQ785" t="str">
            <v/>
          </cell>
          <cell r="AR785" t="str">
            <v>Y</v>
          </cell>
          <cell r="AS785" t="str">
            <v/>
          </cell>
          <cell r="AT785" t="str">
            <v>TV</v>
          </cell>
          <cell r="AU785" t="str">
            <v>TV</v>
          </cell>
          <cell r="AV785" t="str">
            <v>TVLS</v>
          </cell>
          <cell r="AW785" t="str">
            <v>TV Life Style</v>
          </cell>
          <cell r="AX785" t="str">
            <v>TVLS32</v>
          </cell>
          <cell r="AY785" t="str">
            <v>TV Life Style 32</v>
          </cell>
          <cell r="AZ785" t="str">
            <v>TVLS32NU</v>
          </cell>
          <cell r="BA785" t="str">
            <v>Life Style Display 32 (UD)</v>
          </cell>
        </row>
        <row r="786">
          <cell r="E786" t="str">
            <v>32U631A-B.ATVQ</v>
          </cell>
          <cell r="F786">
            <v>0</v>
          </cell>
          <cell r="G786">
            <v>0</v>
          </cell>
          <cell r="H786">
            <v>0</v>
          </cell>
          <cell r="I786">
            <v>40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116</v>
          </cell>
          <cell r="P786">
            <v>0</v>
          </cell>
          <cell r="Q786">
            <v>156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40</v>
          </cell>
          <cell r="AE786">
            <v>0</v>
          </cell>
          <cell r="AF786">
            <v>40</v>
          </cell>
          <cell r="AG786" t="str">
            <v/>
          </cell>
          <cell r="AH786" t="str">
            <v/>
          </cell>
          <cell r="AI786" t="str">
            <v/>
          </cell>
          <cell r="AJ786" t="str">
            <v/>
          </cell>
          <cell r="AK786" t="str">
            <v>0.075430</v>
          </cell>
          <cell r="AL786" t="str">
            <v>2</v>
          </cell>
          <cell r="AM786" t="str">
            <v>Q</v>
          </cell>
          <cell r="AN786" t="str">
            <v>M0</v>
          </cell>
          <cell r="AO786" t="str">
            <v>Active(Model)</v>
          </cell>
          <cell r="AP786" t="str">
            <v/>
          </cell>
          <cell r="AQ786" t="str">
            <v/>
          </cell>
          <cell r="AR786" t="str">
            <v>Y</v>
          </cell>
          <cell r="AS786" t="str">
            <v/>
          </cell>
          <cell r="AT786" t="str">
            <v>MN</v>
          </cell>
          <cell r="AU786" t="str">
            <v>Monitor</v>
          </cell>
          <cell r="AV786" t="str">
            <v>MNLC</v>
          </cell>
          <cell r="AW786" t="str">
            <v>LCD Monitor</v>
          </cell>
          <cell r="AX786" t="str">
            <v>MNLC32</v>
          </cell>
          <cell r="AY786" t="str">
            <v>LCD Monitor 32</v>
          </cell>
          <cell r="AZ786" t="str">
            <v>MNLC32NO</v>
          </cell>
          <cell r="BA786" t="str">
            <v>LCD Monitor 32 (OS, Wide)</v>
          </cell>
        </row>
        <row r="787">
          <cell r="E787" t="str">
            <v>32U889SA-W.ATV</v>
          </cell>
          <cell r="F787">
            <v>0</v>
          </cell>
          <cell r="G787">
            <v>0</v>
          </cell>
          <cell r="H787">
            <v>0</v>
          </cell>
          <cell r="I787">
            <v>22</v>
          </cell>
          <cell r="J787">
            <v>0</v>
          </cell>
          <cell r="K787">
            <v>0</v>
          </cell>
          <cell r="L787">
            <v>0</v>
          </cell>
          <cell r="M787">
            <v>6</v>
          </cell>
          <cell r="N787">
            <v>0</v>
          </cell>
          <cell r="O787">
            <v>7</v>
          </cell>
          <cell r="P787">
            <v>6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 t="str">
            <v/>
          </cell>
          <cell r="AH787" t="str">
            <v/>
          </cell>
          <cell r="AI787" t="str">
            <v/>
          </cell>
          <cell r="AJ787" t="str">
            <v/>
          </cell>
          <cell r="AK787" t="str">
            <v>0.255753</v>
          </cell>
          <cell r="AL787" t="str">
            <v>2</v>
          </cell>
          <cell r="AM787" t="str">
            <v>Q</v>
          </cell>
          <cell r="AN787" t="str">
            <v>M0</v>
          </cell>
          <cell r="AO787" t="str">
            <v>Active(Model)</v>
          </cell>
          <cell r="AP787" t="str">
            <v/>
          </cell>
          <cell r="AQ787" t="str">
            <v/>
          </cell>
          <cell r="AR787" t="str">
            <v>Y</v>
          </cell>
          <cell r="AS787" t="str">
            <v/>
          </cell>
          <cell r="AT787" t="str">
            <v>MN</v>
          </cell>
          <cell r="AU787" t="str">
            <v>Monitor</v>
          </cell>
          <cell r="AV787" t="str">
            <v>MNLC</v>
          </cell>
          <cell r="AW787" t="str">
            <v>LCD Monitor</v>
          </cell>
          <cell r="AX787" t="str">
            <v>MNLC32</v>
          </cell>
          <cell r="AY787" t="str">
            <v>LCD Monitor 32</v>
          </cell>
          <cell r="AZ787" t="str">
            <v>MNLC32NW</v>
          </cell>
          <cell r="BA787" t="str">
            <v>LCD Monitor 32  (WIDE)</v>
          </cell>
        </row>
        <row r="788">
          <cell r="E788" t="str">
            <v>32U990A-S.ATV</v>
          </cell>
          <cell r="F788">
            <v>0</v>
          </cell>
          <cell r="G788">
            <v>0</v>
          </cell>
          <cell r="H788">
            <v>0</v>
          </cell>
          <cell r="I788">
            <v>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 t="str">
            <v/>
          </cell>
          <cell r="AH788" t="str">
            <v/>
          </cell>
          <cell r="AI788" t="str">
            <v/>
          </cell>
          <cell r="AJ788" t="str">
            <v/>
          </cell>
          <cell r="AK788" t="str">
            <v>0.084021</v>
          </cell>
          <cell r="AL788" t="str">
            <v>2</v>
          </cell>
          <cell r="AM788" t="str">
            <v>Q</v>
          </cell>
          <cell r="AN788" t="str">
            <v>M0</v>
          </cell>
          <cell r="AO788" t="str">
            <v>Active(Model)</v>
          </cell>
          <cell r="AP788" t="str">
            <v/>
          </cell>
          <cell r="AQ788" t="str">
            <v/>
          </cell>
          <cell r="AR788" t="str">
            <v>Y</v>
          </cell>
          <cell r="AS788" t="str">
            <v/>
          </cell>
          <cell r="AT788" t="str">
            <v>MN</v>
          </cell>
          <cell r="AU788" t="str">
            <v>Monitor</v>
          </cell>
          <cell r="AV788" t="str">
            <v>MNLC</v>
          </cell>
          <cell r="AW788" t="str">
            <v>LCD Monitor</v>
          </cell>
          <cell r="AX788" t="str">
            <v>MNLC32</v>
          </cell>
          <cell r="AY788" t="str">
            <v>LCD Monitor 32</v>
          </cell>
          <cell r="AZ788" t="str">
            <v>MNLC32NW</v>
          </cell>
          <cell r="BA788" t="str">
            <v>LCD Monitor 32  (WIDE)</v>
          </cell>
        </row>
        <row r="789">
          <cell r="E789" t="str">
            <v>32UL5Q-M.ATVQ</v>
          </cell>
          <cell r="F789">
            <v>12</v>
          </cell>
          <cell r="G789">
            <v>0</v>
          </cell>
          <cell r="H789">
            <v>0</v>
          </cell>
          <cell r="I789">
            <v>17</v>
          </cell>
          <cell r="J789">
            <v>0</v>
          </cell>
          <cell r="K789">
            <v>0</v>
          </cell>
          <cell r="L789">
            <v>5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11</v>
          </cell>
          <cell r="AF789">
            <v>0</v>
          </cell>
          <cell r="AG789" t="str">
            <v/>
          </cell>
          <cell r="AH789" t="str">
            <v/>
          </cell>
          <cell r="AI789" t="str">
            <v/>
          </cell>
          <cell r="AJ789" t="str">
            <v/>
          </cell>
          <cell r="AK789" t="str">
            <v>0.058472</v>
          </cell>
          <cell r="AL789" t="str">
            <v>2</v>
          </cell>
          <cell r="AM789" t="str">
            <v>Q</v>
          </cell>
          <cell r="AN789" t="str">
            <v>M0</v>
          </cell>
          <cell r="AO789" t="str">
            <v>Active(Model)</v>
          </cell>
          <cell r="AP789" t="str">
            <v/>
          </cell>
          <cell r="AQ789" t="str">
            <v/>
          </cell>
          <cell r="AR789" t="str">
            <v>Y</v>
          </cell>
          <cell r="AS789" t="str">
            <v/>
          </cell>
          <cell r="AT789" t="str">
            <v>CS</v>
          </cell>
          <cell r="AU789" t="str">
            <v>Commercial Display_Signage</v>
          </cell>
          <cell r="AV789" t="str">
            <v>CSME</v>
          </cell>
          <cell r="AW789" t="str">
            <v>Commercial_LED LCD Monitor</v>
          </cell>
          <cell r="AX789" t="str">
            <v>CSME32</v>
          </cell>
          <cell r="AY789" t="str">
            <v>Commercial_LED LCD Monitor 32</v>
          </cell>
          <cell r="AZ789" t="str">
            <v>CSME32NN</v>
          </cell>
          <cell r="BA789" t="str">
            <v>Commercial_LED LCD Monitor 32 (MFT WIDE)</v>
          </cell>
        </row>
        <row r="790">
          <cell r="E790" t="str">
            <v>34G600A-B.ATV</v>
          </cell>
          <cell r="F790">
            <v>0</v>
          </cell>
          <cell r="G790">
            <v>0</v>
          </cell>
          <cell r="H790">
            <v>0</v>
          </cell>
          <cell r="I790">
            <v>3</v>
          </cell>
          <cell r="J790">
            <v>1</v>
          </cell>
          <cell r="K790">
            <v>2</v>
          </cell>
          <cell r="L790">
            <v>0</v>
          </cell>
          <cell r="M790">
            <v>2</v>
          </cell>
          <cell r="N790">
            <v>0</v>
          </cell>
          <cell r="O790">
            <v>6</v>
          </cell>
          <cell r="P790">
            <v>2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 t="str">
            <v/>
          </cell>
          <cell r="AH790" t="str">
            <v/>
          </cell>
          <cell r="AI790" t="str">
            <v/>
          </cell>
          <cell r="AJ790" t="str">
            <v/>
          </cell>
          <cell r="AK790" t="str">
            <v>0.129233</v>
          </cell>
          <cell r="AL790" t="str">
            <v>2</v>
          </cell>
          <cell r="AM790" t="str">
            <v>Q</v>
          </cell>
          <cell r="AN790" t="str">
            <v>M0</v>
          </cell>
          <cell r="AO790" t="str">
            <v>Active(Model)</v>
          </cell>
          <cell r="AP790" t="str">
            <v/>
          </cell>
          <cell r="AQ790" t="str">
            <v/>
          </cell>
          <cell r="AR790" t="str">
            <v>Y</v>
          </cell>
          <cell r="AS790" t="str">
            <v/>
          </cell>
          <cell r="AT790" t="str">
            <v>MN</v>
          </cell>
          <cell r="AU790" t="str">
            <v>Monitor</v>
          </cell>
          <cell r="AV790" t="str">
            <v>MNLC</v>
          </cell>
          <cell r="AW790" t="str">
            <v>LCD Monitor</v>
          </cell>
          <cell r="AX790" t="str">
            <v>MNLC34</v>
          </cell>
          <cell r="AY790" t="str">
            <v>LCD Monitor 34</v>
          </cell>
          <cell r="AZ790" t="str">
            <v>MNLC34NW</v>
          </cell>
          <cell r="BA790" t="str">
            <v>LCD Monitor 34(WIDE)</v>
          </cell>
        </row>
        <row r="791">
          <cell r="E791" t="str">
            <v>34GX90SB-W.ATV</v>
          </cell>
          <cell r="F791">
            <v>0</v>
          </cell>
          <cell r="G791">
            <v>0</v>
          </cell>
          <cell r="H791">
            <v>0</v>
          </cell>
          <cell r="I791">
            <v>10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 t="str">
            <v/>
          </cell>
          <cell r="AH791" t="str">
            <v/>
          </cell>
          <cell r="AI791" t="str">
            <v/>
          </cell>
          <cell r="AJ791" t="str">
            <v/>
          </cell>
          <cell r="AK791" t="str">
            <v>0.150406</v>
          </cell>
          <cell r="AL791" t="str">
            <v>2</v>
          </cell>
          <cell r="AM791" t="str">
            <v>Q</v>
          </cell>
          <cell r="AN791" t="str">
            <v>M0</v>
          </cell>
          <cell r="AO791" t="str">
            <v>Active(Model)</v>
          </cell>
          <cell r="AP791" t="str">
            <v/>
          </cell>
          <cell r="AQ791" t="str">
            <v/>
          </cell>
          <cell r="AR791" t="str">
            <v>Y</v>
          </cell>
          <cell r="AS791" t="str">
            <v/>
          </cell>
          <cell r="AT791" t="str">
            <v>MN</v>
          </cell>
          <cell r="AU791" t="str">
            <v>Monitor</v>
          </cell>
          <cell r="AV791" t="str">
            <v>MNOL</v>
          </cell>
          <cell r="AW791" t="str">
            <v>OLED Monitor</v>
          </cell>
          <cell r="AX791" t="str">
            <v>MNOL34</v>
          </cell>
          <cell r="AY791" t="str">
            <v>OLED Monitor 34</v>
          </cell>
          <cell r="AZ791" t="str">
            <v>MNOL34NW</v>
          </cell>
          <cell r="BA791" t="str">
            <v>OLED Monitor 34 (WIDE)</v>
          </cell>
        </row>
        <row r="792">
          <cell r="E792" t="str">
            <v>34U511A-B.ATV</v>
          </cell>
          <cell r="F792">
            <v>0</v>
          </cell>
          <cell r="G792">
            <v>0</v>
          </cell>
          <cell r="H792">
            <v>0</v>
          </cell>
          <cell r="I792">
            <v>3</v>
          </cell>
          <cell r="J792">
            <v>0</v>
          </cell>
          <cell r="K792">
            <v>0</v>
          </cell>
          <cell r="L792">
            <v>0</v>
          </cell>
          <cell r="M792">
            <v>3</v>
          </cell>
          <cell r="N792">
            <v>0</v>
          </cell>
          <cell r="O792">
            <v>1</v>
          </cell>
          <cell r="P792">
            <v>3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 t="str">
            <v/>
          </cell>
          <cell r="AH792" t="str">
            <v/>
          </cell>
          <cell r="AI792" t="str">
            <v/>
          </cell>
          <cell r="AJ792" t="str">
            <v/>
          </cell>
          <cell r="AK792" t="str">
            <v>0.083902</v>
          </cell>
          <cell r="AL792" t="str">
            <v>2</v>
          </cell>
          <cell r="AM792" t="str">
            <v>Q</v>
          </cell>
          <cell r="AN792" t="str">
            <v>M0</v>
          </cell>
          <cell r="AO792" t="str">
            <v>Active(Model)</v>
          </cell>
          <cell r="AP792" t="str">
            <v/>
          </cell>
          <cell r="AQ792" t="str">
            <v/>
          </cell>
          <cell r="AR792" t="str">
            <v>Y</v>
          </cell>
          <cell r="AS792" t="str">
            <v/>
          </cell>
          <cell r="AT792" t="str">
            <v>MN</v>
          </cell>
          <cell r="AU792" t="str">
            <v>Monitor</v>
          </cell>
          <cell r="AV792" t="str">
            <v>MNLC</v>
          </cell>
          <cell r="AW792" t="str">
            <v>LCD Monitor</v>
          </cell>
          <cell r="AX792" t="str">
            <v>MNLC34</v>
          </cell>
          <cell r="AY792" t="str">
            <v>LCD Monitor 34</v>
          </cell>
          <cell r="AZ792" t="str">
            <v>MNLC34NW</v>
          </cell>
          <cell r="BA792" t="str">
            <v>LCD Monitor 34(WIDE)</v>
          </cell>
        </row>
        <row r="793">
          <cell r="E793" t="str">
            <v>39GX90SB-W.ATV</v>
          </cell>
          <cell r="F793">
            <v>0</v>
          </cell>
          <cell r="G793">
            <v>0</v>
          </cell>
          <cell r="H793">
            <v>0</v>
          </cell>
          <cell r="I793">
            <v>3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1</v>
          </cell>
          <cell r="O793">
            <v>0</v>
          </cell>
          <cell r="P793">
            <v>1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 t="str">
            <v/>
          </cell>
          <cell r="AH793" t="str">
            <v/>
          </cell>
          <cell r="AI793" t="str">
            <v/>
          </cell>
          <cell r="AJ793" t="str">
            <v/>
          </cell>
          <cell r="AK793" t="str">
            <v>0.183112</v>
          </cell>
          <cell r="AL793" t="str">
            <v>2</v>
          </cell>
          <cell r="AM793" t="str">
            <v>Q</v>
          </cell>
          <cell r="AN793" t="str">
            <v>M0</v>
          </cell>
          <cell r="AO793" t="str">
            <v>Active(Model)</v>
          </cell>
          <cell r="AP793" t="str">
            <v/>
          </cell>
          <cell r="AQ793" t="str">
            <v/>
          </cell>
          <cell r="AR793" t="str">
            <v>Y</v>
          </cell>
          <cell r="AS793" t="str">
            <v/>
          </cell>
          <cell r="AT793" t="str">
            <v>MN</v>
          </cell>
          <cell r="AU793" t="str">
            <v>Monitor</v>
          </cell>
          <cell r="AV793" t="str">
            <v>MNOL</v>
          </cell>
          <cell r="AW793" t="str">
            <v>OLED Monitor</v>
          </cell>
          <cell r="AX793" t="str">
            <v>MNOL39</v>
          </cell>
          <cell r="AY793" t="str">
            <v>OLED Monitor 39</v>
          </cell>
          <cell r="AZ793" t="str">
            <v>MNOL39NW</v>
          </cell>
          <cell r="BA793" t="str">
            <v>OLED Monitor 39 (WIDE)</v>
          </cell>
        </row>
        <row r="794">
          <cell r="E794" t="str">
            <v>39GX950B-B.ATV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 t="str">
            <v/>
          </cell>
          <cell r="AH794" t="str">
            <v/>
          </cell>
          <cell r="AI794" t="str">
            <v/>
          </cell>
          <cell r="AJ794" t="str">
            <v/>
          </cell>
          <cell r="AK794" t="str">
            <v>0.168192</v>
          </cell>
          <cell r="AL794" t="str">
            <v>2</v>
          </cell>
          <cell r="AM794" t="str">
            <v>Q</v>
          </cell>
          <cell r="AN794" t="str">
            <v>M0</v>
          </cell>
          <cell r="AO794" t="str">
            <v>Active(Model)</v>
          </cell>
          <cell r="AP794" t="str">
            <v/>
          </cell>
          <cell r="AQ794" t="str">
            <v/>
          </cell>
          <cell r="AR794" t="str">
            <v>Y</v>
          </cell>
          <cell r="AS794" t="str">
            <v/>
          </cell>
          <cell r="AT794" t="str">
            <v>MN</v>
          </cell>
          <cell r="AU794" t="str">
            <v>Monitor</v>
          </cell>
          <cell r="AV794" t="str">
            <v>MNOL</v>
          </cell>
          <cell r="AW794" t="str">
            <v>OLED Monitor</v>
          </cell>
          <cell r="AX794" t="str">
            <v>MNOL39</v>
          </cell>
          <cell r="AY794" t="str">
            <v>OLED Monitor 39</v>
          </cell>
          <cell r="AZ794" t="str">
            <v>MNOL39NW</v>
          </cell>
          <cell r="BA794" t="str">
            <v>OLED Monitor 39 (WIDE)</v>
          </cell>
        </row>
        <row r="795">
          <cell r="E795" t="str">
            <v>40U990A-W.ATV</v>
          </cell>
          <cell r="F795">
            <v>0</v>
          </cell>
          <cell r="G795">
            <v>0</v>
          </cell>
          <cell r="H795">
            <v>0</v>
          </cell>
          <cell r="I795">
            <v>3</v>
          </cell>
          <cell r="J795">
            <v>0</v>
          </cell>
          <cell r="K795">
            <v>0</v>
          </cell>
          <cell r="L795">
            <v>0</v>
          </cell>
          <cell r="M795">
            <v>1</v>
          </cell>
          <cell r="N795">
            <v>0</v>
          </cell>
          <cell r="O795">
            <v>0</v>
          </cell>
          <cell r="P795">
            <v>1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1</v>
          </cell>
          <cell r="AF795">
            <v>0</v>
          </cell>
          <cell r="AG795" t="str">
            <v/>
          </cell>
          <cell r="AH795" t="str">
            <v/>
          </cell>
          <cell r="AI795" t="str">
            <v/>
          </cell>
          <cell r="AJ795" t="str">
            <v/>
          </cell>
          <cell r="AK795" t="str">
            <v>0.129445</v>
          </cell>
          <cell r="AL795" t="str">
            <v>2</v>
          </cell>
          <cell r="AM795" t="str">
            <v>Q</v>
          </cell>
          <cell r="AN795" t="str">
            <v>M0</v>
          </cell>
          <cell r="AO795" t="str">
            <v>Active(Model)</v>
          </cell>
          <cell r="AP795" t="str">
            <v/>
          </cell>
          <cell r="AQ795" t="str">
            <v/>
          </cell>
          <cell r="AR795" t="str">
            <v>Y</v>
          </cell>
          <cell r="AS795" t="str">
            <v/>
          </cell>
          <cell r="AT795" t="str">
            <v>MN</v>
          </cell>
          <cell r="AU795" t="str">
            <v>Monitor</v>
          </cell>
          <cell r="AV795" t="str">
            <v>MNLC</v>
          </cell>
          <cell r="AW795" t="str">
            <v>LCD Monitor</v>
          </cell>
          <cell r="AX795" t="str">
            <v>MNLC40</v>
          </cell>
          <cell r="AY795" t="str">
            <v>LCD Monitor 40</v>
          </cell>
          <cell r="AZ795" t="str">
            <v>MNLC40NW</v>
          </cell>
          <cell r="BA795" t="str">
            <v>LCD Monitor 40 (WIDE)</v>
          </cell>
        </row>
        <row r="796">
          <cell r="E796" t="str">
            <v>43LB6550PSA.ATV</v>
          </cell>
          <cell r="F796">
            <v>0</v>
          </cell>
          <cell r="G796">
            <v>0</v>
          </cell>
          <cell r="H796">
            <v>0</v>
          </cell>
          <cell r="I796">
            <v>102</v>
          </cell>
          <cell r="J796">
            <v>0</v>
          </cell>
          <cell r="K796">
            <v>292</v>
          </cell>
          <cell r="L796">
            <v>20</v>
          </cell>
          <cell r="M796">
            <v>78</v>
          </cell>
          <cell r="N796">
            <v>0</v>
          </cell>
          <cell r="O796">
            <v>0</v>
          </cell>
          <cell r="P796">
            <v>78</v>
          </cell>
          <cell r="Q796">
            <v>27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 t="str">
            <v>LCDBASIC</v>
          </cell>
          <cell r="AH796" t="str">
            <v>LCD_Basic</v>
          </cell>
          <cell r="AI796" t="str">
            <v/>
          </cell>
          <cell r="AJ796" t="str">
            <v/>
          </cell>
          <cell r="AK796" t="str">
            <v>0.082680</v>
          </cell>
          <cell r="AL796" t="str">
            <v>2</v>
          </cell>
          <cell r="AM796" t="str">
            <v>Q</v>
          </cell>
          <cell r="AN796" t="str">
            <v>M0</v>
          </cell>
          <cell r="AO796" t="str">
            <v>Active(Model)</v>
          </cell>
          <cell r="AP796" t="str">
            <v/>
          </cell>
          <cell r="AQ796" t="str">
            <v/>
          </cell>
          <cell r="AR796" t="str">
            <v>Y</v>
          </cell>
          <cell r="AS796" t="str">
            <v/>
          </cell>
          <cell r="AT796" t="str">
            <v>TV</v>
          </cell>
          <cell r="AU796" t="str">
            <v>TV</v>
          </cell>
          <cell r="AV796" t="str">
            <v>TVLE</v>
          </cell>
          <cell r="AW796" t="str">
            <v>LED LCD TV</v>
          </cell>
          <cell r="AX796" t="str">
            <v>TVLE43</v>
          </cell>
          <cell r="AY796" t="str">
            <v>LED LCD TV 43</v>
          </cell>
          <cell r="AZ796" t="str">
            <v>TVLE43NF</v>
          </cell>
          <cell r="BA796" t="str">
            <v>LED LCD TV 43 (FHD)</v>
          </cell>
        </row>
        <row r="797">
          <cell r="E797" t="str">
            <v>43LM5750PTC.ATV</v>
          </cell>
          <cell r="F797">
            <v>6</v>
          </cell>
          <cell r="G797">
            <v>0</v>
          </cell>
          <cell r="H797">
            <v>0</v>
          </cell>
          <cell r="I797">
            <v>6</v>
          </cell>
          <cell r="J797">
            <v>0</v>
          </cell>
          <cell r="K797">
            <v>10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 t="str">
            <v>LCDBASIC</v>
          </cell>
          <cell r="AH797" t="str">
            <v>LCD_Basic</v>
          </cell>
          <cell r="AI797" t="str">
            <v/>
          </cell>
          <cell r="AJ797" t="str">
            <v/>
          </cell>
          <cell r="AK797" t="str">
            <v>0.106339</v>
          </cell>
          <cell r="AL797" t="str">
            <v>2</v>
          </cell>
          <cell r="AM797" t="str">
            <v>Q</v>
          </cell>
          <cell r="AN797" t="str">
            <v>M0</v>
          </cell>
          <cell r="AO797" t="str">
            <v>Active(Model)</v>
          </cell>
          <cell r="AP797" t="str">
            <v/>
          </cell>
          <cell r="AQ797" t="str">
            <v/>
          </cell>
          <cell r="AR797" t="str">
            <v>Y</v>
          </cell>
          <cell r="AS797" t="str">
            <v/>
          </cell>
          <cell r="AT797" t="str">
            <v>TV</v>
          </cell>
          <cell r="AU797" t="str">
            <v>TV</v>
          </cell>
          <cell r="AV797" t="str">
            <v>TVLE</v>
          </cell>
          <cell r="AW797" t="str">
            <v>LED LCD TV</v>
          </cell>
          <cell r="AX797" t="str">
            <v>TVLE43</v>
          </cell>
          <cell r="AY797" t="str">
            <v>LED LCD TV 43</v>
          </cell>
          <cell r="AZ797" t="str">
            <v>TVLE43NF</v>
          </cell>
          <cell r="BA797" t="str">
            <v>LED LCD TV 43 (FHD)</v>
          </cell>
        </row>
        <row r="798">
          <cell r="E798" t="str">
            <v>43NU805BPSC.ATVQ</v>
          </cell>
          <cell r="F798">
            <v>0</v>
          </cell>
          <cell r="G798">
            <v>0</v>
          </cell>
          <cell r="H798">
            <v>0</v>
          </cell>
          <cell r="I798">
            <v>23</v>
          </cell>
          <cell r="J798">
            <v>0</v>
          </cell>
          <cell r="K798">
            <v>800</v>
          </cell>
          <cell r="L798">
            <v>0</v>
          </cell>
          <cell r="M798">
            <v>0</v>
          </cell>
          <cell r="N798">
            <v>0</v>
          </cell>
          <cell r="O798">
            <v>1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 t="str">
            <v>LCDBASIC</v>
          </cell>
          <cell r="AH798" t="str">
            <v>LCD_Basic</v>
          </cell>
          <cell r="AI798" t="str">
            <v/>
          </cell>
          <cell r="AJ798" t="str">
            <v/>
          </cell>
          <cell r="AK798" t="str">
            <v>0.070787</v>
          </cell>
          <cell r="AL798" t="str">
            <v>2</v>
          </cell>
          <cell r="AM798" t="str">
            <v>Q</v>
          </cell>
          <cell r="AN798" t="str">
            <v>M0</v>
          </cell>
          <cell r="AO798" t="str">
            <v>Active(Model)</v>
          </cell>
          <cell r="AP798" t="str">
            <v/>
          </cell>
          <cell r="AQ798" t="str">
            <v/>
          </cell>
          <cell r="AR798" t="str">
            <v>Y</v>
          </cell>
          <cell r="AS798" t="str">
            <v/>
          </cell>
          <cell r="AT798" t="str">
            <v>TV</v>
          </cell>
          <cell r="AU798" t="str">
            <v>TV</v>
          </cell>
          <cell r="AV798" t="str">
            <v>TVLE</v>
          </cell>
          <cell r="AW798" t="str">
            <v>LED LCD TV</v>
          </cell>
          <cell r="AX798" t="str">
            <v>TVLE43</v>
          </cell>
          <cell r="AY798" t="str">
            <v>LED LCD TV 43</v>
          </cell>
          <cell r="AZ798" t="str">
            <v>TVLE43OU</v>
          </cell>
          <cell r="BA798" t="str">
            <v>LED LCD TV 43 (O/S, UD)</v>
          </cell>
        </row>
        <row r="799">
          <cell r="E799" t="str">
            <v>43NU835BPSA.ATV</v>
          </cell>
          <cell r="F799">
            <v>0</v>
          </cell>
          <cell r="G799">
            <v>0</v>
          </cell>
          <cell r="H799">
            <v>0</v>
          </cell>
          <cell r="I799">
            <v>200</v>
          </cell>
          <cell r="J799">
            <v>0</v>
          </cell>
          <cell r="K799">
            <v>0</v>
          </cell>
          <cell r="L799">
            <v>0</v>
          </cell>
          <cell r="M799">
            <v>200</v>
          </cell>
          <cell r="N799">
            <v>0</v>
          </cell>
          <cell r="O799">
            <v>0</v>
          </cell>
          <cell r="P799">
            <v>200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 t="str">
            <v>LCDBASIC</v>
          </cell>
          <cell r="AH799" t="str">
            <v>LCD_Basic</v>
          </cell>
          <cell r="AI799" t="str">
            <v/>
          </cell>
          <cell r="AJ799" t="str">
            <v/>
          </cell>
          <cell r="AK799" t="str">
            <v>0.079378</v>
          </cell>
          <cell r="AL799" t="str">
            <v>2</v>
          </cell>
          <cell r="AM799" t="str">
            <v>Q</v>
          </cell>
          <cell r="AN799" t="str">
            <v>M0</v>
          </cell>
          <cell r="AO799" t="str">
            <v>Active(Model)</v>
          </cell>
          <cell r="AP799" t="str">
            <v/>
          </cell>
          <cell r="AQ799" t="str">
            <v/>
          </cell>
          <cell r="AR799" t="str">
            <v>Y</v>
          </cell>
          <cell r="AS799" t="str">
            <v/>
          </cell>
          <cell r="AT799" t="str">
            <v>TV</v>
          </cell>
          <cell r="AU799" t="str">
            <v>TV</v>
          </cell>
          <cell r="AV799" t="str">
            <v>TVLE</v>
          </cell>
          <cell r="AW799" t="str">
            <v>LED LCD TV</v>
          </cell>
          <cell r="AX799" t="str">
            <v>TVLE43</v>
          </cell>
          <cell r="AY799" t="str">
            <v>LED LCD TV 43</v>
          </cell>
          <cell r="AZ799" t="str">
            <v>TVLE43NU</v>
          </cell>
          <cell r="BA799" t="str">
            <v>LED LCD TV 43 (UD)</v>
          </cell>
        </row>
        <row r="800">
          <cell r="E800" t="str">
            <v>43NU855BPSA.ATV</v>
          </cell>
          <cell r="F800">
            <v>143</v>
          </cell>
          <cell r="G800">
            <v>0</v>
          </cell>
          <cell r="H800">
            <v>0</v>
          </cell>
          <cell r="I800">
            <v>176</v>
          </cell>
          <cell r="J800">
            <v>31</v>
          </cell>
          <cell r="K800">
            <v>0</v>
          </cell>
          <cell r="L800">
            <v>0</v>
          </cell>
          <cell r="M800">
            <v>2</v>
          </cell>
          <cell r="N800">
            <v>9</v>
          </cell>
          <cell r="O800">
            <v>82</v>
          </cell>
          <cell r="P800">
            <v>11</v>
          </cell>
          <cell r="Q800">
            <v>246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51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1</v>
          </cell>
          <cell r="AD800">
            <v>6</v>
          </cell>
          <cell r="AE800">
            <v>7</v>
          </cell>
          <cell r="AF800">
            <v>7</v>
          </cell>
          <cell r="AG800" t="str">
            <v>LCDBASIC</v>
          </cell>
          <cell r="AH800" t="str">
            <v>LCD_Basic</v>
          </cell>
          <cell r="AI800" t="str">
            <v/>
          </cell>
          <cell r="AJ800" t="str">
            <v/>
          </cell>
          <cell r="AK800" t="str">
            <v>0.079378</v>
          </cell>
          <cell r="AL800" t="str">
            <v>2</v>
          </cell>
          <cell r="AM800" t="str">
            <v>Q</v>
          </cell>
          <cell r="AN800" t="str">
            <v>M0</v>
          </cell>
          <cell r="AO800" t="str">
            <v>Active(Model)</v>
          </cell>
          <cell r="AP800" t="str">
            <v/>
          </cell>
          <cell r="AQ800" t="str">
            <v/>
          </cell>
          <cell r="AR800" t="str">
            <v>Y</v>
          </cell>
          <cell r="AS800" t="str">
            <v/>
          </cell>
          <cell r="AT800" t="str">
            <v>TV</v>
          </cell>
          <cell r="AU800" t="str">
            <v>TV</v>
          </cell>
          <cell r="AV800" t="str">
            <v>TVLE</v>
          </cell>
          <cell r="AW800" t="str">
            <v>LED LCD TV</v>
          </cell>
          <cell r="AX800" t="str">
            <v>TVLE43</v>
          </cell>
          <cell r="AY800" t="str">
            <v>LED LCD TV 43</v>
          </cell>
          <cell r="AZ800" t="str">
            <v>TVLE43NU</v>
          </cell>
          <cell r="BA800" t="str">
            <v>LED LCD TV 43 (UD)</v>
          </cell>
        </row>
        <row r="801">
          <cell r="E801" t="str">
            <v>43NU85CBPSA.ATV</v>
          </cell>
          <cell r="F801">
            <v>82</v>
          </cell>
          <cell r="G801">
            <v>0</v>
          </cell>
          <cell r="H801">
            <v>0</v>
          </cell>
          <cell r="I801">
            <v>86</v>
          </cell>
          <cell r="J801">
            <v>0</v>
          </cell>
          <cell r="K801">
            <v>25</v>
          </cell>
          <cell r="L801">
            <v>0</v>
          </cell>
          <cell r="M801">
            <v>4</v>
          </cell>
          <cell r="N801">
            <v>0</v>
          </cell>
          <cell r="O801">
            <v>0</v>
          </cell>
          <cell r="P801">
            <v>4</v>
          </cell>
          <cell r="Q801">
            <v>82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 t="str">
            <v/>
          </cell>
          <cell r="AH801" t="str">
            <v/>
          </cell>
          <cell r="AI801" t="str">
            <v/>
          </cell>
          <cell r="AJ801" t="str">
            <v/>
          </cell>
          <cell r="AK801" t="str">
            <v>0.079378</v>
          </cell>
          <cell r="AL801" t="str">
            <v>2</v>
          </cell>
          <cell r="AM801" t="str">
            <v>Q</v>
          </cell>
          <cell r="AN801" t="str">
            <v>M0</v>
          </cell>
          <cell r="AO801" t="str">
            <v>Active(Model)</v>
          </cell>
          <cell r="AP801" t="str">
            <v/>
          </cell>
          <cell r="AQ801" t="str">
            <v/>
          </cell>
          <cell r="AR801" t="str">
            <v>Y</v>
          </cell>
          <cell r="AS801" t="str">
            <v/>
          </cell>
          <cell r="AT801" t="str">
            <v>CS</v>
          </cell>
          <cell r="AU801" t="str">
            <v>Commercial Display_Signage</v>
          </cell>
          <cell r="AV801" t="str">
            <v>CSTE</v>
          </cell>
          <cell r="AW801" t="str">
            <v>Commercial_LED LCD TV</v>
          </cell>
          <cell r="AX801" t="str">
            <v>CSTE43</v>
          </cell>
          <cell r="AY801" t="str">
            <v>Commercial_LED LCD TV 43</v>
          </cell>
          <cell r="AZ801" t="str">
            <v>CSTE43NU</v>
          </cell>
          <cell r="BA801" t="str">
            <v>Commercial_LED LCD TV 43(UHD)</v>
          </cell>
        </row>
        <row r="802">
          <cell r="E802" t="str">
            <v>43NU875BPSC.ATV</v>
          </cell>
          <cell r="F802">
            <v>25</v>
          </cell>
          <cell r="G802">
            <v>0</v>
          </cell>
          <cell r="H802">
            <v>0</v>
          </cell>
          <cell r="I802">
            <v>25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 t="str">
            <v>LCDBASIC</v>
          </cell>
          <cell r="AH802" t="str">
            <v>LCD_Basic</v>
          </cell>
          <cell r="AI802" t="str">
            <v/>
          </cell>
          <cell r="AJ802" t="str">
            <v/>
          </cell>
          <cell r="AK802" t="str">
            <v>0.079378</v>
          </cell>
          <cell r="AL802" t="str">
            <v>2</v>
          </cell>
          <cell r="AM802" t="str">
            <v>Q</v>
          </cell>
          <cell r="AN802" t="str">
            <v>M0</v>
          </cell>
          <cell r="AO802" t="str">
            <v>Active(Model)</v>
          </cell>
          <cell r="AP802" t="str">
            <v/>
          </cell>
          <cell r="AQ802" t="str">
            <v/>
          </cell>
          <cell r="AR802" t="str">
            <v>Y</v>
          </cell>
          <cell r="AS802" t="str">
            <v/>
          </cell>
          <cell r="AT802" t="str">
            <v>TV</v>
          </cell>
          <cell r="AU802" t="str">
            <v>TV</v>
          </cell>
          <cell r="AV802" t="str">
            <v>TVLE</v>
          </cell>
          <cell r="AW802" t="str">
            <v>LED LCD TV</v>
          </cell>
          <cell r="AX802" t="str">
            <v>TVLE43</v>
          </cell>
          <cell r="AY802" t="str">
            <v>LED LCD TV 43</v>
          </cell>
          <cell r="AZ802" t="str">
            <v>TVLE43NU</v>
          </cell>
          <cell r="BA802" t="str">
            <v>LED LCD TV 43 (UD)</v>
          </cell>
        </row>
        <row r="803">
          <cell r="E803" t="str">
            <v>43QNED70BSA.ATV</v>
          </cell>
          <cell r="F803">
            <v>135</v>
          </cell>
          <cell r="G803">
            <v>0</v>
          </cell>
          <cell r="H803">
            <v>0</v>
          </cell>
          <cell r="I803">
            <v>185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104</v>
          </cell>
          <cell r="P803">
            <v>0</v>
          </cell>
          <cell r="Q803">
            <v>201</v>
          </cell>
          <cell r="R803">
            <v>0</v>
          </cell>
          <cell r="S803">
            <v>0</v>
          </cell>
          <cell r="T803">
            <v>0</v>
          </cell>
          <cell r="U803">
            <v>50</v>
          </cell>
          <cell r="V803">
            <v>20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50</v>
          </cell>
          <cell r="AF803">
            <v>0</v>
          </cell>
          <cell r="AG803" t="str">
            <v>LCDBASIC</v>
          </cell>
          <cell r="AH803" t="str">
            <v>LCD_Basic</v>
          </cell>
          <cell r="AI803" t="str">
            <v/>
          </cell>
          <cell r="AJ803" t="str">
            <v/>
          </cell>
          <cell r="AK803" t="str">
            <v>0.079378</v>
          </cell>
          <cell r="AL803" t="str">
            <v>2</v>
          </cell>
          <cell r="AM803" t="str">
            <v>Q</v>
          </cell>
          <cell r="AN803" t="str">
            <v>M0</v>
          </cell>
          <cell r="AO803" t="str">
            <v>Active(Model)</v>
          </cell>
          <cell r="AP803" t="str">
            <v/>
          </cell>
          <cell r="AQ803" t="str">
            <v/>
          </cell>
          <cell r="AR803" t="str">
            <v>Y</v>
          </cell>
          <cell r="AS803" t="str">
            <v/>
          </cell>
          <cell r="AT803" t="str">
            <v>TV</v>
          </cell>
          <cell r="AU803" t="str">
            <v>TV</v>
          </cell>
          <cell r="AV803" t="str">
            <v>TVLE</v>
          </cell>
          <cell r="AW803" t="str">
            <v>LED LCD TV</v>
          </cell>
          <cell r="AX803" t="str">
            <v>TVLE43</v>
          </cell>
          <cell r="AY803" t="str">
            <v>LED LCD TV 43</v>
          </cell>
          <cell r="AZ803" t="str">
            <v>TVLE43NU</v>
          </cell>
          <cell r="BA803" t="str">
            <v>LED LCD TV 43 (UD)</v>
          </cell>
        </row>
        <row r="804">
          <cell r="E804" t="str">
            <v>43QNED80BSA.ATV</v>
          </cell>
          <cell r="F804">
            <v>0</v>
          </cell>
          <cell r="G804">
            <v>0</v>
          </cell>
          <cell r="H804">
            <v>0</v>
          </cell>
          <cell r="I804">
            <v>22</v>
          </cell>
          <cell r="J804">
            <v>28</v>
          </cell>
          <cell r="K804">
            <v>20</v>
          </cell>
          <cell r="L804">
            <v>0</v>
          </cell>
          <cell r="M804">
            <v>0</v>
          </cell>
          <cell r="N804">
            <v>0</v>
          </cell>
          <cell r="O804">
            <v>34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 t="str">
            <v>LCDBASIC</v>
          </cell>
          <cell r="AH804" t="str">
            <v>LCD_Basic</v>
          </cell>
          <cell r="AI804" t="str">
            <v/>
          </cell>
          <cell r="AJ804" t="str">
            <v/>
          </cell>
          <cell r="AK804" t="str">
            <v>0.098875</v>
          </cell>
          <cell r="AL804" t="str">
            <v>2</v>
          </cell>
          <cell r="AM804" t="str">
            <v>Q</v>
          </cell>
          <cell r="AN804" t="str">
            <v>M0</v>
          </cell>
          <cell r="AO804" t="str">
            <v>Active(Model)</v>
          </cell>
          <cell r="AP804" t="str">
            <v/>
          </cell>
          <cell r="AQ804" t="str">
            <v/>
          </cell>
          <cell r="AR804" t="str">
            <v>Y</v>
          </cell>
          <cell r="AS804" t="str">
            <v/>
          </cell>
          <cell r="AT804" t="str">
            <v>TV</v>
          </cell>
          <cell r="AU804" t="str">
            <v>TV</v>
          </cell>
          <cell r="AV804" t="str">
            <v>TVLE</v>
          </cell>
          <cell r="AW804" t="str">
            <v>LED LCD TV</v>
          </cell>
          <cell r="AX804" t="str">
            <v>TVLE43</v>
          </cell>
          <cell r="AY804" t="str">
            <v>LED LCD TV 43</v>
          </cell>
          <cell r="AZ804" t="str">
            <v>TVLE43NU</v>
          </cell>
          <cell r="BA804" t="str">
            <v>LED LCD TV 43 (UD)</v>
          </cell>
        </row>
        <row r="805">
          <cell r="E805" t="str">
            <v>43UA731C0SB.ATVQ</v>
          </cell>
          <cell r="F805">
            <v>0</v>
          </cell>
          <cell r="G805">
            <v>0</v>
          </cell>
          <cell r="H805">
            <v>0</v>
          </cell>
          <cell r="I805">
            <v>1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1</v>
          </cell>
          <cell r="O805">
            <v>0</v>
          </cell>
          <cell r="P805">
            <v>1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 t="str">
            <v/>
          </cell>
          <cell r="AH805" t="str">
            <v/>
          </cell>
          <cell r="AI805" t="str">
            <v/>
          </cell>
          <cell r="AJ805" t="str">
            <v/>
          </cell>
          <cell r="AK805" t="str">
            <v>0.078592</v>
          </cell>
          <cell r="AL805" t="str">
            <v>2</v>
          </cell>
          <cell r="AM805" t="str">
            <v>Q</v>
          </cell>
          <cell r="AN805" t="str">
            <v>M0</v>
          </cell>
          <cell r="AO805" t="str">
            <v>Active(Model)</v>
          </cell>
          <cell r="AP805" t="str">
            <v/>
          </cell>
          <cell r="AQ805" t="str">
            <v/>
          </cell>
          <cell r="AR805" t="str">
            <v>Y</v>
          </cell>
          <cell r="AS805" t="str">
            <v/>
          </cell>
          <cell r="AT805" t="str">
            <v>CS</v>
          </cell>
          <cell r="AU805" t="str">
            <v>Commercial Display_Signage</v>
          </cell>
          <cell r="AV805" t="str">
            <v>CSTE</v>
          </cell>
          <cell r="AW805" t="str">
            <v>Commercial_LED LCD TV</v>
          </cell>
          <cell r="AX805" t="str">
            <v>CSTE43</v>
          </cell>
          <cell r="AY805" t="str">
            <v>Commercial_LED LCD TV 43</v>
          </cell>
          <cell r="AZ805" t="str">
            <v>CSTE43NU</v>
          </cell>
          <cell r="BA805" t="str">
            <v>Commercial_LED LCD TV 43(UHD)</v>
          </cell>
        </row>
        <row r="806">
          <cell r="E806" t="str">
            <v>43UJ660H5SD.ATV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 t="str">
            <v/>
          </cell>
          <cell r="AH806" t="str">
            <v/>
          </cell>
          <cell r="AI806" t="str">
            <v/>
          </cell>
          <cell r="AJ806" t="str">
            <v/>
          </cell>
          <cell r="AK806" t="str">
            <v>0.079378</v>
          </cell>
          <cell r="AL806" t="str">
            <v>2</v>
          </cell>
          <cell r="AM806" t="str">
            <v>Q</v>
          </cell>
          <cell r="AN806" t="str">
            <v>M0</v>
          </cell>
          <cell r="AO806" t="str">
            <v>Active(Model)</v>
          </cell>
          <cell r="AP806" t="str">
            <v/>
          </cell>
          <cell r="AQ806" t="str">
            <v/>
          </cell>
          <cell r="AR806" t="str">
            <v>Y</v>
          </cell>
          <cell r="AS806" t="str">
            <v/>
          </cell>
          <cell r="AT806" t="str">
            <v>HT</v>
          </cell>
          <cell r="AU806" t="str">
            <v>Commercial Display_Hotel</v>
          </cell>
          <cell r="AV806" t="str">
            <v>HTTE</v>
          </cell>
          <cell r="AW806" t="str">
            <v>Commercial(Hotel)_LED LCD TV</v>
          </cell>
          <cell r="AX806" t="str">
            <v>HTTE43</v>
          </cell>
          <cell r="AY806" t="str">
            <v>Commercial(Hotel)_LED LCD TV 43</v>
          </cell>
          <cell r="AZ806" t="str">
            <v>HTTE43NU</v>
          </cell>
          <cell r="BA806" t="str">
            <v>Commercial(Hotel)_LED LCD TV 43(UHD)</v>
          </cell>
        </row>
        <row r="807">
          <cell r="E807" t="str">
            <v>43UK660H0SA.ATV</v>
          </cell>
          <cell r="F807">
            <v>5</v>
          </cell>
          <cell r="G807">
            <v>0</v>
          </cell>
          <cell r="H807">
            <v>0</v>
          </cell>
          <cell r="I807">
            <v>5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 t="str">
            <v/>
          </cell>
          <cell r="AH807" t="str">
            <v/>
          </cell>
          <cell r="AI807" t="str">
            <v/>
          </cell>
          <cell r="AJ807" t="str">
            <v/>
          </cell>
          <cell r="AK807" t="str">
            <v>0.098875</v>
          </cell>
          <cell r="AL807" t="str">
            <v>2</v>
          </cell>
          <cell r="AM807" t="str">
            <v>Q</v>
          </cell>
          <cell r="AN807" t="str">
            <v>M0</v>
          </cell>
          <cell r="AO807" t="str">
            <v>Active(Model)</v>
          </cell>
          <cell r="AP807" t="str">
            <v/>
          </cell>
          <cell r="AQ807" t="str">
            <v/>
          </cell>
          <cell r="AR807" t="str">
            <v>Y</v>
          </cell>
          <cell r="AS807" t="str">
            <v/>
          </cell>
          <cell r="AT807" t="str">
            <v>HT</v>
          </cell>
          <cell r="AU807" t="str">
            <v>Commercial Display_Hotel</v>
          </cell>
          <cell r="AV807" t="str">
            <v>HTTE</v>
          </cell>
          <cell r="AW807" t="str">
            <v>Commercial(Hotel)_LED LCD TV</v>
          </cell>
          <cell r="AX807" t="str">
            <v>HTTE43</v>
          </cell>
          <cell r="AY807" t="str">
            <v>Commercial(Hotel)_LED LCD TV 43</v>
          </cell>
          <cell r="AZ807" t="str">
            <v>HTTE43NU</v>
          </cell>
          <cell r="BA807" t="str">
            <v>Commercial(Hotel)_LED LCD TV 43(UHD)</v>
          </cell>
        </row>
        <row r="808">
          <cell r="E808" t="str">
            <v>43UK760H0SD.ATV</v>
          </cell>
          <cell r="F808">
            <v>0</v>
          </cell>
          <cell r="G808">
            <v>0</v>
          </cell>
          <cell r="H808">
            <v>0</v>
          </cell>
          <cell r="I808">
            <v>89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 t="str">
            <v/>
          </cell>
          <cell r="AH808" t="str">
            <v/>
          </cell>
          <cell r="AI808" t="str">
            <v/>
          </cell>
          <cell r="AJ808" t="str">
            <v/>
          </cell>
          <cell r="AK808" t="str">
            <v>0.098875</v>
          </cell>
          <cell r="AL808" t="str">
            <v>2</v>
          </cell>
          <cell r="AM808" t="str">
            <v>Q</v>
          </cell>
          <cell r="AN808" t="str">
            <v>M0</v>
          </cell>
          <cell r="AO808" t="str">
            <v>Active(Model)</v>
          </cell>
          <cell r="AP808" t="str">
            <v/>
          </cell>
          <cell r="AQ808" t="str">
            <v/>
          </cell>
          <cell r="AR808" t="str">
            <v>Y</v>
          </cell>
          <cell r="AS808" t="str">
            <v/>
          </cell>
          <cell r="AT808" t="str">
            <v>HT</v>
          </cell>
          <cell r="AU808" t="str">
            <v>Commercial Display_Hotel</v>
          </cell>
          <cell r="AV808" t="str">
            <v>HTTE</v>
          </cell>
          <cell r="AW808" t="str">
            <v>Commercial(Hotel)_LED LCD TV</v>
          </cell>
          <cell r="AX808" t="str">
            <v>HTTE43</v>
          </cell>
          <cell r="AY808" t="str">
            <v>Commercial(Hotel)_LED LCD TV 43</v>
          </cell>
          <cell r="AZ808" t="str">
            <v>HTTE43NU</v>
          </cell>
          <cell r="BA808" t="str">
            <v>Commercial(Hotel)_LED LCD TV 43(UHD)</v>
          </cell>
        </row>
        <row r="809">
          <cell r="E809" t="str">
            <v>43UK767H0SA.ATV</v>
          </cell>
          <cell r="F809">
            <v>3</v>
          </cell>
          <cell r="G809">
            <v>0</v>
          </cell>
          <cell r="H809">
            <v>0</v>
          </cell>
          <cell r="I809">
            <v>3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3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 t="str">
            <v/>
          </cell>
          <cell r="AH809" t="str">
            <v/>
          </cell>
          <cell r="AI809" t="str">
            <v/>
          </cell>
          <cell r="AJ809" t="str">
            <v/>
          </cell>
          <cell r="AK809" t="str">
            <v>0.132677</v>
          </cell>
          <cell r="AL809" t="str">
            <v>2</v>
          </cell>
          <cell r="AM809" t="str">
            <v>Q</v>
          </cell>
          <cell r="AN809" t="str">
            <v>M0</v>
          </cell>
          <cell r="AO809" t="str">
            <v>Active(Model)</v>
          </cell>
          <cell r="AP809" t="str">
            <v/>
          </cell>
          <cell r="AQ809" t="str">
            <v/>
          </cell>
          <cell r="AR809" t="str">
            <v>Y</v>
          </cell>
          <cell r="AS809" t="str">
            <v/>
          </cell>
          <cell r="AT809" t="str">
            <v>HT</v>
          </cell>
          <cell r="AU809" t="str">
            <v>Commercial Display_Hotel</v>
          </cell>
          <cell r="AV809" t="str">
            <v>HTTE</v>
          </cell>
          <cell r="AW809" t="str">
            <v>Commercial(Hotel)_LED LCD TV</v>
          </cell>
          <cell r="AX809" t="str">
            <v>HTTE43</v>
          </cell>
          <cell r="AY809" t="str">
            <v>Commercial(Hotel)_LED LCD TV 43</v>
          </cell>
          <cell r="AZ809" t="str">
            <v>HTTE43NU</v>
          </cell>
          <cell r="BA809" t="str">
            <v>Commercial(Hotel)_LED LCD TV 43(UHD)</v>
          </cell>
        </row>
        <row r="810">
          <cell r="E810" t="str">
            <v>43UL3Q-E.ATVQ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1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 t="str">
            <v/>
          </cell>
          <cell r="AH810" t="str">
            <v/>
          </cell>
          <cell r="AI810" t="str">
            <v/>
          </cell>
          <cell r="AJ810" t="str">
            <v/>
          </cell>
          <cell r="AK810" t="str">
            <v>0.077987</v>
          </cell>
          <cell r="AL810" t="str">
            <v>2</v>
          </cell>
          <cell r="AM810" t="str">
            <v>Q</v>
          </cell>
          <cell r="AN810" t="str">
            <v>M0</v>
          </cell>
          <cell r="AO810" t="str">
            <v>Active(Model)</v>
          </cell>
          <cell r="AP810" t="str">
            <v/>
          </cell>
          <cell r="AQ810" t="str">
            <v/>
          </cell>
          <cell r="AR810" t="str">
            <v>Y</v>
          </cell>
          <cell r="AS810" t="str">
            <v/>
          </cell>
          <cell r="AT810" t="str">
            <v>CS</v>
          </cell>
          <cell r="AU810" t="str">
            <v>Commercial Display_Signage</v>
          </cell>
          <cell r="AV810" t="str">
            <v>CSME</v>
          </cell>
          <cell r="AW810" t="str">
            <v>Commercial_LED LCD Monitor</v>
          </cell>
          <cell r="AX810" t="str">
            <v>CSME43</v>
          </cell>
          <cell r="AY810" t="str">
            <v>Commercial_LED LCD Monitor 43</v>
          </cell>
          <cell r="AZ810" t="str">
            <v>CSME43FW</v>
          </cell>
          <cell r="BA810" t="str">
            <v>Commercial_LED LCD Monitor 43 (MFT WIDE)</v>
          </cell>
        </row>
        <row r="811">
          <cell r="E811" t="str">
            <v>43UL5Q-E.ATVQ</v>
          </cell>
          <cell r="F811">
            <v>11</v>
          </cell>
          <cell r="G811">
            <v>0</v>
          </cell>
          <cell r="H811">
            <v>0</v>
          </cell>
          <cell r="I811">
            <v>11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 t="str">
            <v/>
          </cell>
          <cell r="AH811" t="str">
            <v/>
          </cell>
          <cell r="AI811" t="str">
            <v/>
          </cell>
          <cell r="AJ811" t="str">
            <v/>
          </cell>
          <cell r="AK811" t="str">
            <v>0.077987</v>
          </cell>
          <cell r="AL811" t="str">
            <v>2</v>
          </cell>
          <cell r="AM811" t="str">
            <v>Q</v>
          </cell>
          <cell r="AN811" t="str">
            <v>M0</v>
          </cell>
          <cell r="AO811" t="str">
            <v>Active(Model)</v>
          </cell>
          <cell r="AP811" t="str">
            <v/>
          </cell>
          <cell r="AQ811" t="str">
            <v/>
          </cell>
          <cell r="AR811" t="str">
            <v>Y</v>
          </cell>
          <cell r="AS811" t="str">
            <v/>
          </cell>
          <cell r="AT811" t="str">
            <v>CS</v>
          </cell>
          <cell r="AU811" t="str">
            <v>Commercial Display_Signage</v>
          </cell>
          <cell r="AV811" t="str">
            <v>CSME</v>
          </cell>
          <cell r="AW811" t="str">
            <v>Commercial_LED LCD Monitor</v>
          </cell>
          <cell r="AX811" t="str">
            <v>CSME43</v>
          </cell>
          <cell r="AY811" t="str">
            <v>Commercial_LED LCD Monitor 43</v>
          </cell>
          <cell r="AZ811" t="str">
            <v>CSME43FW</v>
          </cell>
          <cell r="BA811" t="str">
            <v>Commercial_LED LCD Monitor 43 (MFT WIDE)</v>
          </cell>
        </row>
        <row r="812">
          <cell r="E812" t="str">
            <v>45GX950A-B.ATV</v>
          </cell>
          <cell r="F812">
            <v>8</v>
          </cell>
          <cell r="G812">
            <v>0</v>
          </cell>
          <cell r="H812">
            <v>0</v>
          </cell>
          <cell r="I812">
            <v>8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 t="str">
            <v/>
          </cell>
          <cell r="AH812" t="str">
            <v/>
          </cell>
          <cell r="AI812" t="str">
            <v/>
          </cell>
          <cell r="AJ812" t="str">
            <v/>
          </cell>
          <cell r="AK812" t="str">
            <v>0.193870</v>
          </cell>
          <cell r="AL812" t="str">
            <v>2</v>
          </cell>
          <cell r="AM812" t="str">
            <v>Q</v>
          </cell>
          <cell r="AN812" t="str">
            <v>M0</v>
          </cell>
          <cell r="AO812" t="str">
            <v>Active(Model)</v>
          </cell>
          <cell r="AP812" t="str">
            <v/>
          </cell>
          <cell r="AQ812" t="str">
            <v/>
          </cell>
          <cell r="AR812" t="str">
            <v>Y</v>
          </cell>
          <cell r="AS812" t="str">
            <v/>
          </cell>
          <cell r="AT812" t="str">
            <v>MN</v>
          </cell>
          <cell r="AU812" t="str">
            <v>Monitor</v>
          </cell>
          <cell r="AV812" t="str">
            <v>MNOL</v>
          </cell>
          <cell r="AW812" t="str">
            <v>OLED Monitor</v>
          </cell>
          <cell r="AX812" t="str">
            <v>MNOL45</v>
          </cell>
          <cell r="AY812" t="str">
            <v>OLED Monitor 45</v>
          </cell>
          <cell r="AZ812" t="str">
            <v>MNOL45NW</v>
          </cell>
          <cell r="BA812" t="str">
            <v>OLED Monitor 45 (WIDE)</v>
          </cell>
        </row>
        <row r="813">
          <cell r="E813" t="str">
            <v>50NU805BPSC.ATVQ</v>
          </cell>
          <cell r="F813">
            <v>0</v>
          </cell>
          <cell r="G813">
            <v>0</v>
          </cell>
          <cell r="H813">
            <v>0</v>
          </cell>
          <cell r="I813">
            <v>111</v>
          </cell>
          <cell r="J813">
            <v>10</v>
          </cell>
          <cell r="K813">
            <v>379</v>
          </cell>
          <cell r="L813">
            <v>0</v>
          </cell>
          <cell r="M813">
            <v>1</v>
          </cell>
          <cell r="N813">
            <v>100</v>
          </cell>
          <cell r="O813">
            <v>450</v>
          </cell>
          <cell r="P813">
            <v>101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 t="str">
            <v>LCDBASIC</v>
          </cell>
          <cell r="AH813" t="str">
            <v>LCD_Basic</v>
          </cell>
          <cell r="AI813" t="str">
            <v/>
          </cell>
          <cell r="AJ813" t="str">
            <v/>
          </cell>
          <cell r="AK813" t="str">
            <v>0.094779</v>
          </cell>
          <cell r="AL813" t="str">
            <v>2</v>
          </cell>
          <cell r="AM813" t="str">
            <v>Q</v>
          </cell>
          <cell r="AN813" t="str">
            <v>M0</v>
          </cell>
          <cell r="AO813" t="str">
            <v>Active(Model)</v>
          </cell>
          <cell r="AP813" t="str">
            <v/>
          </cell>
          <cell r="AQ813" t="str">
            <v/>
          </cell>
          <cell r="AR813" t="str">
            <v>Y</v>
          </cell>
          <cell r="AS813" t="str">
            <v/>
          </cell>
          <cell r="AT813" t="str">
            <v>TV</v>
          </cell>
          <cell r="AU813" t="str">
            <v>TV</v>
          </cell>
          <cell r="AV813" t="str">
            <v>TVLE</v>
          </cell>
          <cell r="AW813" t="str">
            <v>LED LCD TV</v>
          </cell>
          <cell r="AX813" t="str">
            <v>TVLE50</v>
          </cell>
          <cell r="AY813" t="str">
            <v>LED LCD TV 50</v>
          </cell>
          <cell r="AZ813" t="str">
            <v>TVLE50OU</v>
          </cell>
          <cell r="BA813" t="str">
            <v>LED LCD TV 50 (O/S, UD)</v>
          </cell>
        </row>
        <row r="814">
          <cell r="E814" t="str">
            <v>50NU835BPSA.ATV</v>
          </cell>
          <cell r="F814">
            <v>20</v>
          </cell>
          <cell r="G814">
            <v>0</v>
          </cell>
          <cell r="H814">
            <v>0</v>
          </cell>
          <cell r="I814">
            <v>220</v>
          </cell>
          <cell r="J814">
            <v>0</v>
          </cell>
          <cell r="K814">
            <v>0</v>
          </cell>
          <cell r="L814">
            <v>0</v>
          </cell>
          <cell r="M814">
            <v>200</v>
          </cell>
          <cell r="N814">
            <v>0</v>
          </cell>
          <cell r="O814">
            <v>0</v>
          </cell>
          <cell r="P814">
            <v>200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 t="str">
            <v>LCDBASIC</v>
          </cell>
          <cell r="AH814" t="str">
            <v>LCD_Basic</v>
          </cell>
          <cell r="AI814" t="str">
            <v/>
          </cell>
          <cell r="AJ814" t="str">
            <v/>
          </cell>
          <cell r="AK814" t="str">
            <v>0.104481</v>
          </cell>
          <cell r="AL814" t="str">
            <v>2</v>
          </cell>
          <cell r="AM814" t="str">
            <v>Q</v>
          </cell>
          <cell r="AN814" t="str">
            <v>M0</v>
          </cell>
          <cell r="AO814" t="str">
            <v>Active(Model)</v>
          </cell>
          <cell r="AP814" t="str">
            <v/>
          </cell>
          <cell r="AQ814" t="str">
            <v/>
          </cell>
          <cell r="AR814" t="str">
            <v>Y</v>
          </cell>
          <cell r="AS814" t="str">
            <v/>
          </cell>
          <cell r="AT814" t="str">
            <v>TV</v>
          </cell>
          <cell r="AU814" t="str">
            <v>TV</v>
          </cell>
          <cell r="AV814" t="str">
            <v>TVLE</v>
          </cell>
          <cell r="AW814" t="str">
            <v>LED LCD TV</v>
          </cell>
          <cell r="AX814" t="str">
            <v>TVLE50</v>
          </cell>
          <cell r="AY814" t="str">
            <v>LED LCD TV 50</v>
          </cell>
          <cell r="AZ814" t="str">
            <v>TVLE50NU</v>
          </cell>
          <cell r="BA814" t="str">
            <v>LED LCD TV 50 (UD)</v>
          </cell>
        </row>
        <row r="815">
          <cell r="E815" t="str">
            <v>50NU855BPSA.ATV</v>
          </cell>
          <cell r="F815">
            <v>0</v>
          </cell>
          <cell r="G815">
            <v>0</v>
          </cell>
          <cell r="H815">
            <v>0</v>
          </cell>
          <cell r="I815">
            <v>1</v>
          </cell>
          <cell r="J815">
            <v>0</v>
          </cell>
          <cell r="K815">
            <v>19</v>
          </cell>
          <cell r="L815">
            <v>0</v>
          </cell>
          <cell r="M815">
            <v>0</v>
          </cell>
          <cell r="N815">
            <v>1</v>
          </cell>
          <cell r="O815">
            <v>0</v>
          </cell>
          <cell r="P815">
            <v>1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 t="str">
            <v>LCDBASIC</v>
          </cell>
          <cell r="AH815" t="str">
            <v>LCD_Basic</v>
          </cell>
          <cell r="AI815" t="str">
            <v/>
          </cell>
          <cell r="AJ815" t="str">
            <v/>
          </cell>
          <cell r="AK815" t="str">
            <v>0.104481</v>
          </cell>
          <cell r="AL815" t="str">
            <v>2</v>
          </cell>
          <cell r="AM815" t="str">
            <v>Q</v>
          </cell>
          <cell r="AN815" t="str">
            <v>M0</v>
          </cell>
          <cell r="AO815" t="str">
            <v>Active(Model)</v>
          </cell>
          <cell r="AP815" t="str">
            <v/>
          </cell>
          <cell r="AQ815" t="str">
            <v/>
          </cell>
          <cell r="AR815" t="str">
            <v>Y</v>
          </cell>
          <cell r="AS815" t="str">
            <v/>
          </cell>
          <cell r="AT815" t="str">
            <v>TV</v>
          </cell>
          <cell r="AU815" t="str">
            <v>TV</v>
          </cell>
          <cell r="AV815" t="str">
            <v>TVLE</v>
          </cell>
          <cell r="AW815" t="str">
            <v>LED LCD TV</v>
          </cell>
          <cell r="AX815" t="str">
            <v>TVLE50</v>
          </cell>
          <cell r="AY815" t="str">
            <v>LED LCD TV 50</v>
          </cell>
          <cell r="AZ815" t="str">
            <v>TVLE50NU</v>
          </cell>
          <cell r="BA815" t="str">
            <v>LED LCD TV 50 (UD)</v>
          </cell>
        </row>
        <row r="816">
          <cell r="E816" t="str">
            <v>50NU85CBPSA.ATV</v>
          </cell>
          <cell r="F816">
            <v>10</v>
          </cell>
          <cell r="G816">
            <v>0</v>
          </cell>
          <cell r="H816">
            <v>0</v>
          </cell>
          <cell r="I816">
            <v>10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 t="str">
            <v/>
          </cell>
          <cell r="AH816" t="str">
            <v/>
          </cell>
          <cell r="AI816" t="str">
            <v/>
          </cell>
          <cell r="AJ816" t="str">
            <v/>
          </cell>
          <cell r="AK816" t="str">
            <v>0.104481</v>
          </cell>
          <cell r="AL816" t="str">
            <v>2</v>
          </cell>
          <cell r="AM816" t="str">
            <v>Q</v>
          </cell>
          <cell r="AN816" t="str">
            <v>M0</v>
          </cell>
          <cell r="AO816" t="str">
            <v>Active(Model)</v>
          </cell>
          <cell r="AP816" t="str">
            <v/>
          </cell>
          <cell r="AQ816" t="str">
            <v/>
          </cell>
          <cell r="AR816" t="str">
            <v>Y</v>
          </cell>
          <cell r="AS816" t="str">
            <v/>
          </cell>
          <cell r="AT816" t="str">
            <v>CS</v>
          </cell>
          <cell r="AU816" t="str">
            <v>Commercial Display_Signage</v>
          </cell>
          <cell r="AV816" t="str">
            <v>CSTE</v>
          </cell>
          <cell r="AW816" t="str">
            <v>Commercial_LED LCD TV</v>
          </cell>
          <cell r="AX816" t="str">
            <v>CSTE50</v>
          </cell>
          <cell r="AY816" t="str">
            <v>Commercial_LED LCD TV 50</v>
          </cell>
          <cell r="AZ816" t="str">
            <v>CSTE50NU</v>
          </cell>
          <cell r="BA816" t="str">
            <v>Commercial_LED LCD TV 50(UHD)</v>
          </cell>
        </row>
        <row r="817">
          <cell r="E817" t="str">
            <v>50QNED70BSA.ATV</v>
          </cell>
          <cell r="F817">
            <v>30</v>
          </cell>
          <cell r="G817">
            <v>0</v>
          </cell>
          <cell r="H817">
            <v>0</v>
          </cell>
          <cell r="I817">
            <v>30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59</v>
          </cell>
          <cell r="P817">
            <v>0</v>
          </cell>
          <cell r="Q817">
            <v>60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 t="str">
            <v>LCDBASIC</v>
          </cell>
          <cell r="AH817" t="str">
            <v>LCD_Basic</v>
          </cell>
          <cell r="AI817" t="str">
            <v/>
          </cell>
          <cell r="AJ817" t="str">
            <v/>
          </cell>
          <cell r="AK817" t="str">
            <v>0.103883</v>
          </cell>
          <cell r="AL817" t="str">
            <v>2</v>
          </cell>
          <cell r="AM817" t="str">
            <v>Q</v>
          </cell>
          <cell r="AN817" t="str">
            <v>M0</v>
          </cell>
          <cell r="AO817" t="str">
            <v>Active(Model)</v>
          </cell>
          <cell r="AP817" t="str">
            <v/>
          </cell>
          <cell r="AQ817" t="str">
            <v/>
          </cell>
          <cell r="AR817" t="str">
            <v>Y</v>
          </cell>
          <cell r="AS817" t="str">
            <v/>
          </cell>
          <cell r="AT817" t="str">
            <v>TV</v>
          </cell>
          <cell r="AU817" t="str">
            <v>TV</v>
          </cell>
          <cell r="AV817" t="str">
            <v>TVLE</v>
          </cell>
          <cell r="AW817" t="str">
            <v>LED LCD TV</v>
          </cell>
          <cell r="AX817" t="str">
            <v>TVLE50</v>
          </cell>
          <cell r="AY817" t="str">
            <v>LED LCD TV 50</v>
          </cell>
          <cell r="AZ817" t="str">
            <v>TVLE50NU</v>
          </cell>
          <cell r="BA817" t="str">
            <v>LED LCD TV 50 (UD)</v>
          </cell>
        </row>
        <row r="818">
          <cell r="E818" t="str">
            <v>50QNED80BSA.ATV</v>
          </cell>
          <cell r="F818">
            <v>0</v>
          </cell>
          <cell r="G818">
            <v>0</v>
          </cell>
          <cell r="H818">
            <v>0</v>
          </cell>
          <cell r="I818">
            <v>26</v>
          </cell>
          <cell r="J818">
            <v>1</v>
          </cell>
          <cell r="K818">
            <v>27</v>
          </cell>
          <cell r="L818">
            <v>0</v>
          </cell>
          <cell r="M818">
            <v>3</v>
          </cell>
          <cell r="N818">
            <v>0</v>
          </cell>
          <cell r="O818">
            <v>59</v>
          </cell>
          <cell r="P818">
            <v>3</v>
          </cell>
          <cell r="Q818">
            <v>3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 t="str">
            <v>LCDBASIC</v>
          </cell>
          <cell r="AH818" t="str">
            <v>LCD_Basic</v>
          </cell>
          <cell r="AI818" t="str">
            <v/>
          </cell>
          <cell r="AJ818" t="str">
            <v/>
          </cell>
          <cell r="AK818" t="str">
            <v>0.131123</v>
          </cell>
          <cell r="AL818" t="str">
            <v>2</v>
          </cell>
          <cell r="AM818" t="str">
            <v>Q</v>
          </cell>
          <cell r="AN818" t="str">
            <v>M0</v>
          </cell>
          <cell r="AO818" t="str">
            <v>Active(Model)</v>
          </cell>
          <cell r="AP818" t="str">
            <v/>
          </cell>
          <cell r="AQ818" t="str">
            <v/>
          </cell>
          <cell r="AR818" t="str">
            <v>Y</v>
          </cell>
          <cell r="AS818" t="str">
            <v/>
          </cell>
          <cell r="AT818" t="str">
            <v>TV</v>
          </cell>
          <cell r="AU818" t="str">
            <v>TV</v>
          </cell>
          <cell r="AV818" t="str">
            <v>TVLE</v>
          </cell>
          <cell r="AW818" t="str">
            <v>LED LCD TV</v>
          </cell>
          <cell r="AX818" t="str">
            <v>TVLE50</v>
          </cell>
          <cell r="AY818" t="str">
            <v>LED LCD TV 50</v>
          </cell>
          <cell r="AZ818" t="str">
            <v>TVLE50NU</v>
          </cell>
          <cell r="BA818" t="str">
            <v>LED LCD TV 50 (UD)</v>
          </cell>
        </row>
        <row r="819">
          <cell r="E819" t="str">
            <v>50UA841CPSA.ATV</v>
          </cell>
          <cell r="F819">
            <v>1</v>
          </cell>
          <cell r="G819">
            <v>0</v>
          </cell>
          <cell r="H819">
            <v>0</v>
          </cell>
          <cell r="I819">
            <v>1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 t="str">
            <v/>
          </cell>
          <cell r="AH819" t="str">
            <v/>
          </cell>
          <cell r="AI819" t="str">
            <v/>
          </cell>
          <cell r="AJ819" t="str">
            <v/>
          </cell>
          <cell r="AK819" t="str">
            <v>0.131123</v>
          </cell>
          <cell r="AL819" t="str">
            <v>2</v>
          </cell>
          <cell r="AM819" t="str">
            <v>Q</v>
          </cell>
          <cell r="AN819" t="str">
            <v>M0</v>
          </cell>
          <cell r="AO819" t="str">
            <v>Active(Model)</v>
          </cell>
          <cell r="AP819" t="str">
            <v/>
          </cell>
          <cell r="AQ819" t="str">
            <v/>
          </cell>
          <cell r="AR819" t="str">
            <v>Y</v>
          </cell>
          <cell r="AS819" t="str">
            <v/>
          </cell>
          <cell r="AT819" t="str">
            <v>CS</v>
          </cell>
          <cell r="AU819" t="str">
            <v>Commercial Display_Signage</v>
          </cell>
          <cell r="AV819" t="str">
            <v>CSTE</v>
          </cell>
          <cell r="AW819" t="str">
            <v>Commercial_LED LCD TV</v>
          </cell>
          <cell r="AX819" t="str">
            <v>CSTE50</v>
          </cell>
          <cell r="AY819" t="str">
            <v>Commercial_LED LCD TV 50</v>
          </cell>
          <cell r="AZ819" t="str">
            <v>CSTE50NU</v>
          </cell>
          <cell r="BA819" t="str">
            <v>Commercial_LED LCD TV 50(UHD)</v>
          </cell>
        </row>
        <row r="820">
          <cell r="E820" t="str">
            <v>50UJ660H5SD.ATV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 t="str">
            <v/>
          </cell>
          <cell r="AH820" t="str">
            <v/>
          </cell>
          <cell r="AI820" t="str">
            <v/>
          </cell>
          <cell r="AJ820" t="str">
            <v/>
          </cell>
          <cell r="AK820" t="str">
            <v>0.104481</v>
          </cell>
          <cell r="AL820" t="str">
            <v>2</v>
          </cell>
          <cell r="AM820" t="str">
            <v>Q</v>
          </cell>
          <cell r="AN820" t="str">
            <v>M0</v>
          </cell>
          <cell r="AO820" t="str">
            <v>Active(Model)</v>
          </cell>
          <cell r="AP820" t="str">
            <v/>
          </cell>
          <cell r="AQ820" t="str">
            <v/>
          </cell>
          <cell r="AR820" t="str">
            <v>Y</v>
          </cell>
          <cell r="AS820" t="str">
            <v/>
          </cell>
          <cell r="AT820" t="str">
            <v>HT</v>
          </cell>
          <cell r="AU820" t="str">
            <v>Commercial Display_Hotel</v>
          </cell>
          <cell r="AV820" t="str">
            <v>HTTE</v>
          </cell>
          <cell r="AW820" t="str">
            <v>Commercial(Hotel)_LED LCD TV</v>
          </cell>
          <cell r="AX820" t="str">
            <v>HTTE50</v>
          </cell>
          <cell r="AY820" t="str">
            <v>Commercial(Hotel)_LED LCD TV 50</v>
          </cell>
          <cell r="AZ820" t="str">
            <v>HTTE50NU</v>
          </cell>
          <cell r="BA820" t="str">
            <v>Commercial(Hotel)_LED LCD TV 50(UHD)</v>
          </cell>
        </row>
        <row r="821">
          <cell r="E821" t="str">
            <v>50UK660H0SA.ATV</v>
          </cell>
          <cell r="F821">
            <v>27</v>
          </cell>
          <cell r="G821">
            <v>0</v>
          </cell>
          <cell r="H821">
            <v>0</v>
          </cell>
          <cell r="I821">
            <v>27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 t="str">
            <v/>
          </cell>
          <cell r="AH821" t="str">
            <v/>
          </cell>
          <cell r="AI821" t="str">
            <v/>
          </cell>
          <cell r="AJ821" t="str">
            <v/>
          </cell>
          <cell r="AK821" t="str">
            <v>0.131123</v>
          </cell>
          <cell r="AL821" t="str">
            <v>2</v>
          </cell>
          <cell r="AM821" t="str">
            <v>Q</v>
          </cell>
          <cell r="AN821" t="str">
            <v>M0</v>
          </cell>
          <cell r="AO821" t="str">
            <v>Active(Model)</v>
          </cell>
          <cell r="AP821" t="str">
            <v/>
          </cell>
          <cell r="AQ821" t="str">
            <v/>
          </cell>
          <cell r="AR821" t="str">
            <v>Y</v>
          </cell>
          <cell r="AS821" t="str">
            <v/>
          </cell>
          <cell r="AT821" t="str">
            <v>HT</v>
          </cell>
          <cell r="AU821" t="str">
            <v>Commercial Display_Hotel</v>
          </cell>
          <cell r="AV821" t="str">
            <v>HTTE</v>
          </cell>
          <cell r="AW821" t="str">
            <v>Commercial(Hotel)_LED LCD TV</v>
          </cell>
          <cell r="AX821" t="str">
            <v>HTTE50</v>
          </cell>
          <cell r="AY821" t="str">
            <v>Commercial(Hotel)_LED LCD TV 50</v>
          </cell>
          <cell r="AZ821" t="str">
            <v>HTTE50NU</v>
          </cell>
          <cell r="BA821" t="str">
            <v>Commercial(Hotel)_LED LCD TV 50(UHD)</v>
          </cell>
        </row>
        <row r="822">
          <cell r="E822" t="str">
            <v>50UK760H0SD.ATV</v>
          </cell>
          <cell r="F822">
            <v>34</v>
          </cell>
          <cell r="G822">
            <v>0</v>
          </cell>
          <cell r="H822">
            <v>0</v>
          </cell>
          <cell r="I822">
            <v>34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 t="str">
            <v/>
          </cell>
          <cell r="AH822" t="str">
            <v/>
          </cell>
          <cell r="AI822" t="str">
            <v/>
          </cell>
          <cell r="AJ822" t="str">
            <v/>
          </cell>
          <cell r="AK822" t="str">
            <v>0.143127</v>
          </cell>
          <cell r="AL822" t="str">
            <v>2</v>
          </cell>
          <cell r="AM822" t="str">
            <v>Q</v>
          </cell>
          <cell r="AN822" t="str">
            <v>M0</v>
          </cell>
          <cell r="AO822" t="str">
            <v>Active(Model)</v>
          </cell>
          <cell r="AP822" t="str">
            <v/>
          </cell>
          <cell r="AQ822" t="str">
            <v/>
          </cell>
          <cell r="AR822" t="str">
            <v>Y</v>
          </cell>
          <cell r="AS822" t="str">
            <v/>
          </cell>
          <cell r="AT822" t="str">
            <v>HT</v>
          </cell>
          <cell r="AU822" t="str">
            <v>Commercial Display_Hotel</v>
          </cell>
          <cell r="AV822" t="str">
            <v>HTTE</v>
          </cell>
          <cell r="AW822" t="str">
            <v>Commercial(Hotel)_LED LCD TV</v>
          </cell>
          <cell r="AX822" t="str">
            <v>HTTE50</v>
          </cell>
          <cell r="AY822" t="str">
            <v>Commercial(Hotel)_LED LCD TV 50</v>
          </cell>
          <cell r="AZ822" t="str">
            <v>HTTE50NU</v>
          </cell>
          <cell r="BA822" t="str">
            <v>Commercial(Hotel)_LED LCD TV 50(UHD)</v>
          </cell>
        </row>
        <row r="823">
          <cell r="E823" t="str">
            <v>50UK767H0SA.ATV</v>
          </cell>
          <cell r="F823">
            <v>1</v>
          </cell>
          <cell r="G823">
            <v>0</v>
          </cell>
          <cell r="H823">
            <v>0</v>
          </cell>
          <cell r="I823">
            <v>1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 t="str">
            <v/>
          </cell>
          <cell r="AH823" t="str">
            <v/>
          </cell>
          <cell r="AI823" t="str">
            <v/>
          </cell>
          <cell r="AJ823" t="str">
            <v/>
          </cell>
          <cell r="AK823" t="str">
            <v>0.176950</v>
          </cell>
          <cell r="AL823" t="str">
            <v>2</v>
          </cell>
          <cell r="AM823" t="str">
            <v>Q</v>
          </cell>
          <cell r="AN823" t="str">
            <v>M0</v>
          </cell>
          <cell r="AO823" t="str">
            <v>Active(Model)</v>
          </cell>
          <cell r="AP823" t="str">
            <v/>
          </cell>
          <cell r="AQ823" t="str">
            <v/>
          </cell>
          <cell r="AR823" t="str">
            <v>Y</v>
          </cell>
          <cell r="AS823" t="str">
            <v/>
          </cell>
          <cell r="AT823" t="str">
            <v>HT</v>
          </cell>
          <cell r="AU823" t="str">
            <v>Commercial Display_Hotel</v>
          </cell>
          <cell r="AV823" t="str">
            <v>HTTE</v>
          </cell>
          <cell r="AW823" t="str">
            <v>Commercial(Hotel)_LED LCD TV</v>
          </cell>
          <cell r="AX823" t="str">
            <v>HTTE50</v>
          </cell>
          <cell r="AY823" t="str">
            <v>Commercial(Hotel)_LED LCD TV 50</v>
          </cell>
          <cell r="AZ823" t="str">
            <v>HTTE50NU</v>
          </cell>
          <cell r="BA823" t="str">
            <v>Commercial(Hotel)_LED LCD TV 50(UHD)</v>
          </cell>
        </row>
        <row r="824">
          <cell r="E824" t="str">
            <v>50UL3Q-E.ATVQ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 t="str">
            <v/>
          </cell>
          <cell r="AH824" t="str">
            <v/>
          </cell>
          <cell r="AI824" t="str">
            <v/>
          </cell>
          <cell r="AJ824" t="str">
            <v/>
          </cell>
          <cell r="AK824" t="str">
            <v>0.112548</v>
          </cell>
          <cell r="AL824" t="str">
            <v>2</v>
          </cell>
          <cell r="AM824" t="str">
            <v>Q</v>
          </cell>
          <cell r="AN824" t="str">
            <v>M0</v>
          </cell>
          <cell r="AO824" t="str">
            <v>Active(Model)</v>
          </cell>
          <cell r="AP824" t="str">
            <v/>
          </cell>
          <cell r="AQ824" t="str">
            <v/>
          </cell>
          <cell r="AR824" t="str">
            <v>Y</v>
          </cell>
          <cell r="AS824" t="str">
            <v/>
          </cell>
          <cell r="AT824" t="str">
            <v>CS</v>
          </cell>
          <cell r="AU824" t="str">
            <v>Commercial Display_Signage</v>
          </cell>
          <cell r="AV824" t="str">
            <v>CSME</v>
          </cell>
          <cell r="AW824" t="str">
            <v>Commercial_LED LCD Monitor</v>
          </cell>
          <cell r="AX824" t="str">
            <v>CSME50</v>
          </cell>
          <cell r="AY824" t="str">
            <v>Commercial_LED LCD Monitor 50</v>
          </cell>
          <cell r="AZ824" t="str">
            <v>CSME50FW</v>
          </cell>
          <cell r="BA824" t="str">
            <v>Commercial_LED LCD Monitor 50 (MFT WIDE)</v>
          </cell>
        </row>
        <row r="825">
          <cell r="E825" t="str">
            <v>50UL5Q-M.ATVQ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 t="str">
            <v/>
          </cell>
          <cell r="AH825" t="str">
            <v/>
          </cell>
          <cell r="AI825" t="str">
            <v/>
          </cell>
          <cell r="AJ825" t="str">
            <v/>
          </cell>
          <cell r="AK825" t="str">
            <v>0.112548</v>
          </cell>
          <cell r="AL825" t="str">
            <v>2</v>
          </cell>
          <cell r="AM825" t="str">
            <v>Q</v>
          </cell>
          <cell r="AN825" t="str">
            <v>M0</v>
          </cell>
          <cell r="AO825" t="str">
            <v>Active(Model)</v>
          </cell>
          <cell r="AP825" t="str">
            <v/>
          </cell>
          <cell r="AQ825" t="str">
            <v/>
          </cell>
          <cell r="AR825" t="str">
            <v>Y</v>
          </cell>
          <cell r="AS825" t="str">
            <v/>
          </cell>
          <cell r="AT825" t="str">
            <v>CS</v>
          </cell>
          <cell r="AU825" t="str">
            <v>Commercial Display_Signage</v>
          </cell>
          <cell r="AV825" t="str">
            <v>CSME</v>
          </cell>
          <cell r="AW825" t="str">
            <v>Commercial_LED LCD Monitor</v>
          </cell>
          <cell r="AX825" t="str">
            <v>CSME50</v>
          </cell>
          <cell r="AY825" t="str">
            <v>Commercial_LED LCD Monitor 50</v>
          </cell>
          <cell r="AZ825" t="str">
            <v>CSME50FW</v>
          </cell>
          <cell r="BA825" t="str">
            <v>Commercial_LED LCD Monitor 50 (MFT WIDE)</v>
          </cell>
        </row>
        <row r="826">
          <cell r="E826" t="str">
            <v>55NU805BPSB.ATVQ</v>
          </cell>
          <cell r="F826">
            <v>0</v>
          </cell>
          <cell r="G826">
            <v>0</v>
          </cell>
          <cell r="H826">
            <v>0</v>
          </cell>
          <cell r="I826">
            <v>22</v>
          </cell>
          <cell r="J826">
            <v>3</v>
          </cell>
          <cell r="K826">
            <v>1237</v>
          </cell>
          <cell r="L826">
            <v>0</v>
          </cell>
          <cell r="M826">
            <v>3</v>
          </cell>
          <cell r="N826">
            <v>9</v>
          </cell>
          <cell r="O826">
            <v>1</v>
          </cell>
          <cell r="P826">
            <v>12</v>
          </cell>
          <cell r="Q826">
            <v>450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 t="str">
            <v>LCDPREMIUM</v>
          </cell>
          <cell r="AH826" t="str">
            <v>LCD_Premium</v>
          </cell>
          <cell r="AI826" t="str">
            <v/>
          </cell>
          <cell r="AJ826" t="str">
            <v/>
          </cell>
          <cell r="AK826" t="str">
            <v>0.143344</v>
          </cell>
          <cell r="AL826" t="str">
            <v>2</v>
          </cell>
          <cell r="AM826" t="str">
            <v>Q</v>
          </cell>
          <cell r="AN826" t="str">
            <v>M0</v>
          </cell>
          <cell r="AO826" t="str">
            <v>Active(Model)</v>
          </cell>
          <cell r="AP826" t="str">
            <v/>
          </cell>
          <cell r="AQ826" t="str">
            <v/>
          </cell>
          <cell r="AR826" t="str">
            <v>Y</v>
          </cell>
          <cell r="AS826" t="str">
            <v/>
          </cell>
          <cell r="AT826" t="str">
            <v>TV</v>
          </cell>
          <cell r="AU826" t="str">
            <v>TV</v>
          </cell>
          <cell r="AV826" t="str">
            <v>TVLE</v>
          </cell>
          <cell r="AW826" t="str">
            <v>LED LCD TV</v>
          </cell>
          <cell r="AX826" t="str">
            <v>TVLE55</v>
          </cell>
          <cell r="AY826" t="str">
            <v>LED LCD TV 55</v>
          </cell>
          <cell r="AZ826" t="str">
            <v>TVLE55OU</v>
          </cell>
          <cell r="BA826" t="str">
            <v>LED LCD TV 55 (O/S, UD)</v>
          </cell>
        </row>
        <row r="827">
          <cell r="E827" t="str">
            <v>55NU835BPSA.ATV</v>
          </cell>
          <cell r="F827">
            <v>0</v>
          </cell>
          <cell r="G827">
            <v>0</v>
          </cell>
          <cell r="H827">
            <v>0</v>
          </cell>
          <cell r="I827">
            <v>123</v>
          </cell>
          <cell r="J827">
            <v>0</v>
          </cell>
          <cell r="K827">
            <v>377</v>
          </cell>
          <cell r="L827">
            <v>0</v>
          </cell>
          <cell r="M827">
            <v>123</v>
          </cell>
          <cell r="N827">
            <v>0</v>
          </cell>
          <cell r="O827">
            <v>0</v>
          </cell>
          <cell r="P827">
            <v>123</v>
          </cell>
          <cell r="Q827">
            <v>1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 t="str">
            <v>LCDPREMIUM</v>
          </cell>
          <cell r="AH827" t="str">
            <v>LCD_Premium</v>
          </cell>
          <cell r="AI827" t="str">
            <v/>
          </cell>
          <cell r="AJ827" t="str">
            <v/>
          </cell>
          <cell r="AK827" t="str">
            <v>0.130990</v>
          </cell>
          <cell r="AL827" t="str">
            <v>2</v>
          </cell>
          <cell r="AM827" t="str">
            <v>Q</v>
          </cell>
          <cell r="AN827" t="str">
            <v>M0</v>
          </cell>
          <cell r="AO827" t="str">
            <v>Active(Model)</v>
          </cell>
          <cell r="AP827" t="str">
            <v/>
          </cell>
          <cell r="AQ827" t="str">
            <v/>
          </cell>
          <cell r="AR827" t="str">
            <v>Y</v>
          </cell>
          <cell r="AS827" t="str">
            <v/>
          </cell>
          <cell r="AT827" t="str">
            <v>TV</v>
          </cell>
          <cell r="AU827" t="str">
            <v>TV</v>
          </cell>
          <cell r="AV827" t="str">
            <v>TVLE</v>
          </cell>
          <cell r="AW827" t="str">
            <v>LED LCD TV</v>
          </cell>
          <cell r="AX827" t="str">
            <v>TVLE55</v>
          </cell>
          <cell r="AY827" t="str">
            <v>LED LCD TV 55</v>
          </cell>
          <cell r="AZ827" t="str">
            <v>TVLE55NU</v>
          </cell>
          <cell r="BA827" t="str">
            <v>LED LCD TV 55 (UD)</v>
          </cell>
        </row>
        <row r="828">
          <cell r="E828" t="str">
            <v>55NU855BPSA.ATV</v>
          </cell>
          <cell r="F828">
            <v>0</v>
          </cell>
          <cell r="G828">
            <v>0</v>
          </cell>
          <cell r="H828">
            <v>0</v>
          </cell>
          <cell r="I828">
            <v>26</v>
          </cell>
          <cell r="J828">
            <v>58</v>
          </cell>
          <cell r="K828">
            <v>206</v>
          </cell>
          <cell r="L828">
            <v>0</v>
          </cell>
          <cell r="M828">
            <v>1</v>
          </cell>
          <cell r="N828">
            <v>0</v>
          </cell>
          <cell r="O828">
            <v>314</v>
          </cell>
          <cell r="P828">
            <v>1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107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 t="str">
            <v>LCDPREMIUM</v>
          </cell>
          <cell r="AH828" t="str">
            <v>LCD_Premium</v>
          </cell>
          <cell r="AI828" t="str">
            <v/>
          </cell>
          <cell r="AJ828" t="str">
            <v/>
          </cell>
          <cell r="AK828" t="str">
            <v>0.130990</v>
          </cell>
          <cell r="AL828" t="str">
            <v>2</v>
          </cell>
          <cell r="AM828" t="str">
            <v>Q</v>
          </cell>
          <cell r="AN828" t="str">
            <v>M0</v>
          </cell>
          <cell r="AO828" t="str">
            <v>Active(Model)</v>
          </cell>
          <cell r="AP828" t="str">
            <v/>
          </cell>
          <cell r="AQ828" t="str">
            <v/>
          </cell>
          <cell r="AR828" t="str">
            <v>Y</v>
          </cell>
          <cell r="AS828" t="str">
            <v/>
          </cell>
          <cell r="AT828" t="str">
            <v>TV</v>
          </cell>
          <cell r="AU828" t="str">
            <v>TV</v>
          </cell>
          <cell r="AV828" t="str">
            <v>TVLE</v>
          </cell>
          <cell r="AW828" t="str">
            <v>LED LCD TV</v>
          </cell>
          <cell r="AX828" t="str">
            <v>TVLE55</v>
          </cell>
          <cell r="AY828" t="str">
            <v>LED LCD TV 55</v>
          </cell>
          <cell r="AZ828" t="str">
            <v>TVLE55NU</v>
          </cell>
          <cell r="BA828" t="str">
            <v>LED LCD TV 55 (UD)</v>
          </cell>
        </row>
        <row r="829">
          <cell r="E829" t="str">
            <v>55NU85CBPSA.ATV</v>
          </cell>
          <cell r="F829">
            <v>6</v>
          </cell>
          <cell r="G829">
            <v>0</v>
          </cell>
          <cell r="H829">
            <v>0</v>
          </cell>
          <cell r="I829">
            <v>6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2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 t="str">
            <v/>
          </cell>
          <cell r="AH829" t="str">
            <v/>
          </cell>
          <cell r="AI829" t="str">
            <v/>
          </cell>
          <cell r="AJ829" t="str">
            <v/>
          </cell>
          <cell r="AK829" t="str">
            <v>0.130990</v>
          </cell>
          <cell r="AL829" t="str">
            <v>2</v>
          </cell>
          <cell r="AM829" t="str">
            <v>Q</v>
          </cell>
          <cell r="AN829" t="str">
            <v>M0</v>
          </cell>
          <cell r="AO829" t="str">
            <v>Active(Model)</v>
          </cell>
          <cell r="AP829" t="str">
            <v/>
          </cell>
          <cell r="AQ829" t="str">
            <v/>
          </cell>
          <cell r="AR829" t="str">
            <v>Y</v>
          </cell>
          <cell r="AS829" t="str">
            <v/>
          </cell>
          <cell r="AT829" t="str">
            <v>CS</v>
          </cell>
          <cell r="AU829" t="str">
            <v>Commercial Display_Signage</v>
          </cell>
          <cell r="AV829" t="str">
            <v>CSTE</v>
          </cell>
          <cell r="AW829" t="str">
            <v>Commercial_LED LCD TV</v>
          </cell>
          <cell r="AX829" t="str">
            <v>CSTE55</v>
          </cell>
          <cell r="AY829" t="str">
            <v>Commercial_LED LCD TV 55</v>
          </cell>
          <cell r="AZ829" t="str">
            <v>CSTE55NU</v>
          </cell>
          <cell r="BA829" t="str">
            <v>Commercial_LED LCD TV 55(UHD)</v>
          </cell>
        </row>
        <row r="830">
          <cell r="E830" t="str">
            <v>55NU875BPSC.ATV</v>
          </cell>
          <cell r="F830">
            <v>106</v>
          </cell>
          <cell r="G830">
            <v>0</v>
          </cell>
          <cell r="H830">
            <v>0</v>
          </cell>
          <cell r="I830">
            <v>106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 t="str">
            <v>LCDPREMIUM</v>
          </cell>
          <cell r="AH830" t="str">
            <v>LCD_Premium</v>
          </cell>
          <cell r="AI830" t="str">
            <v/>
          </cell>
          <cell r="AJ830" t="str">
            <v/>
          </cell>
          <cell r="AK830" t="str">
            <v>0.130990</v>
          </cell>
          <cell r="AL830" t="str">
            <v>2</v>
          </cell>
          <cell r="AM830" t="str">
            <v>Q</v>
          </cell>
          <cell r="AN830" t="str">
            <v>M0</v>
          </cell>
          <cell r="AO830" t="str">
            <v>Active(Model)</v>
          </cell>
          <cell r="AP830" t="str">
            <v/>
          </cell>
          <cell r="AQ830" t="str">
            <v/>
          </cell>
          <cell r="AR830" t="str">
            <v>Y</v>
          </cell>
          <cell r="AS830" t="str">
            <v/>
          </cell>
          <cell r="AT830" t="str">
            <v>TV</v>
          </cell>
          <cell r="AU830" t="str">
            <v>TV</v>
          </cell>
          <cell r="AV830" t="str">
            <v>TVLE</v>
          </cell>
          <cell r="AW830" t="str">
            <v>LED LCD TV</v>
          </cell>
          <cell r="AX830" t="str">
            <v>TVLE55</v>
          </cell>
          <cell r="AY830" t="str">
            <v>LED LCD TV 55</v>
          </cell>
          <cell r="AZ830" t="str">
            <v>TVLE55NU</v>
          </cell>
          <cell r="BA830" t="str">
            <v>LED LCD TV 55 (UD)</v>
          </cell>
        </row>
        <row r="831">
          <cell r="E831" t="str">
            <v>55PK640S0SB.ATVQ</v>
          </cell>
          <cell r="F831">
            <v>21</v>
          </cell>
          <cell r="G831">
            <v>0</v>
          </cell>
          <cell r="H831">
            <v>0</v>
          </cell>
          <cell r="I831">
            <v>21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 t="str">
            <v/>
          </cell>
          <cell r="AH831" t="str">
            <v/>
          </cell>
          <cell r="AI831" t="str">
            <v/>
          </cell>
          <cell r="AJ831" t="str">
            <v/>
          </cell>
          <cell r="AK831" t="str">
            <v>0.135157</v>
          </cell>
          <cell r="AL831" t="str">
            <v>2</v>
          </cell>
          <cell r="AM831" t="str">
            <v>Q</v>
          </cell>
          <cell r="AN831" t="str">
            <v>M0</v>
          </cell>
          <cell r="AO831" t="str">
            <v>Active(Model)</v>
          </cell>
          <cell r="AP831" t="str">
            <v/>
          </cell>
          <cell r="AQ831" t="str">
            <v/>
          </cell>
          <cell r="AR831" t="str">
            <v>Y</v>
          </cell>
          <cell r="AS831" t="str">
            <v/>
          </cell>
          <cell r="AT831" t="str">
            <v>CS</v>
          </cell>
          <cell r="AU831" t="str">
            <v>Commercial Display_Signage</v>
          </cell>
          <cell r="AV831" t="str">
            <v>CSTE</v>
          </cell>
          <cell r="AW831" t="str">
            <v>Commercial_LED LCD TV</v>
          </cell>
          <cell r="AX831" t="str">
            <v>CSTE55</v>
          </cell>
          <cell r="AY831" t="str">
            <v>Commercial_LED LCD TV 55</v>
          </cell>
          <cell r="AZ831" t="str">
            <v>CSTE55NU</v>
          </cell>
          <cell r="BA831" t="str">
            <v>Commercial_LED LCD TV 55(UHD)</v>
          </cell>
        </row>
        <row r="832">
          <cell r="E832" t="str">
            <v>55QNED70BSA.ATV</v>
          </cell>
          <cell r="F832">
            <v>964</v>
          </cell>
          <cell r="G832">
            <v>0</v>
          </cell>
          <cell r="H832">
            <v>0</v>
          </cell>
          <cell r="I832">
            <v>965</v>
          </cell>
          <cell r="J832">
            <v>1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120</v>
          </cell>
          <cell r="P832">
            <v>0</v>
          </cell>
          <cell r="Q832">
            <v>101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1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1</v>
          </cell>
          <cell r="AE832">
            <v>150</v>
          </cell>
          <cell r="AF832">
            <v>1</v>
          </cell>
          <cell r="AG832" t="str">
            <v>LCDPREMIUM</v>
          </cell>
          <cell r="AH832" t="str">
            <v>LCD_Premium</v>
          </cell>
          <cell r="AI832" t="str">
            <v/>
          </cell>
          <cell r="AJ832" t="str">
            <v/>
          </cell>
          <cell r="AK832" t="str">
            <v>0.130990</v>
          </cell>
          <cell r="AL832" t="str">
            <v>2</v>
          </cell>
          <cell r="AM832" t="str">
            <v>Q</v>
          </cell>
          <cell r="AN832" t="str">
            <v>M0</v>
          </cell>
          <cell r="AO832" t="str">
            <v>Active(Model)</v>
          </cell>
          <cell r="AP832" t="str">
            <v/>
          </cell>
          <cell r="AQ832" t="str">
            <v/>
          </cell>
          <cell r="AR832" t="str">
            <v>Y</v>
          </cell>
          <cell r="AS832" t="str">
            <v/>
          </cell>
          <cell r="AT832" t="str">
            <v>TV</v>
          </cell>
          <cell r="AU832" t="str">
            <v>TV</v>
          </cell>
          <cell r="AV832" t="str">
            <v>TVLE</v>
          </cell>
          <cell r="AW832" t="str">
            <v>LED LCD TV</v>
          </cell>
          <cell r="AX832" t="str">
            <v>TVLE55</v>
          </cell>
          <cell r="AY832" t="str">
            <v>LED LCD TV 55</v>
          </cell>
          <cell r="AZ832" t="str">
            <v>TVLE55NU</v>
          </cell>
          <cell r="BA832" t="str">
            <v>LED LCD TV 55 (UD)</v>
          </cell>
        </row>
        <row r="833">
          <cell r="E833" t="str">
            <v>55QNED80BSA.ATV</v>
          </cell>
          <cell r="F833">
            <v>0</v>
          </cell>
          <cell r="G833">
            <v>0</v>
          </cell>
          <cell r="H833">
            <v>0</v>
          </cell>
          <cell r="I833">
            <v>36</v>
          </cell>
          <cell r="J833">
            <v>90</v>
          </cell>
          <cell r="K833">
            <v>263</v>
          </cell>
          <cell r="L833">
            <v>0</v>
          </cell>
          <cell r="M833">
            <v>5</v>
          </cell>
          <cell r="N833">
            <v>11</v>
          </cell>
          <cell r="O833">
            <v>127</v>
          </cell>
          <cell r="P833">
            <v>16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 t="str">
            <v>LCDPREMIUM</v>
          </cell>
          <cell r="AH833" t="str">
            <v>LCD_Premium</v>
          </cell>
          <cell r="AI833" t="str">
            <v/>
          </cell>
          <cell r="AJ833" t="str">
            <v/>
          </cell>
          <cell r="AK833" t="str">
            <v>0.163186</v>
          </cell>
          <cell r="AL833" t="str">
            <v>2</v>
          </cell>
          <cell r="AM833" t="str">
            <v>Q</v>
          </cell>
          <cell r="AN833" t="str">
            <v>M0</v>
          </cell>
          <cell r="AO833" t="str">
            <v>Active(Model)</v>
          </cell>
          <cell r="AP833" t="str">
            <v/>
          </cell>
          <cell r="AQ833" t="str">
            <v/>
          </cell>
          <cell r="AR833" t="str">
            <v>Y</v>
          </cell>
          <cell r="AS833" t="str">
            <v/>
          </cell>
          <cell r="AT833" t="str">
            <v>TV</v>
          </cell>
          <cell r="AU833" t="str">
            <v>TV</v>
          </cell>
          <cell r="AV833" t="str">
            <v>TVLE</v>
          </cell>
          <cell r="AW833" t="str">
            <v>LED LCD TV</v>
          </cell>
          <cell r="AX833" t="str">
            <v>TVLE55</v>
          </cell>
          <cell r="AY833" t="str">
            <v>LED LCD TV 55</v>
          </cell>
          <cell r="AZ833" t="str">
            <v>TVLE55NU</v>
          </cell>
          <cell r="BA833" t="str">
            <v>LED LCD TV 55 (UD)</v>
          </cell>
        </row>
        <row r="834">
          <cell r="E834" t="str">
            <v>55QNED81BSA.ATV</v>
          </cell>
          <cell r="F834">
            <v>0</v>
          </cell>
          <cell r="G834">
            <v>0</v>
          </cell>
          <cell r="H834">
            <v>0</v>
          </cell>
          <cell r="I834">
            <v>72</v>
          </cell>
          <cell r="J834">
            <v>0</v>
          </cell>
          <cell r="K834">
            <v>102</v>
          </cell>
          <cell r="L834">
            <v>0</v>
          </cell>
          <cell r="M834">
            <v>10</v>
          </cell>
          <cell r="N834">
            <v>60</v>
          </cell>
          <cell r="O834">
            <v>9</v>
          </cell>
          <cell r="P834">
            <v>70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 t="str">
            <v>LCDPREMIUM</v>
          </cell>
          <cell r="AH834" t="str">
            <v>LCD_Premium</v>
          </cell>
          <cell r="AI834" t="str">
            <v/>
          </cell>
          <cell r="AJ834" t="str">
            <v/>
          </cell>
          <cell r="AK834" t="str">
            <v>0.179771</v>
          </cell>
          <cell r="AL834" t="str">
            <v>2</v>
          </cell>
          <cell r="AM834" t="str">
            <v>Q</v>
          </cell>
          <cell r="AN834" t="str">
            <v>M0</v>
          </cell>
          <cell r="AO834" t="str">
            <v>Active(Model)</v>
          </cell>
          <cell r="AP834" t="str">
            <v/>
          </cell>
          <cell r="AQ834" t="str">
            <v/>
          </cell>
          <cell r="AR834" t="str">
            <v>Y</v>
          </cell>
          <cell r="AS834" t="str">
            <v/>
          </cell>
          <cell r="AT834" t="str">
            <v>TV</v>
          </cell>
          <cell r="AU834" t="str">
            <v>TV</v>
          </cell>
          <cell r="AV834" t="str">
            <v>TVLE</v>
          </cell>
          <cell r="AW834" t="str">
            <v>LED LCD TV</v>
          </cell>
          <cell r="AX834" t="str">
            <v>TVLE55</v>
          </cell>
          <cell r="AY834" t="str">
            <v>LED LCD TV 55</v>
          </cell>
          <cell r="AZ834" t="str">
            <v>TVLE55NU</v>
          </cell>
          <cell r="BA834" t="str">
            <v>LED LCD TV 55 (UD)</v>
          </cell>
        </row>
        <row r="835">
          <cell r="E835" t="str">
            <v>55QNED86BSA.ATV</v>
          </cell>
          <cell r="F835">
            <v>148</v>
          </cell>
          <cell r="G835">
            <v>0</v>
          </cell>
          <cell r="H835">
            <v>0</v>
          </cell>
          <cell r="I835">
            <v>169</v>
          </cell>
          <cell r="J835">
            <v>33</v>
          </cell>
          <cell r="K835">
            <v>0</v>
          </cell>
          <cell r="L835">
            <v>0</v>
          </cell>
          <cell r="M835">
            <v>3</v>
          </cell>
          <cell r="N835">
            <v>1</v>
          </cell>
          <cell r="O835">
            <v>20</v>
          </cell>
          <cell r="P835">
            <v>4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7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 t="str">
            <v>LCDPREPLUS</v>
          </cell>
          <cell r="AH835" t="str">
            <v>LCD_Premium Plus</v>
          </cell>
          <cell r="AI835" t="str">
            <v/>
          </cell>
          <cell r="AJ835" t="str">
            <v/>
          </cell>
          <cell r="AK835" t="str">
            <v>0.205999</v>
          </cell>
          <cell r="AL835" t="str">
            <v>2</v>
          </cell>
          <cell r="AM835" t="str">
            <v>Q</v>
          </cell>
          <cell r="AN835" t="str">
            <v>M0</v>
          </cell>
          <cell r="AO835" t="str">
            <v>Active(Model)</v>
          </cell>
          <cell r="AP835" t="str">
            <v/>
          </cell>
          <cell r="AQ835" t="str">
            <v/>
          </cell>
          <cell r="AR835" t="str">
            <v>Y</v>
          </cell>
          <cell r="AS835" t="str">
            <v/>
          </cell>
          <cell r="AT835" t="str">
            <v>TV</v>
          </cell>
          <cell r="AU835" t="str">
            <v>TV</v>
          </cell>
          <cell r="AV835" t="str">
            <v>TVLE</v>
          </cell>
          <cell r="AW835" t="str">
            <v>LED LCD TV</v>
          </cell>
          <cell r="AX835" t="str">
            <v>TVLE55</v>
          </cell>
          <cell r="AY835" t="str">
            <v>LED LCD TV 55</v>
          </cell>
          <cell r="AZ835" t="str">
            <v>TVLE55NU</v>
          </cell>
          <cell r="BA835" t="str">
            <v>LED LCD TV 55 (UD)</v>
          </cell>
        </row>
        <row r="836">
          <cell r="E836" t="str">
            <v>55UA841CPSA.ATV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 t="str">
            <v/>
          </cell>
          <cell r="AH836" t="str">
            <v/>
          </cell>
          <cell r="AI836" t="str">
            <v/>
          </cell>
          <cell r="AJ836" t="str">
            <v/>
          </cell>
          <cell r="AK836" t="str">
            <v>0.163186</v>
          </cell>
          <cell r="AL836" t="str">
            <v>2</v>
          </cell>
          <cell r="AM836" t="str">
            <v>Q</v>
          </cell>
          <cell r="AN836" t="str">
            <v>M0</v>
          </cell>
          <cell r="AO836" t="str">
            <v>Active(Model)</v>
          </cell>
          <cell r="AP836" t="str">
            <v/>
          </cell>
          <cell r="AQ836" t="str">
            <v/>
          </cell>
          <cell r="AR836" t="str">
            <v>Y</v>
          </cell>
          <cell r="AS836" t="str">
            <v/>
          </cell>
          <cell r="AT836" t="str">
            <v>CS</v>
          </cell>
          <cell r="AU836" t="str">
            <v>Commercial Display_Signage</v>
          </cell>
          <cell r="AV836" t="str">
            <v>CSTE</v>
          </cell>
          <cell r="AW836" t="str">
            <v>Commercial_LED LCD TV</v>
          </cell>
          <cell r="AX836" t="str">
            <v>CSTE55</v>
          </cell>
          <cell r="AY836" t="str">
            <v>Commercial_LED LCD TV 55</v>
          </cell>
          <cell r="AZ836" t="str">
            <v>CSTE55NU</v>
          </cell>
          <cell r="BA836" t="str">
            <v>Commercial_LED LCD TV 55(UHD)</v>
          </cell>
        </row>
        <row r="837">
          <cell r="E837" t="str">
            <v>55UH5Q-E.ATV</v>
          </cell>
          <cell r="F837">
            <v>1</v>
          </cell>
          <cell r="G837">
            <v>0</v>
          </cell>
          <cell r="H837">
            <v>0</v>
          </cell>
          <cell r="I837">
            <v>2</v>
          </cell>
          <cell r="J837">
            <v>0</v>
          </cell>
          <cell r="K837">
            <v>0</v>
          </cell>
          <cell r="L837">
            <v>1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 t="str">
            <v/>
          </cell>
          <cell r="AH837" t="str">
            <v/>
          </cell>
          <cell r="AI837" t="str">
            <v/>
          </cell>
          <cell r="AJ837" t="str">
            <v/>
          </cell>
          <cell r="AK837" t="str">
            <v>0.167443</v>
          </cell>
          <cell r="AL837" t="str">
            <v>2</v>
          </cell>
          <cell r="AM837" t="str">
            <v>Q</v>
          </cell>
          <cell r="AN837" t="str">
            <v>M0</v>
          </cell>
          <cell r="AO837" t="str">
            <v>Active(Model)</v>
          </cell>
          <cell r="AP837" t="str">
            <v/>
          </cell>
          <cell r="AQ837" t="str">
            <v/>
          </cell>
          <cell r="AR837" t="str">
            <v>Y</v>
          </cell>
          <cell r="AS837" t="str">
            <v/>
          </cell>
          <cell r="AT837" t="str">
            <v>CS</v>
          </cell>
          <cell r="AU837" t="str">
            <v>Commercial Display_Signage</v>
          </cell>
          <cell r="AV837" t="str">
            <v>CSME</v>
          </cell>
          <cell r="AW837" t="str">
            <v>Commercial_LED LCD Monitor</v>
          </cell>
          <cell r="AX837" t="str">
            <v>CSME55</v>
          </cell>
          <cell r="AY837" t="str">
            <v>Commercial_LED LCD Monitor 55</v>
          </cell>
          <cell r="AZ837" t="str">
            <v>CSME55FW</v>
          </cell>
          <cell r="BA837" t="str">
            <v>Commercial_LED LCD Monitor 55 (MFT WIDE)</v>
          </cell>
        </row>
        <row r="838">
          <cell r="E838" t="str">
            <v>55UJ660H5SD.ATV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 t="str">
            <v/>
          </cell>
          <cell r="AH838" t="str">
            <v/>
          </cell>
          <cell r="AI838" t="str">
            <v/>
          </cell>
          <cell r="AJ838" t="str">
            <v/>
          </cell>
          <cell r="AK838" t="str">
            <v>0.130990</v>
          </cell>
          <cell r="AL838" t="str">
            <v>2</v>
          </cell>
          <cell r="AM838" t="str">
            <v>Q</v>
          </cell>
          <cell r="AN838" t="str">
            <v>M0</v>
          </cell>
          <cell r="AO838" t="str">
            <v>Active(Model)</v>
          </cell>
          <cell r="AP838" t="str">
            <v/>
          </cell>
          <cell r="AQ838" t="str">
            <v/>
          </cell>
          <cell r="AR838" t="str">
            <v>Y</v>
          </cell>
          <cell r="AS838" t="str">
            <v/>
          </cell>
          <cell r="AT838" t="str">
            <v>HT</v>
          </cell>
          <cell r="AU838" t="str">
            <v>Commercial Display_Hotel</v>
          </cell>
          <cell r="AV838" t="str">
            <v>HTTE</v>
          </cell>
          <cell r="AW838" t="str">
            <v>Commercial(Hotel)_LED LCD TV</v>
          </cell>
          <cell r="AX838" t="str">
            <v>HTTE55</v>
          </cell>
          <cell r="AY838" t="str">
            <v>Commercial(Hotel)_LED LCD TV 55</v>
          </cell>
          <cell r="AZ838" t="str">
            <v>HTTE55NU</v>
          </cell>
          <cell r="BA838" t="str">
            <v>Commercial(Hotel)_LED LCD TV 55(UHD)</v>
          </cell>
        </row>
        <row r="839">
          <cell r="E839" t="str">
            <v>55UK660H0SA.ATV</v>
          </cell>
          <cell r="F839">
            <v>33</v>
          </cell>
          <cell r="G839">
            <v>0</v>
          </cell>
          <cell r="H839">
            <v>0</v>
          </cell>
          <cell r="I839">
            <v>33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 t="str">
            <v/>
          </cell>
          <cell r="AH839" t="str">
            <v/>
          </cell>
          <cell r="AI839" t="str">
            <v/>
          </cell>
          <cell r="AJ839" t="str">
            <v/>
          </cell>
          <cell r="AK839" t="str">
            <v>0.163186</v>
          </cell>
          <cell r="AL839" t="str">
            <v>2</v>
          </cell>
          <cell r="AM839" t="str">
            <v>Q</v>
          </cell>
          <cell r="AN839" t="str">
            <v>M0</v>
          </cell>
          <cell r="AO839" t="str">
            <v>Active(Model)</v>
          </cell>
          <cell r="AP839" t="str">
            <v/>
          </cell>
          <cell r="AQ839" t="str">
            <v/>
          </cell>
          <cell r="AR839" t="str">
            <v>Y</v>
          </cell>
          <cell r="AS839" t="str">
            <v/>
          </cell>
          <cell r="AT839" t="str">
            <v>HT</v>
          </cell>
          <cell r="AU839" t="str">
            <v>Commercial Display_Hotel</v>
          </cell>
          <cell r="AV839" t="str">
            <v>HTTE</v>
          </cell>
          <cell r="AW839" t="str">
            <v>Commercial(Hotel)_LED LCD TV</v>
          </cell>
          <cell r="AX839" t="str">
            <v>HTTE55</v>
          </cell>
          <cell r="AY839" t="str">
            <v>Commercial(Hotel)_LED LCD TV 55</v>
          </cell>
          <cell r="AZ839" t="str">
            <v>HTTE55NU</v>
          </cell>
          <cell r="BA839" t="str">
            <v>Commercial(Hotel)_LED LCD TV 55(UHD)</v>
          </cell>
        </row>
        <row r="840">
          <cell r="E840" t="str">
            <v>55UK760H0SD.ATV</v>
          </cell>
          <cell r="F840">
            <v>68</v>
          </cell>
          <cell r="G840">
            <v>0</v>
          </cell>
          <cell r="H840">
            <v>0</v>
          </cell>
          <cell r="I840">
            <v>68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67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 t="str">
            <v/>
          </cell>
          <cell r="AH840" t="str">
            <v/>
          </cell>
          <cell r="AI840" t="str">
            <v/>
          </cell>
          <cell r="AJ840" t="str">
            <v/>
          </cell>
          <cell r="AK840" t="str">
            <v>0.178459</v>
          </cell>
          <cell r="AL840" t="str">
            <v>2</v>
          </cell>
          <cell r="AM840" t="str">
            <v>Q</v>
          </cell>
          <cell r="AN840" t="str">
            <v>M0</v>
          </cell>
          <cell r="AO840" t="str">
            <v>Active(Model)</v>
          </cell>
          <cell r="AP840" t="str">
            <v/>
          </cell>
          <cell r="AQ840" t="str">
            <v/>
          </cell>
          <cell r="AR840" t="str">
            <v>Y</v>
          </cell>
          <cell r="AS840" t="str">
            <v/>
          </cell>
          <cell r="AT840" t="str">
            <v>HT</v>
          </cell>
          <cell r="AU840" t="str">
            <v>Commercial Display_Hotel</v>
          </cell>
          <cell r="AV840" t="str">
            <v>HTTE</v>
          </cell>
          <cell r="AW840" t="str">
            <v>Commercial(Hotel)_LED LCD TV</v>
          </cell>
          <cell r="AX840" t="str">
            <v>HTTE55</v>
          </cell>
          <cell r="AY840" t="str">
            <v>Commercial(Hotel)_LED LCD TV 55</v>
          </cell>
          <cell r="AZ840" t="str">
            <v>HTTE55NU</v>
          </cell>
          <cell r="BA840" t="str">
            <v>Commercial(Hotel)_LED LCD TV 55(UHD)</v>
          </cell>
        </row>
        <row r="841">
          <cell r="E841" t="str">
            <v>55UK767H0SA.ATV</v>
          </cell>
          <cell r="F841">
            <v>55</v>
          </cell>
          <cell r="G841">
            <v>0</v>
          </cell>
          <cell r="H841">
            <v>0</v>
          </cell>
          <cell r="I841">
            <v>55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 t="str">
            <v/>
          </cell>
          <cell r="AH841" t="str">
            <v/>
          </cell>
          <cell r="AI841" t="str">
            <v/>
          </cell>
          <cell r="AJ841" t="str">
            <v/>
          </cell>
          <cell r="AK841" t="str">
            <v>0.205999</v>
          </cell>
          <cell r="AL841" t="str">
            <v>2</v>
          </cell>
          <cell r="AM841" t="str">
            <v>Q</v>
          </cell>
          <cell r="AN841" t="str">
            <v>M0</v>
          </cell>
          <cell r="AO841" t="str">
            <v>Active(Model)</v>
          </cell>
          <cell r="AP841" t="str">
            <v/>
          </cell>
          <cell r="AQ841" t="str">
            <v/>
          </cell>
          <cell r="AR841" t="str">
            <v>Y</v>
          </cell>
          <cell r="AS841" t="str">
            <v/>
          </cell>
          <cell r="AT841" t="str">
            <v>HT</v>
          </cell>
          <cell r="AU841" t="str">
            <v>Commercial Display_Hotel</v>
          </cell>
          <cell r="AV841" t="str">
            <v>HTTE</v>
          </cell>
          <cell r="AW841" t="str">
            <v>Commercial(Hotel)_LED LCD TV</v>
          </cell>
          <cell r="AX841" t="str">
            <v>HTTE55</v>
          </cell>
          <cell r="AY841" t="str">
            <v>Commercial(Hotel)_LED LCD TV 55</v>
          </cell>
          <cell r="AZ841" t="str">
            <v>HTTE55NU</v>
          </cell>
          <cell r="BA841" t="str">
            <v>Commercial(Hotel)_LED LCD TV 55(UHD)</v>
          </cell>
        </row>
        <row r="842">
          <cell r="E842" t="str">
            <v>55UL3Q-E.ATVQ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2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 t="str">
            <v/>
          </cell>
          <cell r="AH842" t="str">
            <v/>
          </cell>
          <cell r="AI842" t="str">
            <v/>
          </cell>
          <cell r="AJ842" t="str">
            <v/>
          </cell>
          <cell r="AK842" t="str">
            <v>0.134343</v>
          </cell>
          <cell r="AL842" t="str">
            <v>2</v>
          </cell>
          <cell r="AM842" t="str">
            <v>Q</v>
          </cell>
          <cell r="AN842" t="str">
            <v>M0</v>
          </cell>
          <cell r="AO842" t="str">
            <v>Active(Model)</v>
          </cell>
          <cell r="AP842" t="str">
            <v/>
          </cell>
          <cell r="AQ842" t="str">
            <v/>
          </cell>
          <cell r="AR842" t="str">
            <v>Y</v>
          </cell>
          <cell r="AS842" t="str">
            <v/>
          </cell>
          <cell r="AT842" t="str">
            <v>CS</v>
          </cell>
          <cell r="AU842" t="str">
            <v>Commercial Display_Signage</v>
          </cell>
          <cell r="AV842" t="str">
            <v>CSME</v>
          </cell>
          <cell r="AW842" t="str">
            <v>Commercial_LED LCD Monitor</v>
          </cell>
          <cell r="AX842" t="str">
            <v>CSME55</v>
          </cell>
          <cell r="AY842" t="str">
            <v>Commercial_LED LCD Monitor 55</v>
          </cell>
          <cell r="AZ842" t="str">
            <v>CSME55FW</v>
          </cell>
          <cell r="BA842" t="str">
            <v>Commercial_LED LCD Monitor 55 (MFT WIDE)</v>
          </cell>
        </row>
        <row r="843">
          <cell r="E843" t="str">
            <v>55UL5Q-M.ATVQ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 t="str">
            <v/>
          </cell>
          <cell r="AH843" t="str">
            <v/>
          </cell>
          <cell r="AI843" t="str">
            <v/>
          </cell>
          <cell r="AJ843" t="str">
            <v/>
          </cell>
          <cell r="AK843" t="str">
            <v>0.134343</v>
          </cell>
          <cell r="AL843" t="str">
            <v>2</v>
          </cell>
          <cell r="AM843" t="str">
            <v>Q</v>
          </cell>
          <cell r="AN843" t="str">
            <v>M0</v>
          </cell>
          <cell r="AO843" t="str">
            <v>Active(Model)</v>
          </cell>
          <cell r="AP843" t="str">
            <v/>
          </cell>
          <cell r="AQ843" t="str">
            <v/>
          </cell>
          <cell r="AR843" t="str">
            <v>Y</v>
          </cell>
          <cell r="AS843" t="str">
            <v/>
          </cell>
          <cell r="AT843" t="str">
            <v>CS</v>
          </cell>
          <cell r="AU843" t="str">
            <v>Commercial Display_Signage</v>
          </cell>
          <cell r="AV843" t="str">
            <v>CSME</v>
          </cell>
          <cell r="AW843" t="str">
            <v>Commercial_LED LCD Monitor</v>
          </cell>
          <cell r="AX843" t="str">
            <v>CSME55</v>
          </cell>
          <cell r="AY843" t="str">
            <v>Commercial_LED LCD Monitor 55</v>
          </cell>
          <cell r="AZ843" t="str">
            <v>CSME55FW</v>
          </cell>
          <cell r="BA843" t="str">
            <v>Commercial_LED LCD Monitor 55 (MFT WIDE)</v>
          </cell>
        </row>
        <row r="844">
          <cell r="E844" t="str">
            <v>55VM5J-H.ATV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8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 t="str">
            <v>ID</v>
          </cell>
          <cell r="AH844" t="str">
            <v>Information Display</v>
          </cell>
          <cell r="AI844" t="str">
            <v/>
          </cell>
          <cell r="AJ844" t="str">
            <v/>
          </cell>
          <cell r="AK844" t="str">
            <v>0.348722</v>
          </cell>
          <cell r="AL844" t="str">
            <v>2</v>
          </cell>
          <cell r="AM844" t="str">
            <v>Q</v>
          </cell>
          <cell r="AN844" t="str">
            <v>M0</v>
          </cell>
          <cell r="AO844" t="str">
            <v>Active(Model)</v>
          </cell>
          <cell r="AP844" t="str">
            <v/>
          </cell>
          <cell r="AQ844" t="str">
            <v/>
          </cell>
          <cell r="AR844" t="str">
            <v>Y</v>
          </cell>
          <cell r="AS844" t="str">
            <v/>
          </cell>
          <cell r="AT844" t="str">
            <v>CS</v>
          </cell>
          <cell r="AU844" t="str">
            <v>Commercial Display_Signage</v>
          </cell>
          <cell r="AV844" t="str">
            <v>CSME</v>
          </cell>
          <cell r="AW844" t="str">
            <v>Commercial_LED LCD Monitor</v>
          </cell>
          <cell r="AX844" t="str">
            <v>CSME55</v>
          </cell>
          <cell r="AY844" t="str">
            <v>Commercial_LED LCD Monitor 55</v>
          </cell>
          <cell r="AZ844" t="str">
            <v>CSME55FW</v>
          </cell>
          <cell r="BA844" t="str">
            <v>Commercial_LED LCD Monitor 55 (MFT WIDE)</v>
          </cell>
        </row>
        <row r="845">
          <cell r="E845" t="str">
            <v>55VSH7J-H.ATV</v>
          </cell>
          <cell r="F845">
            <v>18</v>
          </cell>
          <cell r="G845">
            <v>0</v>
          </cell>
          <cell r="H845">
            <v>0</v>
          </cell>
          <cell r="I845">
            <v>20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5</v>
          </cell>
          <cell r="AF845">
            <v>0</v>
          </cell>
          <cell r="AG845" t="str">
            <v>ID</v>
          </cell>
          <cell r="AH845" t="str">
            <v>Information Display</v>
          </cell>
          <cell r="AI845" t="str">
            <v/>
          </cell>
          <cell r="AJ845" t="str">
            <v/>
          </cell>
          <cell r="AK845" t="str">
            <v>0.304242</v>
          </cell>
          <cell r="AL845" t="str">
            <v>2</v>
          </cell>
          <cell r="AM845" t="str">
            <v>Q</v>
          </cell>
          <cell r="AN845" t="str">
            <v>M0</v>
          </cell>
          <cell r="AO845" t="str">
            <v>Active(Model)</v>
          </cell>
          <cell r="AP845" t="str">
            <v/>
          </cell>
          <cell r="AQ845" t="str">
            <v/>
          </cell>
          <cell r="AR845" t="str">
            <v>Y</v>
          </cell>
          <cell r="AS845" t="str">
            <v/>
          </cell>
          <cell r="AT845" t="str">
            <v>CS</v>
          </cell>
          <cell r="AU845" t="str">
            <v>Commercial Display_Signage</v>
          </cell>
          <cell r="AV845" t="str">
            <v>CSME</v>
          </cell>
          <cell r="AW845" t="str">
            <v>Commercial_LED LCD Monitor</v>
          </cell>
          <cell r="AX845" t="str">
            <v>CSME55</v>
          </cell>
          <cell r="AY845" t="str">
            <v>Commercial_LED LCD Monitor 55</v>
          </cell>
          <cell r="AZ845" t="str">
            <v>CSME55FW</v>
          </cell>
          <cell r="BA845" t="str">
            <v>Commercial_LED LCD Monitor 55 (MFT WIDE)</v>
          </cell>
        </row>
        <row r="846">
          <cell r="E846" t="str">
            <v>55VSM5J-H.ATV</v>
          </cell>
          <cell r="F846">
            <v>6</v>
          </cell>
          <cell r="G846">
            <v>0</v>
          </cell>
          <cell r="H846">
            <v>0</v>
          </cell>
          <cell r="I846">
            <v>6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 t="str">
            <v>ID</v>
          </cell>
          <cell r="AH846" t="str">
            <v>Information Display</v>
          </cell>
          <cell r="AI846" t="str">
            <v/>
          </cell>
          <cell r="AJ846" t="str">
            <v/>
          </cell>
          <cell r="AK846" t="str">
            <v>0.348722</v>
          </cell>
          <cell r="AL846" t="str">
            <v>2</v>
          </cell>
          <cell r="AM846" t="str">
            <v>Q</v>
          </cell>
          <cell r="AN846" t="str">
            <v>M0</v>
          </cell>
          <cell r="AO846" t="str">
            <v>Active(Model)</v>
          </cell>
          <cell r="AP846" t="str">
            <v/>
          </cell>
          <cell r="AQ846" t="str">
            <v/>
          </cell>
          <cell r="AR846" t="str">
            <v>Y</v>
          </cell>
          <cell r="AS846" t="str">
            <v/>
          </cell>
          <cell r="AT846" t="str">
            <v>CS</v>
          </cell>
          <cell r="AU846" t="str">
            <v>Commercial Display_Signage</v>
          </cell>
          <cell r="AV846" t="str">
            <v>CSME</v>
          </cell>
          <cell r="AW846" t="str">
            <v>Commercial_LED LCD Monitor</v>
          </cell>
          <cell r="AX846" t="str">
            <v>CSME55</v>
          </cell>
          <cell r="AY846" t="str">
            <v>Commercial_LED LCD Monitor 55</v>
          </cell>
          <cell r="AZ846" t="str">
            <v>CSME55FW</v>
          </cell>
          <cell r="BA846" t="str">
            <v>Commercial_LED LCD Monitor 55 (MFT WIDE)</v>
          </cell>
        </row>
        <row r="847">
          <cell r="E847" t="str">
            <v>65NU805BPSB.ATVQ</v>
          </cell>
          <cell r="F847">
            <v>0</v>
          </cell>
          <cell r="G847">
            <v>0</v>
          </cell>
          <cell r="H847">
            <v>0</v>
          </cell>
          <cell r="I847">
            <v>1</v>
          </cell>
          <cell r="J847">
            <v>0</v>
          </cell>
          <cell r="K847">
            <v>1810</v>
          </cell>
          <cell r="L847">
            <v>0</v>
          </cell>
          <cell r="M847">
            <v>1</v>
          </cell>
          <cell r="N847">
            <v>0</v>
          </cell>
          <cell r="O847">
            <v>0</v>
          </cell>
          <cell r="P847">
            <v>1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 t="str">
            <v>LCDPREMIUM</v>
          </cell>
          <cell r="AH847" t="str">
            <v>LCD_Premium</v>
          </cell>
          <cell r="AI847" t="str">
            <v/>
          </cell>
          <cell r="AJ847" t="str">
            <v/>
          </cell>
          <cell r="AK847" t="str">
            <v>0.204710</v>
          </cell>
          <cell r="AL847" t="str">
            <v>2</v>
          </cell>
          <cell r="AM847" t="str">
            <v>Q</v>
          </cell>
          <cell r="AN847" t="str">
            <v>M0</v>
          </cell>
          <cell r="AO847" t="str">
            <v>Active(Model)</v>
          </cell>
          <cell r="AP847" t="str">
            <v/>
          </cell>
          <cell r="AQ847" t="str">
            <v/>
          </cell>
          <cell r="AR847" t="str">
            <v>Y</v>
          </cell>
          <cell r="AS847" t="str">
            <v/>
          </cell>
          <cell r="AT847" t="str">
            <v>TV</v>
          </cell>
          <cell r="AU847" t="str">
            <v>TV</v>
          </cell>
          <cell r="AV847" t="str">
            <v>TVLE</v>
          </cell>
          <cell r="AW847" t="str">
            <v>LED LCD TV</v>
          </cell>
          <cell r="AX847" t="str">
            <v>TVLE65</v>
          </cell>
          <cell r="AY847" t="str">
            <v>LED LCD TV 65</v>
          </cell>
          <cell r="AZ847" t="str">
            <v>TVLE65OU</v>
          </cell>
          <cell r="BA847" t="str">
            <v>LED LCD TV 65 (O/S, UD)</v>
          </cell>
        </row>
        <row r="848">
          <cell r="E848" t="str">
            <v>65NU835BPSA.ATV</v>
          </cell>
          <cell r="F848">
            <v>0</v>
          </cell>
          <cell r="G848">
            <v>0</v>
          </cell>
          <cell r="H848">
            <v>0</v>
          </cell>
          <cell r="I848">
            <v>99</v>
          </cell>
          <cell r="J848">
            <v>0</v>
          </cell>
          <cell r="K848">
            <v>401</v>
          </cell>
          <cell r="L848">
            <v>0</v>
          </cell>
          <cell r="M848">
            <v>99</v>
          </cell>
          <cell r="N848">
            <v>0</v>
          </cell>
          <cell r="O848">
            <v>0</v>
          </cell>
          <cell r="P848">
            <v>99</v>
          </cell>
          <cell r="Q848">
            <v>97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 t="str">
            <v>LCDPREMIUM</v>
          </cell>
          <cell r="AH848" t="str">
            <v>LCD_Premium</v>
          </cell>
          <cell r="AI848" t="str">
            <v/>
          </cell>
          <cell r="AJ848" t="str">
            <v/>
          </cell>
          <cell r="AK848" t="str">
            <v>0.213142</v>
          </cell>
          <cell r="AL848" t="str">
            <v>2</v>
          </cell>
          <cell r="AM848" t="str">
            <v>Q</v>
          </cell>
          <cell r="AN848" t="str">
            <v>M0</v>
          </cell>
          <cell r="AO848" t="str">
            <v>Active(Model)</v>
          </cell>
          <cell r="AP848" t="str">
            <v/>
          </cell>
          <cell r="AQ848" t="str">
            <v/>
          </cell>
          <cell r="AR848" t="str">
            <v>Y</v>
          </cell>
          <cell r="AS848" t="str">
            <v/>
          </cell>
          <cell r="AT848" t="str">
            <v>TV</v>
          </cell>
          <cell r="AU848" t="str">
            <v>TV</v>
          </cell>
          <cell r="AV848" t="str">
            <v>TVLE</v>
          </cell>
          <cell r="AW848" t="str">
            <v>LED LCD TV</v>
          </cell>
          <cell r="AX848" t="str">
            <v>TVLE65</v>
          </cell>
          <cell r="AY848" t="str">
            <v>LED LCD TV 65</v>
          </cell>
          <cell r="AZ848" t="str">
            <v>TVLE65NU</v>
          </cell>
          <cell r="BA848" t="str">
            <v>LED LCD TV 65 (UD)</v>
          </cell>
        </row>
        <row r="849">
          <cell r="E849" t="str">
            <v>65NU850BPUA.AUSFLHX</v>
          </cell>
          <cell r="F849">
            <v>1</v>
          </cell>
          <cell r="G849">
            <v>0</v>
          </cell>
          <cell r="H849">
            <v>0</v>
          </cell>
          <cell r="I849">
            <v>1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 t="str">
            <v/>
          </cell>
          <cell r="AH849" t="str">
            <v/>
          </cell>
          <cell r="AI849" t="str">
            <v/>
          </cell>
          <cell r="AJ849" t="str">
            <v/>
          </cell>
          <cell r="AK849" t="str">
            <v>0.213142</v>
          </cell>
          <cell r="AL849" t="str">
            <v>2</v>
          </cell>
          <cell r="AM849" t="str">
            <v>Q</v>
          </cell>
          <cell r="AN849" t="str">
            <v>M0</v>
          </cell>
          <cell r="AO849" t="str">
            <v>Active(Model)</v>
          </cell>
          <cell r="AP849" t="str">
            <v/>
          </cell>
          <cell r="AQ849" t="str">
            <v/>
          </cell>
          <cell r="AR849" t="str">
            <v>Y</v>
          </cell>
          <cell r="AS849" t="str">
            <v/>
          </cell>
          <cell r="AT849" t="str">
            <v>TV</v>
          </cell>
          <cell r="AU849" t="str">
            <v>TV</v>
          </cell>
          <cell r="AV849" t="str">
            <v>TVLE</v>
          </cell>
          <cell r="AW849" t="str">
            <v>LED LCD TV</v>
          </cell>
          <cell r="AX849" t="str">
            <v>TVLE65</v>
          </cell>
          <cell r="AY849" t="str">
            <v>LED LCD TV 65</v>
          </cell>
          <cell r="AZ849" t="str">
            <v>TVLE65NU</v>
          </cell>
          <cell r="BA849" t="str">
            <v>LED LCD TV 65 (UD)</v>
          </cell>
        </row>
        <row r="850">
          <cell r="E850" t="str">
            <v>65NU855BPSA.ATV</v>
          </cell>
          <cell r="F850">
            <v>0</v>
          </cell>
          <cell r="G850">
            <v>0</v>
          </cell>
          <cell r="H850">
            <v>0</v>
          </cell>
          <cell r="I850">
            <v>2</v>
          </cell>
          <cell r="J850">
            <v>3</v>
          </cell>
          <cell r="K850">
            <v>371</v>
          </cell>
          <cell r="L850">
            <v>0</v>
          </cell>
          <cell r="M850">
            <v>1</v>
          </cell>
          <cell r="N850">
            <v>0</v>
          </cell>
          <cell r="O850">
            <v>1</v>
          </cell>
          <cell r="P850">
            <v>1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2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1</v>
          </cell>
          <cell r="AF850">
            <v>0</v>
          </cell>
          <cell r="AG850" t="str">
            <v>LCDPREMIUM</v>
          </cell>
          <cell r="AH850" t="str">
            <v>LCD_Premium</v>
          </cell>
          <cell r="AI850" t="str">
            <v/>
          </cell>
          <cell r="AJ850" t="str">
            <v/>
          </cell>
          <cell r="AK850" t="str">
            <v>0.213142</v>
          </cell>
          <cell r="AL850" t="str">
            <v>2</v>
          </cell>
          <cell r="AM850" t="str">
            <v>Q</v>
          </cell>
          <cell r="AN850" t="str">
            <v>M0</v>
          </cell>
          <cell r="AO850" t="str">
            <v>Active(Model)</v>
          </cell>
          <cell r="AP850" t="str">
            <v/>
          </cell>
          <cell r="AQ850" t="str">
            <v/>
          </cell>
          <cell r="AR850" t="str">
            <v>Y</v>
          </cell>
          <cell r="AS850" t="str">
            <v/>
          </cell>
          <cell r="AT850" t="str">
            <v>TV</v>
          </cell>
          <cell r="AU850" t="str">
            <v>TV</v>
          </cell>
          <cell r="AV850" t="str">
            <v>TVLE</v>
          </cell>
          <cell r="AW850" t="str">
            <v>LED LCD TV</v>
          </cell>
          <cell r="AX850" t="str">
            <v>TVLE65</v>
          </cell>
          <cell r="AY850" t="str">
            <v>LED LCD TV 65</v>
          </cell>
          <cell r="AZ850" t="str">
            <v>TVLE65NU</v>
          </cell>
          <cell r="BA850" t="str">
            <v>LED LCD TV 65 (UD)</v>
          </cell>
        </row>
        <row r="851">
          <cell r="E851" t="str">
            <v>65NU85CBPSA.ATV</v>
          </cell>
          <cell r="F851">
            <v>2</v>
          </cell>
          <cell r="G851">
            <v>0</v>
          </cell>
          <cell r="H851">
            <v>0</v>
          </cell>
          <cell r="I851">
            <v>3</v>
          </cell>
          <cell r="J851">
            <v>0</v>
          </cell>
          <cell r="K851">
            <v>0</v>
          </cell>
          <cell r="L851">
            <v>0</v>
          </cell>
          <cell r="M851">
            <v>1</v>
          </cell>
          <cell r="N851">
            <v>0</v>
          </cell>
          <cell r="O851">
            <v>0</v>
          </cell>
          <cell r="P851">
            <v>1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 t="str">
            <v/>
          </cell>
          <cell r="AH851" t="str">
            <v/>
          </cell>
          <cell r="AI851" t="str">
            <v/>
          </cell>
          <cell r="AJ851" t="str">
            <v/>
          </cell>
          <cell r="AK851" t="str">
            <v>0.213142</v>
          </cell>
          <cell r="AL851" t="str">
            <v>2</v>
          </cell>
          <cell r="AM851" t="str">
            <v>Q</v>
          </cell>
          <cell r="AN851" t="str">
            <v>M0</v>
          </cell>
          <cell r="AO851" t="str">
            <v>Active(Model)</v>
          </cell>
          <cell r="AP851" t="str">
            <v/>
          </cell>
          <cell r="AQ851" t="str">
            <v/>
          </cell>
          <cell r="AR851" t="str">
            <v>Y</v>
          </cell>
          <cell r="AS851" t="str">
            <v/>
          </cell>
          <cell r="AT851" t="str">
            <v>CS</v>
          </cell>
          <cell r="AU851" t="str">
            <v>Commercial Display_Signage</v>
          </cell>
          <cell r="AV851" t="str">
            <v>CSTE</v>
          </cell>
          <cell r="AW851" t="str">
            <v>Commercial_LED LCD TV</v>
          </cell>
          <cell r="AX851" t="str">
            <v>CSTE65</v>
          </cell>
          <cell r="AY851" t="str">
            <v>Commercial_LED LCD TV 65</v>
          </cell>
          <cell r="AZ851" t="str">
            <v>CSTE65NU</v>
          </cell>
          <cell r="BA851" t="str">
            <v>Commercial_LED LCD TV 65(UHD)</v>
          </cell>
        </row>
        <row r="852">
          <cell r="E852" t="str">
            <v>65NU875BPSC.ATV</v>
          </cell>
          <cell r="F852">
            <v>35</v>
          </cell>
          <cell r="G852">
            <v>0</v>
          </cell>
          <cell r="H852">
            <v>0</v>
          </cell>
          <cell r="I852">
            <v>40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 t="str">
            <v>LCDPREMIUM</v>
          </cell>
          <cell r="AH852" t="str">
            <v>LCD_Premium</v>
          </cell>
          <cell r="AI852" t="str">
            <v/>
          </cell>
          <cell r="AJ852" t="str">
            <v/>
          </cell>
          <cell r="AK852" t="str">
            <v>0.213142</v>
          </cell>
          <cell r="AL852" t="str">
            <v>2</v>
          </cell>
          <cell r="AM852" t="str">
            <v>Q</v>
          </cell>
          <cell r="AN852" t="str">
            <v>M0</v>
          </cell>
          <cell r="AO852" t="str">
            <v>Active(Model)</v>
          </cell>
          <cell r="AP852" t="str">
            <v/>
          </cell>
          <cell r="AQ852" t="str">
            <v/>
          </cell>
          <cell r="AR852" t="str">
            <v>Y</v>
          </cell>
          <cell r="AS852" t="str">
            <v/>
          </cell>
          <cell r="AT852" t="str">
            <v>TV</v>
          </cell>
          <cell r="AU852" t="str">
            <v>TV</v>
          </cell>
          <cell r="AV852" t="str">
            <v>TVLE</v>
          </cell>
          <cell r="AW852" t="str">
            <v>LED LCD TV</v>
          </cell>
          <cell r="AX852" t="str">
            <v>TVLE65</v>
          </cell>
          <cell r="AY852" t="str">
            <v>LED LCD TV 65</v>
          </cell>
          <cell r="AZ852" t="str">
            <v>TVLE65NU</v>
          </cell>
          <cell r="BA852" t="str">
            <v>LED LCD TV 65 (UD)</v>
          </cell>
        </row>
        <row r="853">
          <cell r="E853" t="str">
            <v>65PK640S0SB.ATVQ</v>
          </cell>
          <cell r="F853">
            <v>285</v>
          </cell>
          <cell r="G853">
            <v>0</v>
          </cell>
          <cell r="H853">
            <v>0</v>
          </cell>
          <cell r="I853">
            <v>286</v>
          </cell>
          <cell r="J853">
            <v>0</v>
          </cell>
          <cell r="K853">
            <v>0</v>
          </cell>
          <cell r="L853">
            <v>1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 t="str">
            <v/>
          </cell>
          <cell r="AH853" t="str">
            <v/>
          </cell>
          <cell r="AI853" t="str">
            <v/>
          </cell>
          <cell r="AJ853" t="str">
            <v/>
          </cell>
          <cell r="AK853" t="str">
            <v>0.223397</v>
          </cell>
          <cell r="AL853" t="str">
            <v>2</v>
          </cell>
          <cell r="AM853" t="str">
            <v>Q</v>
          </cell>
          <cell r="AN853" t="str">
            <v>M0</v>
          </cell>
          <cell r="AO853" t="str">
            <v>Active(Model)</v>
          </cell>
          <cell r="AP853" t="str">
            <v/>
          </cell>
          <cell r="AQ853" t="str">
            <v/>
          </cell>
          <cell r="AR853" t="str">
            <v>Y</v>
          </cell>
          <cell r="AS853" t="str">
            <v/>
          </cell>
          <cell r="AT853" t="str">
            <v>CS</v>
          </cell>
          <cell r="AU853" t="str">
            <v>Commercial Display_Signage</v>
          </cell>
          <cell r="AV853" t="str">
            <v>CSTE</v>
          </cell>
          <cell r="AW853" t="str">
            <v>Commercial_LED LCD TV</v>
          </cell>
          <cell r="AX853" t="str">
            <v>CSTE65</v>
          </cell>
          <cell r="AY853" t="str">
            <v>Commercial_LED LCD TV 65</v>
          </cell>
          <cell r="AZ853" t="str">
            <v>CSTE65NU</v>
          </cell>
          <cell r="BA853" t="str">
            <v>Commercial_LED LCD TV 65(UHD)</v>
          </cell>
        </row>
        <row r="854">
          <cell r="E854" t="str">
            <v>65QNED70BSA.ATV</v>
          </cell>
          <cell r="F854">
            <v>170</v>
          </cell>
          <cell r="G854">
            <v>0</v>
          </cell>
          <cell r="H854">
            <v>0</v>
          </cell>
          <cell r="I854">
            <v>170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476</v>
          </cell>
          <cell r="P854">
            <v>0</v>
          </cell>
          <cell r="Q854">
            <v>277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1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 t="str">
            <v>LCDPREPLUS</v>
          </cell>
          <cell r="AH854" t="str">
            <v>LCD_Premium Plus</v>
          </cell>
          <cell r="AI854" t="str">
            <v/>
          </cell>
          <cell r="AJ854" t="str">
            <v/>
          </cell>
          <cell r="AK854" t="str">
            <v>0.213142</v>
          </cell>
          <cell r="AL854" t="str">
            <v>2</v>
          </cell>
          <cell r="AM854" t="str">
            <v>Q</v>
          </cell>
          <cell r="AN854" t="str">
            <v>M0</v>
          </cell>
          <cell r="AO854" t="str">
            <v>Active(Model)</v>
          </cell>
          <cell r="AP854" t="str">
            <v/>
          </cell>
          <cell r="AQ854" t="str">
            <v/>
          </cell>
          <cell r="AR854" t="str">
            <v>Y</v>
          </cell>
          <cell r="AS854" t="str">
            <v/>
          </cell>
          <cell r="AT854" t="str">
            <v>TV</v>
          </cell>
          <cell r="AU854" t="str">
            <v>TV</v>
          </cell>
          <cell r="AV854" t="str">
            <v>TVLE</v>
          </cell>
          <cell r="AW854" t="str">
            <v>LED LCD TV</v>
          </cell>
          <cell r="AX854" t="str">
            <v>TVLE65</v>
          </cell>
          <cell r="AY854" t="str">
            <v>LED LCD TV 65</v>
          </cell>
          <cell r="AZ854" t="str">
            <v>TVLE65NU</v>
          </cell>
          <cell r="BA854" t="str">
            <v>LED LCD TV 65 (UD)</v>
          </cell>
        </row>
        <row r="855">
          <cell r="E855" t="str">
            <v>65QNED80BSA.ATV</v>
          </cell>
          <cell r="F855">
            <v>1</v>
          </cell>
          <cell r="G855">
            <v>0</v>
          </cell>
          <cell r="H855">
            <v>0</v>
          </cell>
          <cell r="I855">
            <v>78</v>
          </cell>
          <cell r="J855">
            <v>36</v>
          </cell>
          <cell r="K855">
            <v>223</v>
          </cell>
          <cell r="L855">
            <v>0</v>
          </cell>
          <cell r="M855">
            <v>50</v>
          </cell>
          <cell r="N855">
            <v>3</v>
          </cell>
          <cell r="O855">
            <v>43</v>
          </cell>
          <cell r="P855">
            <v>53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1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 t="str">
            <v>LCDPREPLUS</v>
          </cell>
          <cell r="AH855" t="str">
            <v>LCD_Premium Plus</v>
          </cell>
          <cell r="AI855" t="str">
            <v/>
          </cell>
          <cell r="AJ855" t="str">
            <v/>
          </cell>
          <cell r="AK855" t="str">
            <v>0.243162</v>
          </cell>
          <cell r="AL855" t="str">
            <v>2</v>
          </cell>
          <cell r="AM855" t="str">
            <v>Q</v>
          </cell>
          <cell r="AN855" t="str">
            <v>M0</v>
          </cell>
          <cell r="AO855" t="str">
            <v>Active(Model)</v>
          </cell>
          <cell r="AP855" t="str">
            <v/>
          </cell>
          <cell r="AQ855" t="str">
            <v/>
          </cell>
          <cell r="AR855" t="str">
            <v>Y</v>
          </cell>
          <cell r="AS855" t="str">
            <v/>
          </cell>
          <cell r="AT855" t="str">
            <v>TV</v>
          </cell>
          <cell r="AU855" t="str">
            <v>TV</v>
          </cell>
          <cell r="AV855" t="str">
            <v>TVLE</v>
          </cell>
          <cell r="AW855" t="str">
            <v>LED LCD TV</v>
          </cell>
          <cell r="AX855" t="str">
            <v>TVLE65</v>
          </cell>
          <cell r="AY855" t="str">
            <v>LED LCD TV 65</v>
          </cell>
          <cell r="AZ855" t="str">
            <v>TVLE65NU</v>
          </cell>
          <cell r="BA855" t="str">
            <v>LED LCD TV 65 (UD)</v>
          </cell>
        </row>
        <row r="856">
          <cell r="E856" t="str">
            <v>65QNED81BSA.ATV</v>
          </cell>
          <cell r="F856">
            <v>0</v>
          </cell>
          <cell r="G856">
            <v>0</v>
          </cell>
          <cell r="H856">
            <v>0</v>
          </cell>
          <cell r="I856">
            <v>2</v>
          </cell>
          <cell r="J856">
            <v>51</v>
          </cell>
          <cell r="K856">
            <v>113</v>
          </cell>
          <cell r="L856">
            <v>0</v>
          </cell>
          <cell r="M856">
            <v>0</v>
          </cell>
          <cell r="N856">
            <v>0</v>
          </cell>
          <cell r="O856">
            <v>30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 t="str">
            <v>LCDPREPLUS</v>
          </cell>
          <cell r="AH856" t="str">
            <v>LCD_Premium Plus</v>
          </cell>
          <cell r="AI856" t="str">
            <v/>
          </cell>
          <cell r="AJ856" t="str">
            <v/>
          </cell>
          <cell r="AK856" t="str">
            <v>0.266944</v>
          </cell>
          <cell r="AL856" t="str">
            <v>2</v>
          </cell>
          <cell r="AM856" t="str">
            <v>Q</v>
          </cell>
          <cell r="AN856" t="str">
            <v>M0</v>
          </cell>
          <cell r="AO856" t="str">
            <v>Active(Model)</v>
          </cell>
          <cell r="AP856" t="str">
            <v/>
          </cell>
          <cell r="AQ856" t="str">
            <v/>
          </cell>
          <cell r="AR856" t="str">
            <v>Y</v>
          </cell>
          <cell r="AS856" t="str">
            <v/>
          </cell>
          <cell r="AT856" t="str">
            <v>TV</v>
          </cell>
          <cell r="AU856" t="str">
            <v>TV</v>
          </cell>
          <cell r="AV856" t="str">
            <v>TVLE</v>
          </cell>
          <cell r="AW856" t="str">
            <v>LED LCD TV</v>
          </cell>
          <cell r="AX856" t="str">
            <v>TVLE65</v>
          </cell>
          <cell r="AY856" t="str">
            <v>LED LCD TV 65</v>
          </cell>
          <cell r="AZ856" t="str">
            <v>TVLE65NU</v>
          </cell>
          <cell r="BA856" t="str">
            <v>LED LCD TV 65 (UD)</v>
          </cell>
        </row>
        <row r="857">
          <cell r="E857" t="str">
            <v>65QNED86BSA.ATV</v>
          </cell>
          <cell r="F857">
            <v>84</v>
          </cell>
          <cell r="G857">
            <v>0</v>
          </cell>
          <cell r="H857">
            <v>0</v>
          </cell>
          <cell r="I857">
            <v>125</v>
          </cell>
          <cell r="J857">
            <v>2</v>
          </cell>
          <cell r="K857">
            <v>0</v>
          </cell>
          <cell r="L857">
            <v>0</v>
          </cell>
          <cell r="M857">
            <v>5</v>
          </cell>
          <cell r="N857">
            <v>1</v>
          </cell>
          <cell r="O857">
            <v>23</v>
          </cell>
          <cell r="P857">
            <v>6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10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19</v>
          </cell>
          <cell r="AF857">
            <v>0</v>
          </cell>
          <cell r="AG857" t="str">
            <v>LCDPREPLUS</v>
          </cell>
          <cell r="AH857" t="str">
            <v>LCD_Premium Plus</v>
          </cell>
          <cell r="AI857" t="str">
            <v/>
          </cell>
          <cell r="AJ857" t="str">
            <v/>
          </cell>
          <cell r="AK857" t="str">
            <v>0.315056</v>
          </cell>
          <cell r="AL857" t="str">
            <v>2</v>
          </cell>
          <cell r="AM857" t="str">
            <v>Q</v>
          </cell>
          <cell r="AN857" t="str">
            <v>M0</v>
          </cell>
          <cell r="AO857" t="str">
            <v>Active(Model)</v>
          </cell>
          <cell r="AP857" t="str">
            <v/>
          </cell>
          <cell r="AQ857" t="str">
            <v/>
          </cell>
          <cell r="AR857" t="str">
            <v>Y</v>
          </cell>
          <cell r="AS857" t="str">
            <v/>
          </cell>
          <cell r="AT857" t="str">
            <v>TV</v>
          </cell>
          <cell r="AU857" t="str">
            <v>TV</v>
          </cell>
          <cell r="AV857" t="str">
            <v>TVLE</v>
          </cell>
          <cell r="AW857" t="str">
            <v>LED LCD TV</v>
          </cell>
          <cell r="AX857" t="str">
            <v>TVLE65</v>
          </cell>
          <cell r="AY857" t="str">
            <v>LED LCD TV 65</v>
          </cell>
          <cell r="AZ857" t="str">
            <v>TVLE65NU</v>
          </cell>
          <cell r="BA857" t="str">
            <v>LED LCD TV 65 (UD)</v>
          </cell>
        </row>
        <row r="858">
          <cell r="E858" t="str">
            <v>65UH5Q-E.ATV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 t="str">
            <v/>
          </cell>
          <cell r="AH858" t="str">
            <v/>
          </cell>
          <cell r="AI858" t="str">
            <v/>
          </cell>
          <cell r="AJ858" t="str">
            <v/>
          </cell>
          <cell r="AK858" t="str">
            <v>0.258172</v>
          </cell>
          <cell r="AL858" t="str">
            <v>2</v>
          </cell>
          <cell r="AM858" t="str">
            <v>Q</v>
          </cell>
          <cell r="AN858" t="str">
            <v>M0</v>
          </cell>
          <cell r="AO858" t="str">
            <v>Active(Model)</v>
          </cell>
          <cell r="AP858" t="str">
            <v/>
          </cell>
          <cell r="AQ858" t="str">
            <v/>
          </cell>
          <cell r="AR858" t="str">
            <v>Y</v>
          </cell>
          <cell r="AS858" t="str">
            <v/>
          </cell>
          <cell r="AT858" t="str">
            <v>CS</v>
          </cell>
          <cell r="AU858" t="str">
            <v>Commercial Display_Signage</v>
          </cell>
          <cell r="AV858" t="str">
            <v>CSME</v>
          </cell>
          <cell r="AW858" t="str">
            <v>Commercial_LED LCD Monitor</v>
          </cell>
          <cell r="AX858" t="str">
            <v>CSME65</v>
          </cell>
          <cell r="AY858" t="str">
            <v>Commercial_LED LCD Monitor 65</v>
          </cell>
          <cell r="AZ858" t="str">
            <v>CSME65FW</v>
          </cell>
          <cell r="BA858" t="str">
            <v>Commercial_LED LCD Monitor 65 (MFT WIDE)</v>
          </cell>
        </row>
        <row r="859">
          <cell r="E859" t="str">
            <v>65UJ660H5SD.ATV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 t="str">
            <v/>
          </cell>
          <cell r="AH859" t="str">
            <v/>
          </cell>
          <cell r="AI859" t="str">
            <v/>
          </cell>
          <cell r="AJ859" t="str">
            <v/>
          </cell>
          <cell r="AK859" t="str">
            <v>0.213142</v>
          </cell>
          <cell r="AL859" t="str">
            <v>2</v>
          </cell>
          <cell r="AM859" t="str">
            <v>Q</v>
          </cell>
          <cell r="AN859" t="str">
            <v>M0</v>
          </cell>
          <cell r="AO859" t="str">
            <v>Active(Model)</v>
          </cell>
          <cell r="AP859" t="str">
            <v/>
          </cell>
          <cell r="AQ859" t="str">
            <v/>
          </cell>
          <cell r="AR859" t="str">
            <v>Y</v>
          </cell>
          <cell r="AS859" t="str">
            <v/>
          </cell>
          <cell r="AT859" t="str">
            <v>HT</v>
          </cell>
          <cell r="AU859" t="str">
            <v>Commercial Display_Hotel</v>
          </cell>
          <cell r="AV859" t="str">
            <v>HTTE</v>
          </cell>
          <cell r="AW859" t="str">
            <v>Commercial(Hotel)_LED LCD TV</v>
          </cell>
          <cell r="AX859" t="str">
            <v>HTTE65</v>
          </cell>
          <cell r="AY859" t="str">
            <v>Commercial(Hotel)_LED LCD TV 65</v>
          </cell>
          <cell r="AZ859" t="str">
            <v>HTTE65NU</v>
          </cell>
          <cell r="BA859" t="str">
            <v>Commercial(Hotel)_LED LCD TV 65(UHD)</v>
          </cell>
        </row>
        <row r="860">
          <cell r="E860" t="str">
            <v>65UK660H0SA.ATV</v>
          </cell>
          <cell r="F860">
            <v>40</v>
          </cell>
          <cell r="G860">
            <v>0</v>
          </cell>
          <cell r="H860">
            <v>0</v>
          </cell>
          <cell r="I860">
            <v>40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 t="str">
            <v/>
          </cell>
          <cell r="AH860" t="str">
            <v/>
          </cell>
          <cell r="AI860" t="str">
            <v/>
          </cell>
          <cell r="AJ860" t="str">
            <v/>
          </cell>
          <cell r="AK860" t="str">
            <v>0.243162</v>
          </cell>
          <cell r="AL860" t="str">
            <v>2</v>
          </cell>
          <cell r="AM860" t="str">
            <v>Q</v>
          </cell>
          <cell r="AN860" t="str">
            <v>M0</v>
          </cell>
          <cell r="AO860" t="str">
            <v>Active(Model)</v>
          </cell>
          <cell r="AP860" t="str">
            <v/>
          </cell>
          <cell r="AQ860" t="str">
            <v/>
          </cell>
          <cell r="AR860" t="str">
            <v>Y</v>
          </cell>
          <cell r="AS860" t="str">
            <v/>
          </cell>
          <cell r="AT860" t="str">
            <v>HT</v>
          </cell>
          <cell r="AU860" t="str">
            <v>Commercial Display_Hotel</v>
          </cell>
          <cell r="AV860" t="str">
            <v>HTTE</v>
          </cell>
          <cell r="AW860" t="str">
            <v>Commercial(Hotel)_LED LCD TV</v>
          </cell>
          <cell r="AX860" t="str">
            <v>HTTE65</v>
          </cell>
          <cell r="AY860" t="str">
            <v>Commercial(Hotel)_LED LCD TV 65</v>
          </cell>
          <cell r="AZ860" t="str">
            <v>HTTE65NU</v>
          </cell>
          <cell r="BA860" t="str">
            <v>Commercial(Hotel)_LED LCD TV 65(UHD)</v>
          </cell>
        </row>
        <row r="861">
          <cell r="E861" t="str">
            <v>65UK760H0SD.ATV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 t="str">
            <v/>
          </cell>
          <cell r="AH861" t="str">
            <v/>
          </cell>
          <cell r="AI861" t="str">
            <v/>
          </cell>
          <cell r="AJ861" t="str">
            <v/>
          </cell>
          <cell r="AK861" t="str">
            <v>0.266944</v>
          </cell>
          <cell r="AL861" t="str">
            <v>2</v>
          </cell>
          <cell r="AM861" t="str">
            <v>Q</v>
          </cell>
          <cell r="AN861" t="str">
            <v>M0</v>
          </cell>
          <cell r="AO861" t="str">
            <v>Active(Model)</v>
          </cell>
          <cell r="AP861" t="str">
            <v/>
          </cell>
          <cell r="AQ861" t="str">
            <v/>
          </cell>
          <cell r="AR861" t="str">
            <v>Y</v>
          </cell>
          <cell r="AS861" t="str">
            <v/>
          </cell>
          <cell r="AT861" t="str">
            <v>HT</v>
          </cell>
          <cell r="AU861" t="str">
            <v>Commercial Display_Hotel</v>
          </cell>
          <cell r="AV861" t="str">
            <v>HTTE</v>
          </cell>
          <cell r="AW861" t="str">
            <v>Commercial(Hotel)_LED LCD TV</v>
          </cell>
          <cell r="AX861" t="str">
            <v>HTTE65</v>
          </cell>
          <cell r="AY861" t="str">
            <v>Commercial(Hotel)_LED LCD TV 65</v>
          </cell>
          <cell r="AZ861" t="str">
            <v>HTTE65NU</v>
          </cell>
          <cell r="BA861" t="str">
            <v>Commercial(Hotel)_LED LCD TV 65(UHD)</v>
          </cell>
        </row>
        <row r="862">
          <cell r="E862" t="str">
            <v>65UK767H0SD.ATV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 t="str">
            <v/>
          </cell>
          <cell r="AH862" t="str">
            <v/>
          </cell>
          <cell r="AI862" t="str">
            <v/>
          </cell>
          <cell r="AJ862" t="str">
            <v/>
          </cell>
          <cell r="AK862" t="str">
            <v>0.315056</v>
          </cell>
          <cell r="AL862" t="str">
            <v>2</v>
          </cell>
          <cell r="AM862" t="str">
            <v>Q</v>
          </cell>
          <cell r="AN862" t="str">
            <v>M0</v>
          </cell>
          <cell r="AO862" t="str">
            <v>Active(Model)</v>
          </cell>
          <cell r="AP862" t="str">
            <v/>
          </cell>
          <cell r="AQ862" t="str">
            <v/>
          </cell>
          <cell r="AR862" t="str">
            <v>Y</v>
          </cell>
          <cell r="AS862" t="str">
            <v/>
          </cell>
          <cell r="AT862" t="str">
            <v>HT</v>
          </cell>
          <cell r="AU862" t="str">
            <v>Commercial Display_Hotel</v>
          </cell>
          <cell r="AV862" t="str">
            <v>HTTE</v>
          </cell>
          <cell r="AW862" t="str">
            <v>Commercial(Hotel)_LED LCD TV</v>
          </cell>
          <cell r="AX862" t="str">
            <v>HTTE65</v>
          </cell>
          <cell r="AY862" t="str">
            <v>Commercial(Hotel)_LED LCD TV 65</v>
          </cell>
          <cell r="AZ862" t="str">
            <v>HTTE65NU</v>
          </cell>
          <cell r="BA862" t="str">
            <v>Commercial(Hotel)_LED LCD TV 65(UHD)</v>
          </cell>
        </row>
        <row r="863">
          <cell r="E863" t="str">
            <v>65UL3Q-E.ATVQ</v>
          </cell>
          <cell r="F863">
            <v>0</v>
          </cell>
          <cell r="G863">
            <v>0</v>
          </cell>
          <cell r="H863">
            <v>0</v>
          </cell>
          <cell r="I863">
            <v>1</v>
          </cell>
          <cell r="J863">
            <v>0</v>
          </cell>
          <cell r="K863">
            <v>0</v>
          </cell>
          <cell r="L863">
            <v>1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 t="str">
            <v/>
          </cell>
          <cell r="AH863" t="str">
            <v/>
          </cell>
          <cell r="AI863" t="str">
            <v/>
          </cell>
          <cell r="AJ863" t="str">
            <v/>
          </cell>
          <cell r="AK863" t="str">
            <v>0.225002</v>
          </cell>
          <cell r="AL863" t="str">
            <v>2</v>
          </cell>
          <cell r="AM863" t="str">
            <v>Q</v>
          </cell>
          <cell r="AN863" t="str">
            <v>M0</v>
          </cell>
          <cell r="AO863" t="str">
            <v>Active(Model)</v>
          </cell>
          <cell r="AP863" t="str">
            <v/>
          </cell>
          <cell r="AQ863" t="str">
            <v/>
          </cell>
          <cell r="AR863" t="str">
            <v>Y</v>
          </cell>
          <cell r="AS863" t="str">
            <v/>
          </cell>
          <cell r="AT863" t="str">
            <v>CS</v>
          </cell>
          <cell r="AU863" t="str">
            <v>Commercial Display_Signage</v>
          </cell>
          <cell r="AV863" t="str">
            <v>CSME</v>
          </cell>
          <cell r="AW863" t="str">
            <v>Commercial_LED LCD Monitor</v>
          </cell>
          <cell r="AX863" t="str">
            <v>CSME65</v>
          </cell>
          <cell r="AY863" t="str">
            <v>Commercial_LED LCD Monitor 65</v>
          </cell>
          <cell r="AZ863" t="str">
            <v>CSME65FW</v>
          </cell>
          <cell r="BA863" t="str">
            <v>Commercial_LED LCD Monitor 65 (MFT WIDE)</v>
          </cell>
        </row>
        <row r="864">
          <cell r="E864" t="str">
            <v>65UL5Q-E.ATVQ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 t="str">
            <v/>
          </cell>
          <cell r="AH864" t="str">
            <v/>
          </cell>
          <cell r="AI864" t="str">
            <v/>
          </cell>
          <cell r="AJ864" t="str">
            <v/>
          </cell>
          <cell r="AK864" t="str">
            <v>0.225002</v>
          </cell>
          <cell r="AL864" t="str">
            <v>2</v>
          </cell>
          <cell r="AM864" t="str">
            <v>Q</v>
          </cell>
          <cell r="AN864" t="str">
            <v>M0</v>
          </cell>
          <cell r="AO864" t="str">
            <v>Active(Model)</v>
          </cell>
          <cell r="AP864" t="str">
            <v/>
          </cell>
          <cell r="AQ864" t="str">
            <v/>
          </cell>
          <cell r="AR864" t="str">
            <v>Y</v>
          </cell>
          <cell r="AS864" t="str">
            <v/>
          </cell>
          <cell r="AT864" t="str">
            <v>CS</v>
          </cell>
          <cell r="AU864" t="str">
            <v>Commercial Display_Signage</v>
          </cell>
          <cell r="AV864" t="str">
            <v>CSME</v>
          </cell>
          <cell r="AW864" t="str">
            <v>Commercial_LED LCD Monitor</v>
          </cell>
          <cell r="AX864" t="str">
            <v>CSME65</v>
          </cell>
          <cell r="AY864" t="str">
            <v>Commercial_LED LCD Monitor 65</v>
          </cell>
          <cell r="AZ864" t="str">
            <v>CSME65FW</v>
          </cell>
          <cell r="BA864" t="str">
            <v>Commercial_LED LCD Monitor 65 (MFT WIDE)</v>
          </cell>
        </row>
        <row r="865">
          <cell r="E865" t="str">
            <v>65UM660H4SG.ATV</v>
          </cell>
          <cell r="F865">
            <v>2</v>
          </cell>
          <cell r="G865">
            <v>0</v>
          </cell>
          <cell r="H865">
            <v>0</v>
          </cell>
          <cell r="I865">
            <v>2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 t="str">
            <v/>
          </cell>
          <cell r="AH865" t="str">
            <v/>
          </cell>
          <cell r="AI865" t="str">
            <v/>
          </cell>
          <cell r="AJ865" t="str">
            <v/>
          </cell>
          <cell r="AK865" t="str">
            <v>0.266944</v>
          </cell>
          <cell r="AL865" t="str">
            <v>2</v>
          </cell>
          <cell r="AM865" t="str">
            <v>Q</v>
          </cell>
          <cell r="AN865" t="str">
            <v>M0</v>
          </cell>
          <cell r="AO865" t="str">
            <v>Active(Model)</v>
          </cell>
          <cell r="AP865" t="str">
            <v/>
          </cell>
          <cell r="AQ865" t="str">
            <v/>
          </cell>
          <cell r="AR865" t="str">
            <v>Y</v>
          </cell>
          <cell r="AS865" t="str">
            <v/>
          </cell>
          <cell r="AT865" t="str">
            <v>HT</v>
          </cell>
          <cell r="AU865" t="str">
            <v>Commercial Display_Hotel</v>
          </cell>
          <cell r="AV865" t="str">
            <v>HTTE</v>
          </cell>
          <cell r="AW865" t="str">
            <v>Commercial(Hotel)_LED LCD TV</v>
          </cell>
          <cell r="AX865" t="str">
            <v>HTTE65</v>
          </cell>
          <cell r="AY865" t="str">
            <v>Commercial(Hotel)_LED LCD TV 65</v>
          </cell>
          <cell r="AZ865" t="str">
            <v>HTTE65NU</v>
          </cell>
          <cell r="BA865" t="str">
            <v>Commercial(Hotel)_LED LCD TV 65(UHD)</v>
          </cell>
        </row>
        <row r="866">
          <cell r="E866" t="str">
            <v>75MRGB86BSA.ATV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 t="str">
            <v>LCDPREPLUS</v>
          </cell>
          <cell r="AH866" t="str">
            <v>LCD_Premium Plus</v>
          </cell>
          <cell r="AI866" t="str">
            <v/>
          </cell>
          <cell r="AJ866" t="str">
            <v/>
          </cell>
          <cell r="AK866" t="str">
            <v>0.502774</v>
          </cell>
          <cell r="AL866" t="str">
            <v>2</v>
          </cell>
          <cell r="AM866" t="str">
            <v>Q</v>
          </cell>
          <cell r="AN866" t="str">
            <v>M0</v>
          </cell>
          <cell r="AO866" t="str">
            <v>Active(Model)</v>
          </cell>
          <cell r="AP866" t="str">
            <v/>
          </cell>
          <cell r="AQ866" t="str">
            <v/>
          </cell>
          <cell r="AR866" t="str">
            <v>Y</v>
          </cell>
          <cell r="AS866" t="str">
            <v/>
          </cell>
          <cell r="AT866" t="str">
            <v>TV</v>
          </cell>
          <cell r="AU866" t="str">
            <v>TV</v>
          </cell>
          <cell r="AV866" t="str">
            <v>TVLE</v>
          </cell>
          <cell r="AW866" t="str">
            <v>LED LCD TV</v>
          </cell>
          <cell r="AX866" t="str">
            <v>TVLE75</v>
          </cell>
          <cell r="AY866" t="str">
            <v>LED LCD TV 75</v>
          </cell>
          <cell r="AZ866" t="str">
            <v>TVLE75NU</v>
          </cell>
          <cell r="BA866" t="str">
            <v>LED LCD TV 75 (UD)</v>
          </cell>
        </row>
        <row r="867">
          <cell r="E867" t="str">
            <v>75NU805BPSB.ATVQ</v>
          </cell>
          <cell r="F867">
            <v>120</v>
          </cell>
          <cell r="G867">
            <v>0</v>
          </cell>
          <cell r="H867">
            <v>0</v>
          </cell>
          <cell r="I867">
            <v>146</v>
          </cell>
          <cell r="J867">
            <v>60</v>
          </cell>
          <cell r="K867">
            <v>0</v>
          </cell>
          <cell r="L867">
            <v>10</v>
          </cell>
          <cell r="M867">
            <v>0</v>
          </cell>
          <cell r="N867">
            <v>0</v>
          </cell>
          <cell r="O867">
            <v>40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 t="str">
            <v>LCDPREPLUS</v>
          </cell>
          <cell r="AH867" t="str">
            <v>LCD_Premium Plus</v>
          </cell>
          <cell r="AI867" t="str">
            <v/>
          </cell>
          <cell r="AJ867" t="str">
            <v/>
          </cell>
          <cell r="AK867" t="str">
            <v>0.331169</v>
          </cell>
          <cell r="AL867" t="str">
            <v>2</v>
          </cell>
          <cell r="AM867" t="str">
            <v>Q</v>
          </cell>
          <cell r="AN867" t="str">
            <v>M0</v>
          </cell>
          <cell r="AO867" t="str">
            <v>Active(Model)</v>
          </cell>
          <cell r="AP867" t="str">
            <v/>
          </cell>
          <cell r="AQ867" t="str">
            <v/>
          </cell>
          <cell r="AR867" t="str">
            <v>Y</v>
          </cell>
          <cell r="AS867" t="str">
            <v/>
          </cell>
          <cell r="AT867" t="str">
            <v>TV</v>
          </cell>
          <cell r="AU867" t="str">
            <v>TV</v>
          </cell>
          <cell r="AV867" t="str">
            <v>TVLE</v>
          </cell>
          <cell r="AW867" t="str">
            <v>LED LCD TV</v>
          </cell>
          <cell r="AX867" t="str">
            <v>TVLE75</v>
          </cell>
          <cell r="AY867" t="str">
            <v>LED LCD TV 75</v>
          </cell>
          <cell r="AZ867" t="str">
            <v>TVLE75OU</v>
          </cell>
          <cell r="BA867" t="str">
            <v>LED LCD TV 75 (O/S, UD)</v>
          </cell>
        </row>
        <row r="868">
          <cell r="E868" t="str">
            <v>75NU835BPSA.ATV</v>
          </cell>
          <cell r="F868">
            <v>0</v>
          </cell>
          <cell r="G868">
            <v>0</v>
          </cell>
          <cell r="H868">
            <v>0</v>
          </cell>
          <cell r="I868">
            <v>175</v>
          </cell>
          <cell r="J868">
            <v>0</v>
          </cell>
          <cell r="K868">
            <v>27</v>
          </cell>
          <cell r="L868">
            <v>0</v>
          </cell>
          <cell r="M868">
            <v>2</v>
          </cell>
          <cell r="N868">
            <v>173</v>
          </cell>
          <cell r="O868">
            <v>0</v>
          </cell>
          <cell r="P868">
            <v>175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 t="str">
            <v>LCDPREPLUS</v>
          </cell>
          <cell r="AH868" t="str">
            <v>LCD_Premium Plus</v>
          </cell>
          <cell r="AI868" t="str">
            <v/>
          </cell>
          <cell r="AJ868" t="str">
            <v/>
          </cell>
          <cell r="AK868" t="str">
            <v>0.319901</v>
          </cell>
          <cell r="AL868" t="str">
            <v>2</v>
          </cell>
          <cell r="AM868" t="str">
            <v>Q</v>
          </cell>
          <cell r="AN868" t="str">
            <v>M0</v>
          </cell>
          <cell r="AO868" t="str">
            <v>Active(Model)</v>
          </cell>
          <cell r="AP868" t="str">
            <v/>
          </cell>
          <cell r="AQ868" t="str">
            <v/>
          </cell>
          <cell r="AR868" t="str">
            <v>Y</v>
          </cell>
          <cell r="AS868" t="str">
            <v/>
          </cell>
          <cell r="AT868" t="str">
            <v>TV</v>
          </cell>
          <cell r="AU868" t="str">
            <v>TV</v>
          </cell>
          <cell r="AV868" t="str">
            <v>TVLE</v>
          </cell>
          <cell r="AW868" t="str">
            <v>LED LCD TV</v>
          </cell>
          <cell r="AX868" t="str">
            <v>TVLE75</v>
          </cell>
          <cell r="AY868" t="str">
            <v>LED LCD TV 75</v>
          </cell>
          <cell r="AZ868" t="str">
            <v>TVLE75NU</v>
          </cell>
          <cell r="BA868" t="str">
            <v>LED LCD TV 75 (UD)</v>
          </cell>
        </row>
        <row r="869">
          <cell r="E869" t="str">
            <v>75NU855BPSA.ATV</v>
          </cell>
          <cell r="F869">
            <v>0</v>
          </cell>
          <cell r="G869">
            <v>0</v>
          </cell>
          <cell r="H869">
            <v>0</v>
          </cell>
          <cell r="I869">
            <v>130</v>
          </cell>
          <cell r="J869">
            <v>10</v>
          </cell>
          <cell r="K869">
            <v>64</v>
          </cell>
          <cell r="L869">
            <v>0</v>
          </cell>
          <cell r="M869">
            <v>55</v>
          </cell>
          <cell r="N869">
            <v>62</v>
          </cell>
          <cell r="O869">
            <v>68</v>
          </cell>
          <cell r="P869">
            <v>117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2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 t="str">
            <v>LCDPREPLUS</v>
          </cell>
          <cell r="AH869" t="str">
            <v>LCD_Premium Plus</v>
          </cell>
          <cell r="AI869" t="str">
            <v/>
          </cell>
          <cell r="AJ869" t="str">
            <v/>
          </cell>
          <cell r="AK869" t="str">
            <v>0.319901</v>
          </cell>
          <cell r="AL869" t="str">
            <v>2</v>
          </cell>
          <cell r="AM869" t="str">
            <v>Q</v>
          </cell>
          <cell r="AN869" t="str">
            <v>M0</v>
          </cell>
          <cell r="AO869" t="str">
            <v>Active(Model)</v>
          </cell>
          <cell r="AP869" t="str">
            <v/>
          </cell>
          <cell r="AQ869" t="str">
            <v/>
          </cell>
          <cell r="AR869" t="str">
            <v>Y</v>
          </cell>
          <cell r="AS869" t="str">
            <v/>
          </cell>
          <cell r="AT869" t="str">
            <v>TV</v>
          </cell>
          <cell r="AU869" t="str">
            <v>TV</v>
          </cell>
          <cell r="AV869" t="str">
            <v>TVLE</v>
          </cell>
          <cell r="AW869" t="str">
            <v>LED LCD TV</v>
          </cell>
          <cell r="AX869" t="str">
            <v>TVLE75</v>
          </cell>
          <cell r="AY869" t="str">
            <v>LED LCD TV 75</v>
          </cell>
          <cell r="AZ869" t="str">
            <v>TVLE75NU</v>
          </cell>
          <cell r="BA869" t="str">
            <v>LED LCD TV 75 (UD)</v>
          </cell>
        </row>
        <row r="870">
          <cell r="E870" t="str">
            <v>75NU85CBPSA.ATV</v>
          </cell>
          <cell r="F870">
            <v>111</v>
          </cell>
          <cell r="G870">
            <v>0</v>
          </cell>
          <cell r="H870">
            <v>0</v>
          </cell>
          <cell r="I870">
            <v>111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 t="str">
            <v/>
          </cell>
          <cell r="AH870" t="str">
            <v/>
          </cell>
          <cell r="AI870" t="str">
            <v/>
          </cell>
          <cell r="AJ870" t="str">
            <v/>
          </cell>
          <cell r="AK870" t="str">
            <v>0.319901</v>
          </cell>
          <cell r="AL870" t="str">
            <v>2</v>
          </cell>
          <cell r="AM870" t="str">
            <v>Q</v>
          </cell>
          <cell r="AN870" t="str">
            <v>M0</v>
          </cell>
          <cell r="AO870" t="str">
            <v>Active(Model)</v>
          </cell>
          <cell r="AP870" t="str">
            <v/>
          </cell>
          <cell r="AQ870" t="str">
            <v/>
          </cell>
          <cell r="AR870" t="str">
            <v>Y</v>
          </cell>
          <cell r="AS870" t="str">
            <v/>
          </cell>
          <cell r="AT870" t="str">
            <v>CS</v>
          </cell>
          <cell r="AU870" t="str">
            <v>Commercial Display_Signage</v>
          </cell>
          <cell r="AV870" t="str">
            <v>CSTE</v>
          </cell>
          <cell r="AW870" t="str">
            <v>Commercial_LED LCD TV</v>
          </cell>
          <cell r="AX870" t="str">
            <v>CSTE75</v>
          </cell>
          <cell r="AY870" t="str">
            <v>Commercial_LED LCD TV 75</v>
          </cell>
          <cell r="AZ870" t="str">
            <v>CSTE75NU</v>
          </cell>
          <cell r="BA870" t="str">
            <v>Commercial_LED LCD TV 75(UHD)</v>
          </cell>
        </row>
        <row r="871">
          <cell r="E871" t="str">
            <v>75PK640S0SA.ATVQ</v>
          </cell>
          <cell r="F871">
            <v>3</v>
          </cell>
          <cell r="G871">
            <v>0</v>
          </cell>
          <cell r="H871">
            <v>0</v>
          </cell>
          <cell r="I871">
            <v>3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 t="str">
            <v/>
          </cell>
          <cell r="AH871" t="str">
            <v/>
          </cell>
          <cell r="AI871" t="str">
            <v/>
          </cell>
          <cell r="AJ871" t="str">
            <v/>
          </cell>
          <cell r="AK871" t="str">
            <v>0.377344</v>
          </cell>
          <cell r="AL871" t="str">
            <v>2</v>
          </cell>
          <cell r="AM871" t="str">
            <v>Q</v>
          </cell>
          <cell r="AN871" t="str">
            <v>M0</v>
          </cell>
          <cell r="AO871" t="str">
            <v>Active(Model)</v>
          </cell>
          <cell r="AP871" t="str">
            <v/>
          </cell>
          <cell r="AQ871" t="str">
            <v/>
          </cell>
          <cell r="AR871" t="str">
            <v>Y</v>
          </cell>
          <cell r="AS871" t="str">
            <v/>
          </cell>
          <cell r="AT871" t="str">
            <v>CS</v>
          </cell>
          <cell r="AU871" t="str">
            <v>Commercial Display_Signage</v>
          </cell>
          <cell r="AV871" t="str">
            <v>CSTE</v>
          </cell>
          <cell r="AW871" t="str">
            <v>Commercial_LED LCD TV</v>
          </cell>
          <cell r="AX871" t="str">
            <v>CSTE75</v>
          </cell>
          <cell r="AY871" t="str">
            <v>Commercial_LED LCD TV 75</v>
          </cell>
          <cell r="AZ871" t="str">
            <v>CSTE75NU</v>
          </cell>
          <cell r="BA871" t="str">
            <v>Commercial_LED LCD TV 75(UHD)</v>
          </cell>
        </row>
        <row r="872">
          <cell r="E872" t="str">
            <v>75QNED70BSA.ATV</v>
          </cell>
          <cell r="F872">
            <v>0</v>
          </cell>
          <cell r="G872">
            <v>0</v>
          </cell>
          <cell r="H872">
            <v>0</v>
          </cell>
          <cell r="I872">
            <v>2</v>
          </cell>
          <cell r="J872">
            <v>0</v>
          </cell>
          <cell r="K872">
            <v>26</v>
          </cell>
          <cell r="L872">
            <v>0</v>
          </cell>
          <cell r="M872">
            <v>0</v>
          </cell>
          <cell r="N872">
            <v>2</v>
          </cell>
          <cell r="O872">
            <v>88</v>
          </cell>
          <cell r="P872">
            <v>2</v>
          </cell>
          <cell r="Q872">
            <v>90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 t="str">
            <v>LCDPREPLUS</v>
          </cell>
          <cell r="AH872" t="str">
            <v>LCD_Premium Plus</v>
          </cell>
          <cell r="AI872" t="str">
            <v/>
          </cell>
          <cell r="AJ872" t="str">
            <v/>
          </cell>
          <cell r="AK872" t="str">
            <v>0.319901</v>
          </cell>
          <cell r="AL872" t="str">
            <v>2</v>
          </cell>
          <cell r="AM872" t="str">
            <v>Q</v>
          </cell>
          <cell r="AN872" t="str">
            <v>M0</v>
          </cell>
          <cell r="AO872" t="str">
            <v>Active(Model)</v>
          </cell>
          <cell r="AP872" t="str">
            <v/>
          </cell>
          <cell r="AQ872" t="str">
            <v/>
          </cell>
          <cell r="AR872" t="str">
            <v>Y</v>
          </cell>
          <cell r="AS872" t="str">
            <v/>
          </cell>
          <cell r="AT872" t="str">
            <v>TV</v>
          </cell>
          <cell r="AU872" t="str">
            <v>TV</v>
          </cell>
          <cell r="AV872" t="str">
            <v>TVLE</v>
          </cell>
          <cell r="AW872" t="str">
            <v>LED LCD TV</v>
          </cell>
          <cell r="AX872" t="str">
            <v>TVLE75</v>
          </cell>
          <cell r="AY872" t="str">
            <v>LED LCD TV 75</v>
          </cell>
          <cell r="AZ872" t="str">
            <v>TVLE75NU</v>
          </cell>
          <cell r="BA872" t="str">
            <v>LED LCD TV 75 (UD)</v>
          </cell>
        </row>
        <row r="873">
          <cell r="E873" t="str">
            <v>75QNED80BSA.ATV</v>
          </cell>
          <cell r="F873">
            <v>0</v>
          </cell>
          <cell r="G873">
            <v>0</v>
          </cell>
          <cell r="H873">
            <v>0</v>
          </cell>
          <cell r="I873">
            <v>3</v>
          </cell>
          <cell r="J873">
            <v>2</v>
          </cell>
          <cell r="K873">
            <v>81</v>
          </cell>
          <cell r="L873">
            <v>0</v>
          </cell>
          <cell r="M873">
            <v>1</v>
          </cell>
          <cell r="N873">
            <v>2</v>
          </cell>
          <cell r="O873">
            <v>2</v>
          </cell>
          <cell r="P873">
            <v>3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 t="str">
            <v>LCDPREPLUS</v>
          </cell>
          <cell r="AH873" t="str">
            <v>LCD_Premium Plus</v>
          </cell>
          <cell r="AI873" t="str">
            <v/>
          </cell>
          <cell r="AJ873" t="str">
            <v/>
          </cell>
          <cell r="AK873" t="str">
            <v>0.319901</v>
          </cell>
          <cell r="AL873" t="str">
            <v>2</v>
          </cell>
          <cell r="AM873" t="str">
            <v>Q</v>
          </cell>
          <cell r="AN873" t="str">
            <v>M0</v>
          </cell>
          <cell r="AO873" t="str">
            <v>Active(Model)</v>
          </cell>
          <cell r="AP873" t="str">
            <v/>
          </cell>
          <cell r="AQ873" t="str">
            <v/>
          </cell>
          <cell r="AR873" t="str">
            <v>Y</v>
          </cell>
          <cell r="AS873" t="str">
            <v/>
          </cell>
          <cell r="AT873" t="str">
            <v>TV</v>
          </cell>
          <cell r="AU873" t="str">
            <v>TV</v>
          </cell>
          <cell r="AV873" t="str">
            <v>TVLE</v>
          </cell>
          <cell r="AW873" t="str">
            <v>LED LCD TV</v>
          </cell>
          <cell r="AX873" t="str">
            <v>TVLE75</v>
          </cell>
          <cell r="AY873" t="str">
            <v>LED LCD TV 75</v>
          </cell>
          <cell r="AZ873" t="str">
            <v>TVLE75NU</v>
          </cell>
          <cell r="BA873" t="str">
            <v>LED LCD TV 75 (UD)</v>
          </cell>
        </row>
        <row r="874">
          <cell r="E874" t="str">
            <v>75QNED81BSA.ATV</v>
          </cell>
          <cell r="F874">
            <v>0</v>
          </cell>
          <cell r="G874">
            <v>0</v>
          </cell>
          <cell r="H874">
            <v>0</v>
          </cell>
          <cell r="I874">
            <v>13</v>
          </cell>
          <cell r="J874">
            <v>1</v>
          </cell>
          <cell r="K874">
            <v>121</v>
          </cell>
          <cell r="L874">
            <v>0</v>
          </cell>
          <cell r="M874">
            <v>10</v>
          </cell>
          <cell r="N874">
            <v>1</v>
          </cell>
          <cell r="O874">
            <v>6</v>
          </cell>
          <cell r="P874">
            <v>11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 t="str">
            <v>LCDPREPLUS</v>
          </cell>
          <cell r="AH874" t="str">
            <v>LCD_Premium Plus</v>
          </cell>
          <cell r="AI874" t="str">
            <v/>
          </cell>
          <cell r="AJ874" t="str">
            <v/>
          </cell>
          <cell r="AK874" t="str">
            <v>0.345573</v>
          </cell>
          <cell r="AL874" t="str">
            <v>2</v>
          </cell>
          <cell r="AM874" t="str">
            <v>Q</v>
          </cell>
          <cell r="AN874" t="str">
            <v>M0</v>
          </cell>
          <cell r="AO874" t="str">
            <v>Active(Model)</v>
          </cell>
          <cell r="AP874" t="str">
            <v/>
          </cell>
          <cell r="AQ874" t="str">
            <v/>
          </cell>
          <cell r="AR874" t="str">
            <v>Y</v>
          </cell>
          <cell r="AS874" t="str">
            <v/>
          </cell>
          <cell r="AT874" t="str">
            <v>TV</v>
          </cell>
          <cell r="AU874" t="str">
            <v>TV</v>
          </cell>
          <cell r="AV874" t="str">
            <v>TVLE</v>
          </cell>
          <cell r="AW874" t="str">
            <v>LED LCD TV</v>
          </cell>
          <cell r="AX874" t="str">
            <v>TVLE75</v>
          </cell>
          <cell r="AY874" t="str">
            <v>LED LCD TV 75</v>
          </cell>
          <cell r="AZ874" t="str">
            <v>TVLE75NU</v>
          </cell>
          <cell r="BA874" t="str">
            <v>LED LCD TV 75 (UD)</v>
          </cell>
        </row>
        <row r="875">
          <cell r="E875" t="str">
            <v>75QNED86BSA.ATV</v>
          </cell>
          <cell r="F875">
            <v>69</v>
          </cell>
          <cell r="G875">
            <v>0</v>
          </cell>
          <cell r="H875">
            <v>0</v>
          </cell>
          <cell r="I875">
            <v>83</v>
          </cell>
          <cell r="J875">
            <v>1</v>
          </cell>
          <cell r="K875">
            <v>0</v>
          </cell>
          <cell r="L875">
            <v>0</v>
          </cell>
          <cell r="M875">
            <v>2</v>
          </cell>
          <cell r="N875">
            <v>1</v>
          </cell>
          <cell r="O875">
            <v>25</v>
          </cell>
          <cell r="P875">
            <v>3</v>
          </cell>
          <cell r="Q875">
            <v>50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14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2</v>
          </cell>
          <cell r="AF875">
            <v>0</v>
          </cell>
          <cell r="AG875" t="str">
            <v>LCDPREPLUS</v>
          </cell>
          <cell r="AH875" t="str">
            <v>LCD_Premium Plus</v>
          </cell>
          <cell r="AI875" t="str">
            <v/>
          </cell>
          <cell r="AJ875" t="str">
            <v/>
          </cell>
          <cell r="AK875" t="str">
            <v>0.500027</v>
          </cell>
          <cell r="AL875" t="str">
            <v>2</v>
          </cell>
          <cell r="AM875" t="str">
            <v>Q</v>
          </cell>
          <cell r="AN875" t="str">
            <v>M0</v>
          </cell>
          <cell r="AO875" t="str">
            <v>Active(Model)</v>
          </cell>
          <cell r="AP875" t="str">
            <v/>
          </cell>
          <cell r="AQ875" t="str">
            <v/>
          </cell>
          <cell r="AR875" t="str">
            <v>Y</v>
          </cell>
          <cell r="AS875" t="str">
            <v/>
          </cell>
          <cell r="AT875" t="str">
            <v>TV</v>
          </cell>
          <cell r="AU875" t="str">
            <v>TV</v>
          </cell>
          <cell r="AV875" t="str">
            <v>TVLE</v>
          </cell>
          <cell r="AW875" t="str">
            <v>LED LCD TV</v>
          </cell>
          <cell r="AX875" t="str">
            <v>TVLE75</v>
          </cell>
          <cell r="AY875" t="str">
            <v>LED LCD TV 75</v>
          </cell>
          <cell r="AZ875" t="str">
            <v>TVLE75NU</v>
          </cell>
          <cell r="BA875" t="str">
            <v>LED LCD TV 75 (UD)</v>
          </cell>
        </row>
        <row r="876">
          <cell r="E876" t="str">
            <v>75TR3DQ-B.AUBQ</v>
          </cell>
          <cell r="F876">
            <v>2</v>
          </cell>
          <cell r="G876">
            <v>0</v>
          </cell>
          <cell r="H876">
            <v>0</v>
          </cell>
          <cell r="I876">
            <v>2</v>
          </cell>
          <cell r="J876">
            <v>0</v>
          </cell>
          <cell r="K876">
            <v>15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 t="str">
            <v/>
          </cell>
          <cell r="AH876" t="str">
            <v/>
          </cell>
          <cell r="AI876" t="str">
            <v/>
          </cell>
          <cell r="AJ876" t="str">
            <v/>
          </cell>
          <cell r="AK876" t="str">
            <v>0.484147</v>
          </cell>
          <cell r="AL876" t="str">
            <v>2</v>
          </cell>
          <cell r="AM876" t="str">
            <v>Q</v>
          </cell>
          <cell r="AN876" t="str">
            <v>M0</v>
          </cell>
          <cell r="AO876" t="str">
            <v>Active(Model)</v>
          </cell>
          <cell r="AP876" t="str">
            <v/>
          </cell>
          <cell r="AQ876" t="str">
            <v/>
          </cell>
          <cell r="AR876" t="str">
            <v>Y</v>
          </cell>
          <cell r="AS876" t="str">
            <v/>
          </cell>
          <cell r="AT876" t="str">
            <v>CS</v>
          </cell>
          <cell r="AU876" t="str">
            <v>Commercial Display_Signage</v>
          </cell>
          <cell r="AV876" t="str">
            <v>CSME</v>
          </cell>
          <cell r="AW876" t="str">
            <v>Commercial_LED LCD Monitor</v>
          </cell>
          <cell r="AX876" t="str">
            <v>CSME75</v>
          </cell>
          <cell r="AY876" t="str">
            <v>Commercial_LED LCD Monitor 75</v>
          </cell>
          <cell r="AZ876" t="str">
            <v>CSME75FW</v>
          </cell>
          <cell r="BA876" t="str">
            <v>Commercial_LED LCD Monitor 75 (MFT WIDE)</v>
          </cell>
        </row>
        <row r="877">
          <cell r="E877" t="str">
            <v>75UA841CPSA.ATVQ</v>
          </cell>
          <cell r="F877">
            <v>1</v>
          </cell>
          <cell r="G877">
            <v>0</v>
          </cell>
          <cell r="H877">
            <v>0</v>
          </cell>
          <cell r="I877">
            <v>1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 t="str">
            <v/>
          </cell>
          <cell r="AH877" t="str">
            <v/>
          </cell>
          <cell r="AI877" t="str">
            <v/>
          </cell>
          <cell r="AJ877" t="str">
            <v/>
          </cell>
          <cell r="AK877" t="str">
            <v>0.377344</v>
          </cell>
          <cell r="AL877" t="str">
            <v>2</v>
          </cell>
          <cell r="AM877" t="str">
            <v>Q</v>
          </cell>
          <cell r="AN877" t="str">
            <v>M0</v>
          </cell>
          <cell r="AO877" t="str">
            <v>Active(Model)</v>
          </cell>
          <cell r="AP877" t="str">
            <v/>
          </cell>
          <cell r="AQ877" t="str">
            <v/>
          </cell>
          <cell r="AR877" t="str">
            <v>Y</v>
          </cell>
          <cell r="AS877" t="str">
            <v/>
          </cell>
          <cell r="AT877" t="str">
            <v>CS</v>
          </cell>
          <cell r="AU877" t="str">
            <v>Commercial Display_Signage</v>
          </cell>
          <cell r="AV877" t="str">
            <v>CSTE</v>
          </cell>
          <cell r="AW877" t="str">
            <v>Commercial_LED LCD TV</v>
          </cell>
          <cell r="AX877" t="str">
            <v>CSTE75</v>
          </cell>
          <cell r="AY877" t="str">
            <v>Commercial_LED LCD TV 75</v>
          </cell>
          <cell r="AZ877" t="str">
            <v>CSTE75NU</v>
          </cell>
          <cell r="BA877" t="str">
            <v>Commercial_LED LCD TV 75(UHD)</v>
          </cell>
        </row>
        <row r="878">
          <cell r="E878" t="str">
            <v>75UH5Q-E.ATV</v>
          </cell>
          <cell r="F878">
            <v>6</v>
          </cell>
          <cell r="G878">
            <v>0</v>
          </cell>
          <cell r="H878">
            <v>0</v>
          </cell>
          <cell r="I878">
            <v>6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2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 t="str">
            <v/>
          </cell>
          <cell r="AH878" t="str">
            <v/>
          </cell>
          <cell r="AI878" t="str">
            <v/>
          </cell>
          <cell r="AJ878" t="str">
            <v/>
          </cell>
          <cell r="AK878" t="str">
            <v>0.405860</v>
          </cell>
          <cell r="AL878" t="str">
            <v>2</v>
          </cell>
          <cell r="AM878" t="str">
            <v>Q</v>
          </cell>
          <cell r="AN878" t="str">
            <v>M0</v>
          </cell>
          <cell r="AO878" t="str">
            <v>Active(Model)</v>
          </cell>
          <cell r="AP878" t="str">
            <v/>
          </cell>
          <cell r="AQ878" t="str">
            <v/>
          </cell>
          <cell r="AR878" t="str">
            <v>Y</v>
          </cell>
          <cell r="AS878" t="str">
            <v/>
          </cell>
          <cell r="AT878" t="str">
            <v>CS</v>
          </cell>
          <cell r="AU878" t="str">
            <v>Commercial Display_Signage</v>
          </cell>
          <cell r="AV878" t="str">
            <v>CSME</v>
          </cell>
          <cell r="AW878" t="str">
            <v>Commercial_LED LCD Monitor</v>
          </cell>
          <cell r="AX878" t="str">
            <v>CSME75</v>
          </cell>
          <cell r="AY878" t="str">
            <v>Commercial_LED LCD Monitor 75</v>
          </cell>
          <cell r="AZ878" t="str">
            <v>CSME75FW</v>
          </cell>
          <cell r="BA878" t="str">
            <v>Commercial_LED LCD Monitor 75 (MFT WIDE)</v>
          </cell>
        </row>
        <row r="879">
          <cell r="E879" t="str">
            <v>75UK767H0SD.ATV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 t="str">
            <v/>
          </cell>
          <cell r="AH879" t="str">
            <v/>
          </cell>
          <cell r="AI879" t="str">
            <v/>
          </cell>
          <cell r="AJ879" t="str">
            <v/>
          </cell>
          <cell r="AK879" t="str">
            <v>0.445079</v>
          </cell>
          <cell r="AL879" t="str">
            <v>2</v>
          </cell>
          <cell r="AM879" t="str">
            <v>Q</v>
          </cell>
          <cell r="AN879" t="str">
            <v>M0</v>
          </cell>
          <cell r="AO879" t="str">
            <v>Active(Model)</v>
          </cell>
          <cell r="AP879" t="str">
            <v/>
          </cell>
          <cell r="AQ879" t="str">
            <v/>
          </cell>
          <cell r="AR879" t="str">
            <v>Y</v>
          </cell>
          <cell r="AS879" t="str">
            <v/>
          </cell>
          <cell r="AT879" t="str">
            <v>HT</v>
          </cell>
          <cell r="AU879" t="str">
            <v>Commercial Display_Hotel</v>
          </cell>
          <cell r="AV879" t="str">
            <v>HTTE</v>
          </cell>
          <cell r="AW879" t="str">
            <v>Commercial(Hotel)_LED LCD TV</v>
          </cell>
          <cell r="AX879" t="str">
            <v>HTTE75</v>
          </cell>
          <cell r="AY879" t="str">
            <v>Commercial(Hotel)_LED LCD TV 75</v>
          </cell>
          <cell r="AZ879" t="str">
            <v>HTTE75NU</v>
          </cell>
          <cell r="BA879" t="str">
            <v>Commercial(Hotel)_LED LCD TV 75(UHD)</v>
          </cell>
        </row>
        <row r="880">
          <cell r="E880" t="str">
            <v>75UL3J-B.ATV</v>
          </cell>
          <cell r="F880">
            <v>1</v>
          </cell>
          <cell r="G880">
            <v>0</v>
          </cell>
          <cell r="H880">
            <v>0</v>
          </cell>
          <cell r="I880">
            <v>1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1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 t="str">
            <v>ID</v>
          </cell>
          <cell r="AH880" t="str">
            <v>Information Display</v>
          </cell>
          <cell r="AI880" t="str">
            <v/>
          </cell>
          <cell r="AJ880" t="str">
            <v/>
          </cell>
          <cell r="AK880" t="str">
            <v>0.405860</v>
          </cell>
          <cell r="AL880" t="str">
            <v>2</v>
          </cell>
          <cell r="AM880" t="str">
            <v>Q</v>
          </cell>
          <cell r="AN880" t="str">
            <v>M0</v>
          </cell>
          <cell r="AO880" t="str">
            <v>Active(Model)</v>
          </cell>
          <cell r="AP880" t="str">
            <v/>
          </cell>
          <cell r="AQ880" t="str">
            <v/>
          </cell>
          <cell r="AR880" t="str">
            <v>Y</v>
          </cell>
          <cell r="AS880" t="str">
            <v/>
          </cell>
          <cell r="AT880" t="str">
            <v>CS</v>
          </cell>
          <cell r="AU880" t="str">
            <v>Commercial Display_Signage</v>
          </cell>
          <cell r="AV880" t="str">
            <v>CSME</v>
          </cell>
          <cell r="AW880" t="str">
            <v>Commercial_LED LCD Monitor</v>
          </cell>
          <cell r="AX880" t="str">
            <v>CSME75</v>
          </cell>
          <cell r="AY880" t="str">
            <v>Commercial_LED LCD Monitor 75</v>
          </cell>
          <cell r="AZ880" t="str">
            <v>CSME75FW</v>
          </cell>
          <cell r="BA880" t="str">
            <v>Commercial_LED LCD Monitor 75 (MFT WIDE)</v>
          </cell>
        </row>
        <row r="881">
          <cell r="E881" t="str">
            <v>75UL3Q-E.ATVQ</v>
          </cell>
          <cell r="F881">
            <v>0</v>
          </cell>
          <cell r="G881">
            <v>0</v>
          </cell>
          <cell r="H881">
            <v>0</v>
          </cell>
          <cell r="I881">
            <v>2</v>
          </cell>
          <cell r="J881">
            <v>0</v>
          </cell>
          <cell r="K881">
            <v>0</v>
          </cell>
          <cell r="L881">
            <v>2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 t="str">
            <v/>
          </cell>
          <cell r="AH881" t="str">
            <v/>
          </cell>
          <cell r="AI881" t="str">
            <v/>
          </cell>
          <cell r="AJ881" t="str">
            <v/>
          </cell>
          <cell r="AK881" t="str">
            <v>0.375703</v>
          </cell>
          <cell r="AL881" t="str">
            <v>2</v>
          </cell>
          <cell r="AM881" t="str">
            <v>Q</v>
          </cell>
          <cell r="AN881" t="str">
            <v>M0</v>
          </cell>
          <cell r="AO881" t="str">
            <v>Active(Model)</v>
          </cell>
          <cell r="AP881" t="str">
            <v/>
          </cell>
          <cell r="AQ881" t="str">
            <v/>
          </cell>
          <cell r="AR881" t="str">
            <v>Y</v>
          </cell>
          <cell r="AS881" t="str">
            <v/>
          </cell>
          <cell r="AT881" t="str">
            <v>CS</v>
          </cell>
          <cell r="AU881" t="str">
            <v>Commercial Display_Signage</v>
          </cell>
          <cell r="AV881" t="str">
            <v>CSME</v>
          </cell>
          <cell r="AW881" t="str">
            <v>Commercial_LED LCD Monitor</v>
          </cell>
          <cell r="AX881" t="str">
            <v>CSME75</v>
          </cell>
          <cell r="AY881" t="str">
            <v>Commercial_LED LCD Monitor 75</v>
          </cell>
          <cell r="AZ881" t="str">
            <v>CSME75FW</v>
          </cell>
          <cell r="BA881" t="str">
            <v>Commercial_LED LCD Monitor 75 (MFT WIDE)</v>
          </cell>
        </row>
        <row r="882">
          <cell r="E882" t="str">
            <v>75UL5Q-M.ATVQ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 t="str">
            <v/>
          </cell>
          <cell r="AH882" t="str">
            <v/>
          </cell>
          <cell r="AI882" t="str">
            <v/>
          </cell>
          <cell r="AJ882" t="str">
            <v/>
          </cell>
          <cell r="AK882" t="str">
            <v>0.375703</v>
          </cell>
          <cell r="AL882" t="str">
            <v>2</v>
          </cell>
          <cell r="AM882" t="str">
            <v>Q</v>
          </cell>
          <cell r="AN882" t="str">
            <v>M0</v>
          </cell>
          <cell r="AO882" t="str">
            <v>Active(Model)</v>
          </cell>
          <cell r="AP882" t="str">
            <v/>
          </cell>
          <cell r="AQ882" t="str">
            <v/>
          </cell>
          <cell r="AR882" t="str">
            <v>Y</v>
          </cell>
          <cell r="AS882" t="str">
            <v/>
          </cell>
          <cell r="AT882" t="str">
            <v>CS</v>
          </cell>
          <cell r="AU882" t="str">
            <v>Commercial Display_Signage</v>
          </cell>
          <cell r="AV882" t="str">
            <v>CSME</v>
          </cell>
          <cell r="AW882" t="str">
            <v>Commercial_LED LCD Monitor</v>
          </cell>
          <cell r="AX882" t="str">
            <v>CSME75</v>
          </cell>
          <cell r="AY882" t="str">
            <v>Commercial_LED LCD Monitor 75</v>
          </cell>
          <cell r="AZ882" t="str">
            <v>CSME75FW</v>
          </cell>
          <cell r="BA882" t="str">
            <v>Commercial_LED LCD Monitor 75 (MFT WIDE)</v>
          </cell>
        </row>
        <row r="883">
          <cell r="E883" t="str">
            <v>85NU805BPSB.ATVQ</v>
          </cell>
          <cell r="F883">
            <v>132</v>
          </cell>
          <cell r="G883">
            <v>0</v>
          </cell>
          <cell r="H883">
            <v>0</v>
          </cell>
          <cell r="I883">
            <v>132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132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 t="str">
            <v>LCDPREPLUS</v>
          </cell>
          <cell r="AH883" t="str">
            <v>LCD_Premium Plus</v>
          </cell>
          <cell r="AI883" t="str">
            <v/>
          </cell>
          <cell r="AJ883" t="str">
            <v/>
          </cell>
          <cell r="AK883" t="str">
            <v>0.464807</v>
          </cell>
          <cell r="AL883" t="str">
            <v>2</v>
          </cell>
          <cell r="AM883" t="str">
            <v>Q</v>
          </cell>
          <cell r="AN883" t="str">
            <v>M0</v>
          </cell>
          <cell r="AO883" t="str">
            <v>Active(Model)</v>
          </cell>
          <cell r="AP883" t="str">
            <v/>
          </cell>
          <cell r="AQ883" t="str">
            <v/>
          </cell>
          <cell r="AR883" t="str">
            <v>Y</v>
          </cell>
          <cell r="AS883" t="str">
            <v/>
          </cell>
          <cell r="AT883" t="str">
            <v>TV</v>
          </cell>
          <cell r="AU883" t="str">
            <v>TV</v>
          </cell>
          <cell r="AV883" t="str">
            <v>TVLE</v>
          </cell>
          <cell r="AW883" t="str">
            <v>LED LCD TV</v>
          </cell>
          <cell r="AX883" t="str">
            <v>TVLE85</v>
          </cell>
          <cell r="AY883" t="str">
            <v>LED LCD TV 85</v>
          </cell>
          <cell r="AZ883" t="str">
            <v>TVLE85OU</v>
          </cell>
          <cell r="BA883" t="str">
            <v>LED LCD TV 85 (O/S, UD)</v>
          </cell>
        </row>
        <row r="884">
          <cell r="E884" t="str">
            <v>85NU835BPSA.ATV</v>
          </cell>
          <cell r="F884">
            <v>10</v>
          </cell>
          <cell r="G884">
            <v>0</v>
          </cell>
          <cell r="H884">
            <v>0</v>
          </cell>
          <cell r="I884">
            <v>40</v>
          </cell>
          <cell r="J884">
            <v>0</v>
          </cell>
          <cell r="K884">
            <v>0</v>
          </cell>
          <cell r="L884">
            <v>0</v>
          </cell>
          <cell r="M884">
            <v>30</v>
          </cell>
          <cell r="N884">
            <v>0</v>
          </cell>
          <cell r="O884">
            <v>0</v>
          </cell>
          <cell r="P884">
            <v>30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 t="str">
            <v>LCDPREPLUS</v>
          </cell>
          <cell r="AH884" t="str">
            <v>LCD_Premium Plus</v>
          </cell>
          <cell r="AI884" t="str">
            <v/>
          </cell>
          <cell r="AJ884" t="str">
            <v/>
          </cell>
          <cell r="AK884" t="str">
            <v>0.427097</v>
          </cell>
          <cell r="AL884" t="str">
            <v>2</v>
          </cell>
          <cell r="AM884" t="str">
            <v>Q</v>
          </cell>
          <cell r="AN884" t="str">
            <v>M0</v>
          </cell>
          <cell r="AO884" t="str">
            <v>Active(Model)</v>
          </cell>
          <cell r="AP884" t="str">
            <v/>
          </cell>
          <cell r="AQ884" t="str">
            <v/>
          </cell>
          <cell r="AR884" t="str">
            <v>Y</v>
          </cell>
          <cell r="AS884" t="str">
            <v/>
          </cell>
          <cell r="AT884" t="str">
            <v>TV</v>
          </cell>
          <cell r="AU884" t="str">
            <v>TV</v>
          </cell>
          <cell r="AV884" t="str">
            <v>TVLE</v>
          </cell>
          <cell r="AW884" t="str">
            <v>LED LCD TV</v>
          </cell>
          <cell r="AX884" t="str">
            <v>TVLE85</v>
          </cell>
          <cell r="AY884" t="str">
            <v>LED LCD TV 85</v>
          </cell>
          <cell r="AZ884" t="str">
            <v>TVLE85NU</v>
          </cell>
          <cell r="BA884" t="str">
            <v>LED LCD TV 85 (UD)</v>
          </cell>
        </row>
        <row r="885">
          <cell r="E885" t="str">
            <v>85NU855BPSA.ATV</v>
          </cell>
          <cell r="F885">
            <v>0</v>
          </cell>
          <cell r="G885">
            <v>0</v>
          </cell>
          <cell r="H885">
            <v>0</v>
          </cell>
          <cell r="I885">
            <v>1</v>
          </cell>
          <cell r="J885">
            <v>0</v>
          </cell>
          <cell r="K885">
            <v>78</v>
          </cell>
          <cell r="L885">
            <v>0</v>
          </cell>
          <cell r="M885">
            <v>1</v>
          </cell>
          <cell r="N885">
            <v>0</v>
          </cell>
          <cell r="O885">
            <v>0</v>
          </cell>
          <cell r="P885">
            <v>1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 t="str">
            <v>LCDPREPLUS</v>
          </cell>
          <cell r="AH885" t="str">
            <v>LCD_Premium Plus</v>
          </cell>
          <cell r="AI885" t="str">
            <v/>
          </cell>
          <cell r="AJ885" t="str">
            <v/>
          </cell>
          <cell r="AK885" t="str">
            <v>0.427097</v>
          </cell>
          <cell r="AL885" t="str">
            <v>2</v>
          </cell>
          <cell r="AM885" t="str">
            <v>Q</v>
          </cell>
          <cell r="AN885" t="str">
            <v>M0</v>
          </cell>
          <cell r="AO885" t="str">
            <v>Active(Model)</v>
          </cell>
          <cell r="AP885" t="str">
            <v/>
          </cell>
          <cell r="AQ885" t="str">
            <v/>
          </cell>
          <cell r="AR885" t="str">
            <v>Y</v>
          </cell>
          <cell r="AS885" t="str">
            <v/>
          </cell>
          <cell r="AT885" t="str">
            <v>TV</v>
          </cell>
          <cell r="AU885" t="str">
            <v>TV</v>
          </cell>
          <cell r="AV885" t="str">
            <v>TVLE</v>
          </cell>
          <cell r="AW885" t="str">
            <v>LED LCD TV</v>
          </cell>
          <cell r="AX885" t="str">
            <v>TVLE85</v>
          </cell>
          <cell r="AY885" t="str">
            <v>LED LCD TV 85</v>
          </cell>
          <cell r="AZ885" t="str">
            <v>TVLE85NU</v>
          </cell>
          <cell r="BA885" t="str">
            <v>LED LCD TV 85 (UD)</v>
          </cell>
        </row>
        <row r="886">
          <cell r="E886" t="str">
            <v>85NU85CBPSA.ATV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 t="str">
            <v/>
          </cell>
          <cell r="AH886" t="str">
            <v/>
          </cell>
          <cell r="AI886" t="str">
            <v/>
          </cell>
          <cell r="AJ886" t="str">
            <v/>
          </cell>
          <cell r="AK886" t="str">
            <v>0.427097</v>
          </cell>
          <cell r="AL886" t="str">
            <v>2</v>
          </cell>
          <cell r="AM886" t="str">
            <v>Q</v>
          </cell>
          <cell r="AN886" t="str">
            <v>M0</v>
          </cell>
          <cell r="AO886" t="str">
            <v>Active(Model)</v>
          </cell>
          <cell r="AP886" t="str">
            <v/>
          </cell>
          <cell r="AQ886" t="str">
            <v/>
          </cell>
          <cell r="AR886" t="str">
            <v>Y</v>
          </cell>
          <cell r="AS886" t="str">
            <v/>
          </cell>
          <cell r="AT886" t="str">
            <v>CS</v>
          </cell>
          <cell r="AU886" t="str">
            <v>Commercial Display_Signage</v>
          </cell>
          <cell r="AV886" t="str">
            <v>CSTE</v>
          </cell>
          <cell r="AW886" t="str">
            <v>Commercial_LED LCD TV</v>
          </cell>
          <cell r="AX886" t="str">
            <v>CSTE85</v>
          </cell>
          <cell r="AY886" t="str">
            <v>Commercial_LED LCD TV 85</v>
          </cell>
          <cell r="AZ886" t="str">
            <v>CSTE85NU</v>
          </cell>
          <cell r="BA886" t="str">
            <v>Commercial_LED LCD TV 85(UHD)</v>
          </cell>
        </row>
        <row r="887">
          <cell r="E887" t="str">
            <v>85QNED70BSA.ATV</v>
          </cell>
          <cell r="F887">
            <v>15</v>
          </cell>
          <cell r="G887">
            <v>0</v>
          </cell>
          <cell r="H887">
            <v>0</v>
          </cell>
          <cell r="I887">
            <v>15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26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 t="str">
            <v>LCDPREPLUS</v>
          </cell>
          <cell r="AH887" t="str">
            <v>LCD_Premium Plus</v>
          </cell>
          <cell r="AI887" t="str">
            <v/>
          </cell>
          <cell r="AJ887" t="str">
            <v/>
          </cell>
          <cell r="AK887" t="str">
            <v>0.427097</v>
          </cell>
          <cell r="AL887" t="str">
            <v>2</v>
          </cell>
          <cell r="AM887" t="str">
            <v>Q</v>
          </cell>
          <cell r="AN887" t="str">
            <v>M0</v>
          </cell>
          <cell r="AO887" t="str">
            <v>Active(Model)</v>
          </cell>
          <cell r="AP887" t="str">
            <v/>
          </cell>
          <cell r="AQ887" t="str">
            <v/>
          </cell>
          <cell r="AR887" t="str">
            <v>Y</v>
          </cell>
          <cell r="AS887" t="str">
            <v/>
          </cell>
          <cell r="AT887" t="str">
            <v>TV</v>
          </cell>
          <cell r="AU887" t="str">
            <v>TV</v>
          </cell>
          <cell r="AV887" t="str">
            <v>TVLE</v>
          </cell>
          <cell r="AW887" t="str">
            <v>LED LCD TV</v>
          </cell>
          <cell r="AX887" t="str">
            <v>TVLE85</v>
          </cell>
          <cell r="AY887" t="str">
            <v>LED LCD TV 85</v>
          </cell>
          <cell r="AZ887" t="str">
            <v>TVLE85NU</v>
          </cell>
          <cell r="BA887" t="str">
            <v>LED LCD TV 85 (UD)</v>
          </cell>
        </row>
        <row r="888">
          <cell r="E888" t="str">
            <v>85QNED80BSA.ATV</v>
          </cell>
          <cell r="F888">
            <v>0</v>
          </cell>
          <cell r="G888">
            <v>0</v>
          </cell>
          <cell r="H888">
            <v>0</v>
          </cell>
          <cell r="I888">
            <v>3</v>
          </cell>
          <cell r="J888">
            <v>0</v>
          </cell>
          <cell r="K888">
            <v>25</v>
          </cell>
          <cell r="L888">
            <v>0</v>
          </cell>
          <cell r="M888">
            <v>0</v>
          </cell>
          <cell r="N888">
            <v>0</v>
          </cell>
          <cell r="O888">
            <v>2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 t="str">
            <v>LCDPREPLUS</v>
          </cell>
          <cell r="AH888" t="str">
            <v>LCD_Premium Plus</v>
          </cell>
          <cell r="AI888" t="str">
            <v/>
          </cell>
          <cell r="AJ888" t="str">
            <v/>
          </cell>
          <cell r="AK888" t="str">
            <v>0.427097</v>
          </cell>
          <cell r="AL888" t="str">
            <v>2</v>
          </cell>
          <cell r="AM888" t="str">
            <v>Q</v>
          </cell>
          <cell r="AN888" t="str">
            <v>M0</v>
          </cell>
          <cell r="AO888" t="str">
            <v>Active(Model)</v>
          </cell>
          <cell r="AP888" t="str">
            <v/>
          </cell>
          <cell r="AQ888" t="str">
            <v/>
          </cell>
          <cell r="AR888" t="str">
            <v>Y</v>
          </cell>
          <cell r="AS888" t="str">
            <v/>
          </cell>
          <cell r="AT888" t="str">
            <v>TV</v>
          </cell>
          <cell r="AU888" t="str">
            <v>TV</v>
          </cell>
          <cell r="AV888" t="str">
            <v>TVLE</v>
          </cell>
          <cell r="AW888" t="str">
            <v>LED LCD TV</v>
          </cell>
          <cell r="AX888" t="str">
            <v>TVLE85</v>
          </cell>
          <cell r="AY888" t="str">
            <v>LED LCD TV 85</v>
          </cell>
          <cell r="AZ888" t="str">
            <v>TVLE85NU</v>
          </cell>
          <cell r="BA888" t="str">
            <v>LED LCD TV 85 (UD)</v>
          </cell>
        </row>
        <row r="889">
          <cell r="E889" t="str">
            <v>85QNED81BSA.ATV</v>
          </cell>
          <cell r="F889">
            <v>0</v>
          </cell>
          <cell r="G889">
            <v>0</v>
          </cell>
          <cell r="H889">
            <v>0</v>
          </cell>
          <cell r="I889">
            <v>2</v>
          </cell>
          <cell r="J889">
            <v>0</v>
          </cell>
          <cell r="K889">
            <v>6</v>
          </cell>
          <cell r="L889">
            <v>0</v>
          </cell>
          <cell r="M889">
            <v>0</v>
          </cell>
          <cell r="N889">
            <v>1</v>
          </cell>
          <cell r="O889">
            <v>4</v>
          </cell>
          <cell r="P889">
            <v>1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3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 t="str">
            <v>LCDPREPLUS</v>
          </cell>
          <cell r="AH889" t="str">
            <v>LCD_Premium Plus</v>
          </cell>
          <cell r="AI889" t="str">
            <v/>
          </cell>
          <cell r="AJ889" t="str">
            <v/>
          </cell>
          <cell r="AK889" t="str">
            <v>0.442260</v>
          </cell>
          <cell r="AL889" t="str">
            <v>2</v>
          </cell>
          <cell r="AM889" t="str">
            <v>Q</v>
          </cell>
          <cell r="AN889" t="str">
            <v>M0</v>
          </cell>
          <cell r="AO889" t="str">
            <v>Active(Model)</v>
          </cell>
          <cell r="AP889" t="str">
            <v/>
          </cell>
          <cell r="AQ889" t="str">
            <v/>
          </cell>
          <cell r="AR889" t="str">
            <v>Y</v>
          </cell>
          <cell r="AS889" t="str">
            <v/>
          </cell>
          <cell r="AT889" t="str">
            <v>TV</v>
          </cell>
          <cell r="AU889" t="str">
            <v>TV</v>
          </cell>
          <cell r="AV889" t="str">
            <v>TVLE</v>
          </cell>
          <cell r="AW889" t="str">
            <v>LED LCD TV</v>
          </cell>
          <cell r="AX889" t="str">
            <v>TVLE85</v>
          </cell>
          <cell r="AY889" t="str">
            <v>LED LCD TV 85</v>
          </cell>
          <cell r="AZ889" t="str">
            <v>TVLE85NU</v>
          </cell>
          <cell r="BA889" t="str">
            <v>LED LCD TV 85 (UD)</v>
          </cell>
        </row>
        <row r="890">
          <cell r="E890" t="str">
            <v>86MRGB86BSA.ATV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 t="str">
            <v>LCDPREPLUS</v>
          </cell>
          <cell r="AH890" t="str">
            <v>LCD_Premium Plus</v>
          </cell>
          <cell r="AI890" t="str">
            <v/>
          </cell>
          <cell r="AJ890" t="str">
            <v/>
          </cell>
          <cell r="AK890" t="str">
            <v>0.642456</v>
          </cell>
          <cell r="AL890" t="str">
            <v>2</v>
          </cell>
          <cell r="AM890" t="str">
            <v>Q</v>
          </cell>
          <cell r="AN890" t="str">
            <v>M0</v>
          </cell>
          <cell r="AO890" t="str">
            <v>Active(Model)</v>
          </cell>
          <cell r="AP890" t="str">
            <v/>
          </cell>
          <cell r="AQ890" t="str">
            <v/>
          </cell>
          <cell r="AR890" t="str">
            <v>Y</v>
          </cell>
          <cell r="AS890" t="str">
            <v/>
          </cell>
          <cell r="AT890" t="str">
            <v>TV</v>
          </cell>
          <cell r="AU890" t="str">
            <v>TV</v>
          </cell>
          <cell r="AV890" t="str">
            <v>TVLE</v>
          </cell>
          <cell r="AW890" t="str">
            <v>LED LCD TV</v>
          </cell>
          <cell r="AX890" t="str">
            <v>TVLE86</v>
          </cell>
          <cell r="AY890" t="str">
            <v>LED LCD TV 86</v>
          </cell>
          <cell r="AZ890" t="str">
            <v>TVLE86NU</v>
          </cell>
          <cell r="BA890" t="str">
            <v>LED LCD TV 86 (UD)</v>
          </cell>
        </row>
        <row r="891">
          <cell r="E891" t="str">
            <v>86PK640S0SA.ATVQ</v>
          </cell>
          <cell r="F891">
            <v>13</v>
          </cell>
          <cell r="G891">
            <v>0</v>
          </cell>
          <cell r="H891">
            <v>0</v>
          </cell>
          <cell r="I891">
            <v>13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10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 t="str">
            <v/>
          </cell>
          <cell r="AH891" t="str">
            <v/>
          </cell>
          <cell r="AI891" t="str">
            <v/>
          </cell>
          <cell r="AJ891" t="str">
            <v/>
          </cell>
          <cell r="AK891" t="str">
            <v>0.574288</v>
          </cell>
          <cell r="AL891" t="str">
            <v>2</v>
          </cell>
          <cell r="AM891" t="str">
            <v>Q</v>
          </cell>
          <cell r="AN891" t="str">
            <v>M0</v>
          </cell>
          <cell r="AO891" t="str">
            <v>Active(Model)</v>
          </cell>
          <cell r="AP891" t="str">
            <v/>
          </cell>
          <cell r="AQ891" t="str">
            <v/>
          </cell>
          <cell r="AR891" t="str">
            <v>Y</v>
          </cell>
          <cell r="AS891" t="str">
            <v/>
          </cell>
          <cell r="AT891" t="str">
            <v>CS</v>
          </cell>
          <cell r="AU891" t="str">
            <v>Commercial Display_Signage</v>
          </cell>
          <cell r="AV891" t="str">
            <v>CSTE</v>
          </cell>
          <cell r="AW891" t="str">
            <v>Commercial_LED LCD TV</v>
          </cell>
          <cell r="AX891" t="str">
            <v>CSTE86</v>
          </cell>
          <cell r="AY891" t="str">
            <v>Commercial_LED LCD TV 86</v>
          </cell>
          <cell r="AZ891" t="str">
            <v>CSTE86NU</v>
          </cell>
          <cell r="BA891" t="str">
            <v>Commercial_LED LCD TV 86(UHD)</v>
          </cell>
        </row>
        <row r="892">
          <cell r="E892" t="str">
            <v>86QNED86BSA.ATV</v>
          </cell>
          <cell r="F892">
            <v>10</v>
          </cell>
          <cell r="G892">
            <v>0</v>
          </cell>
          <cell r="H892">
            <v>0</v>
          </cell>
          <cell r="I892">
            <v>17</v>
          </cell>
          <cell r="J892">
            <v>0</v>
          </cell>
          <cell r="K892">
            <v>10</v>
          </cell>
          <cell r="L892">
            <v>0</v>
          </cell>
          <cell r="M892">
            <v>1</v>
          </cell>
          <cell r="N892">
            <v>1</v>
          </cell>
          <cell r="O892">
            <v>5</v>
          </cell>
          <cell r="P892">
            <v>2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2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 t="str">
            <v>LCDPREPLUS</v>
          </cell>
          <cell r="AH892" t="str">
            <v>LCD_Premium Plus</v>
          </cell>
          <cell r="AI892" t="str">
            <v/>
          </cell>
          <cell r="AJ892" t="str">
            <v/>
          </cell>
          <cell r="AK892" t="str">
            <v>0.723715</v>
          </cell>
          <cell r="AL892" t="str">
            <v>2</v>
          </cell>
          <cell r="AM892" t="str">
            <v>Q</v>
          </cell>
          <cell r="AN892" t="str">
            <v>M0</v>
          </cell>
          <cell r="AO892" t="str">
            <v>Active(Model)</v>
          </cell>
          <cell r="AP892" t="str">
            <v/>
          </cell>
          <cell r="AQ892" t="str">
            <v/>
          </cell>
          <cell r="AR892" t="str">
            <v>Y</v>
          </cell>
          <cell r="AS892" t="str">
            <v/>
          </cell>
          <cell r="AT892" t="str">
            <v>TV</v>
          </cell>
          <cell r="AU892" t="str">
            <v>TV</v>
          </cell>
          <cell r="AV892" t="str">
            <v>TVLE</v>
          </cell>
          <cell r="AW892" t="str">
            <v>LED LCD TV</v>
          </cell>
          <cell r="AX892" t="str">
            <v>TVLE86</v>
          </cell>
          <cell r="AY892" t="str">
            <v>LED LCD TV 86</v>
          </cell>
          <cell r="AZ892" t="str">
            <v>TVLE86NU</v>
          </cell>
          <cell r="BA892" t="str">
            <v>LED LCD TV 86 (UD)</v>
          </cell>
        </row>
        <row r="893">
          <cell r="E893" t="str">
            <v>86TR3DQ-B.AUBQ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 t="str">
            <v/>
          </cell>
          <cell r="AH893" t="str">
            <v/>
          </cell>
          <cell r="AI893" t="str">
            <v/>
          </cell>
          <cell r="AJ893" t="str">
            <v/>
          </cell>
          <cell r="AK893" t="str">
            <v>0.612902</v>
          </cell>
          <cell r="AL893" t="str">
            <v>2</v>
          </cell>
          <cell r="AM893" t="str">
            <v>Q</v>
          </cell>
          <cell r="AN893" t="str">
            <v>M0</v>
          </cell>
          <cell r="AO893" t="str">
            <v>Active(Model)</v>
          </cell>
          <cell r="AP893" t="str">
            <v/>
          </cell>
          <cell r="AQ893" t="str">
            <v/>
          </cell>
          <cell r="AR893" t="str">
            <v>Y</v>
          </cell>
          <cell r="AS893" t="str">
            <v/>
          </cell>
          <cell r="AT893" t="str">
            <v>CS</v>
          </cell>
          <cell r="AU893" t="str">
            <v>Commercial Display_Signage</v>
          </cell>
          <cell r="AV893" t="str">
            <v>CSME</v>
          </cell>
          <cell r="AW893" t="str">
            <v>Commercial_LED LCD Monitor</v>
          </cell>
          <cell r="AX893" t="str">
            <v>CSME86</v>
          </cell>
          <cell r="AY893" t="str">
            <v>Commercial_LED LCD Monitor 86</v>
          </cell>
          <cell r="AZ893" t="str">
            <v>CSME86FW</v>
          </cell>
          <cell r="BA893" t="str">
            <v>Commercial_LED LCD Monitor 86 (MFT WIDE)</v>
          </cell>
        </row>
        <row r="894">
          <cell r="E894" t="str">
            <v>86UA841CPSA.ATVQ</v>
          </cell>
          <cell r="F894">
            <v>1</v>
          </cell>
          <cell r="G894">
            <v>0</v>
          </cell>
          <cell r="H894">
            <v>0</v>
          </cell>
          <cell r="I894">
            <v>1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 t="str">
            <v/>
          </cell>
          <cell r="AH894" t="str">
            <v/>
          </cell>
          <cell r="AI894" t="str">
            <v/>
          </cell>
          <cell r="AJ894" t="str">
            <v/>
          </cell>
          <cell r="AK894" t="str">
            <v>0.574288</v>
          </cell>
          <cell r="AL894" t="str">
            <v>2</v>
          </cell>
          <cell r="AM894" t="str">
            <v>Q</v>
          </cell>
          <cell r="AN894" t="str">
            <v>M0</v>
          </cell>
          <cell r="AO894" t="str">
            <v>Active(Model)</v>
          </cell>
          <cell r="AP894" t="str">
            <v/>
          </cell>
          <cell r="AQ894" t="str">
            <v/>
          </cell>
          <cell r="AR894" t="str">
            <v>Y</v>
          </cell>
          <cell r="AS894" t="str">
            <v/>
          </cell>
          <cell r="AT894" t="str">
            <v>CS</v>
          </cell>
          <cell r="AU894" t="str">
            <v>Commercial Display_Signage</v>
          </cell>
          <cell r="AV894" t="str">
            <v>CSTE</v>
          </cell>
          <cell r="AW894" t="str">
            <v>Commercial_LED LCD TV</v>
          </cell>
          <cell r="AX894" t="str">
            <v>CSTE86</v>
          </cell>
          <cell r="AY894" t="str">
            <v>Commercial_LED LCD TV 86</v>
          </cell>
          <cell r="AZ894" t="str">
            <v>CSTE86NU</v>
          </cell>
          <cell r="BA894" t="str">
            <v>Commercial_LED LCD TV 86(UHD)</v>
          </cell>
        </row>
        <row r="895">
          <cell r="E895" t="str">
            <v>86UH5Q-E.ATV</v>
          </cell>
          <cell r="F895">
            <v>18</v>
          </cell>
          <cell r="G895">
            <v>0</v>
          </cell>
          <cell r="H895">
            <v>0</v>
          </cell>
          <cell r="I895">
            <v>18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6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 t="str">
            <v/>
          </cell>
          <cell r="AH895" t="str">
            <v/>
          </cell>
          <cell r="AI895" t="str">
            <v/>
          </cell>
          <cell r="AJ895" t="str">
            <v/>
          </cell>
          <cell r="AK895" t="str">
            <v>0.664125</v>
          </cell>
          <cell r="AL895" t="str">
            <v>2</v>
          </cell>
          <cell r="AM895" t="str">
            <v>Q</v>
          </cell>
          <cell r="AN895" t="str">
            <v>M0</v>
          </cell>
          <cell r="AO895" t="str">
            <v>Active(Model)</v>
          </cell>
          <cell r="AP895" t="str">
            <v/>
          </cell>
          <cell r="AQ895" t="str">
            <v/>
          </cell>
          <cell r="AR895" t="str">
            <v>Y</v>
          </cell>
          <cell r="AS895" t="str">
            <v/>
          </cell>
          <cell r="AT895" t="str">
            <v>CS</v>
          </cell>
          <cell r="AU895" t="str">
            <v>Commercial Display_Signage</v>
          </cell>
          <cell r="AV895" t="str">
            <v>CSME</v>
          </cell>
          <cell r="AW895" t="str">
            <v>Commercial_LED LCD Monitor</v>
          </cell>
          <cell r="AX895" t="str">
            <v>CSME86</v>
          </cell>
          <cell r="AY895" t="str">
            <v>Commercial_LED LCD Monitor 86</v>
          </cell>
          <cell r="AZ895" t="str">
            <v>CSME86FW</v>
          </cell>
          <cell r="BA895" t="str">
            <v>Commercial_LED LCD Monitor 86 (MFT WIDE)</v>
          </cell>
        </row>
        <row r="896">
          <cell r="E896" t="str">
            <v>86UL3Q-E.ATVQ</v>
          </cell>
          <cell r="F896">
            <v>4</v>
          </cell>
          <cell r="G896">
            <v>0</v>
          </cell>
          <cell r="H896">
            <v>0</v>
          </cell>
          <cell r="I896">
            <v>4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 t="str">
            <v/>
          </cell>
          <cell r="AH896" t="str">
            <v/>
          </cell>
          <cell r="AI896" t="str">
            <v/>
          </cell>
          <cell r="AJ896" t="str">
            <v/>
          </cell>
          <cell r="AK896" t="str">
            <v>0.574288</v>
          </cell>
          <cell r="AL896" t="str">
            <v>2</v>
          </cell>
          <cell r="AM896" t="str">
            <v>Q</v>
          </cell>
          <cell r="AN896" t="str">
            <v>M0</v>
          </cell>
          <cell r="AO896" t="str">
            <v>Active(Model)</v>
          </cell>
          <cell r="AP896" t="str">
            <v/>
          </cell>
          <cell r="AQ896" t="str">
            <v/>
          </cell>
          <cell r="AR896" t="str">
            <v>Y</v>
          </cell>
          <cell r="AS896" t="str">
            <v/>
          </cell>
          <cell r="AT896" t="str">
            <v>CS</v>
          </cell>
          <cell r="AU896" t="str">
            <v>Commercial Display_Signage</v>
          </cell>
          <cell r="AV896" t="str">
            <v>CSME</v>
          </cell>
          <cell r="AW896" t="str">
            <v>Commercial_LED LCD Monitor</v>
          </cell>
          <cell r="AX896" t="str">
            <v>CSME86</v>
          </cell>
          <cell r="AY896" t="str">
            <v>Commercial_LED LCD Monitor 86</v>
          </cell>
          <cell r="AZ896" t="str">
            <v>CSME86FW</v>
          </cell>
          <cell r="BA896" t="str">
            <v>Commercial_LED LCD Monitor 86 (MFT WIDE)</v>
          </cell>
        </row>
        <row r="897">
          <cell r="E897" t="str">
            <v>86UL5Q-E.ATVQ</v>
          </cell>
          <cell r="F897">
            <v>1</v>
          </cell>
          <cell r="G897">
            <v>0</v>
          </cell>
          <cell r="H897">
            <v>0</v>
          </cell>
          <cell r="I897">
            <v>1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 t="str">
            <v/>
          </cell>
          <cell r="AH897" t="str">
            <v/>
          </cell>
          <cell r="AI897" t="str">
            <v/>
          </cell>
          <cell r="AJ897" t="str">
            <v/>
          </cell>
          <cell r="AK897" t="str">
            <v>0.574288</v>
          </cell>
          <cell r="AL897" t="str">
            <v>2</v>
          </cell>
          <cell r="AM897" t="str">
            <v>Q</v>
          </cell>
          <cell r="AN897" t="str">
            <v>M0</v>
          </cell>
          <cell r="AO897" t="str">
            <v>Active(Model)</v>
          </cell>
          <cell r="AP897" t="str">
            <v/>
          </cell>
          <cell r="AQ897" t="str">
            <v/>
          </cell>
          <cell r="AR897" t="str">
            <v>Y</v>
          </cell>
          <cell r="AS897" t="str">
            <v/>
          </cell>
          <cell r="AT897" t="str">
            <v>CS</v>
          </cell>
          <cell r="AU897" t="str">
            <v>Commercial Display_Signage</v>
          </cell>
          <cell r="AV897" t="str">
            <v>CSME</v>
          </cell>
          <cell r="AW897" t="str">
            <v>Commercial_LED LCD Monitor</v>
          </cell>
          <cell r="AX897" t="str">
            <v>CSME86</v>
          </cell>
          <cell r="AY897" t="str">
            <v>Commercial_LED LCD Monitor 86</v>
          </cell>
          <cell r="AZ897" t="str">
            <v>CSME86FW</v>
          </cell>
          <cell r="BA897" t="str">
            <v>Commercial_LED LCD Monitor 86 (MFT WIDE)</v>
          </cell>
        </row>
        <row r="898">
          <cell r="E898" t="str">
            <v>98NU855BPSB.ATVQ</v>
          </cell>
          <cell r="F898">
            <v>0</v>
          </cell>
          <cell r="G898">
            <v>0</v>
          </cell>
          <cell r="H898">
            <v>0</v>
          </cell>
          <cell r="I898">
            <v>1</v>
          </cell>
          <cell r="J898">
            <v>0</v>
          </cell>
          <cell r="K898">
            <v>50</v>
          </cell>
          <cell r="L898">
            <v>1</v>
          </cell>
          <cell r="M898">
            <v>0</v>
          </cell>
          <cell r="N898">
            <v>0</v>
          </cell>
          <cell r="O898">
            <v>3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1</v>
          </cell>
          <cell r="AB898">
            <v>0</v>
          </cell>
          <cell r="AC898">
            <v>0</v>
          </cell>
          <cell r="AD898">
            <v>0</v>
          </cell>
          <cell r="AE898">
            <v>26</v>
          </cell>
          <cell r="AF898">
            <v>0</v>
          </cell>
          <cell r="AG898" t="str">
            <v>LCDPREPLUS</v>
          </cell>
          <cell r="AH898" t="str">
            <v>LCD_Premium Plus</v>
          </cell>
          <cell r="AI898" t="str">
            <v/>
          </cell>
          <cell r="AJ898" t="str">
            <v/>
          </cell>
          <cell r="AK898" t="str">
            <v>0.771120</v>
          </cell>
          <cell r="AL898" t="str">
            <v>2</v>
          </cell>
          <cell r="AM898" t="str">
            <v>Q</v>
          </cell>
          <cell r="AN898" t="str">
            <v>M0</v>
          </cell>
          <cell r="AO898" t="str">
            <v>Active(Model)</v>
          </cell>
          <cell r="AP898" t="str">
            <v/>
          </cell>
          <cell r="AQ898" t="str">
            <v/>
          </cell>
          <cell r="AR898" t="str">
            <v>Y</v>
          </cell>
          <cell r="AS898" t="str">
            <v/>
          </cell>
          <cell r="AT898" t="str">
            <v>TV</v>
          </cell>
          <cell r="AU898" t="str">
            <v>TV</v>
          </cell>
          <cell r="AV898" t="str">
            <v>TVLE</v>
          </cell>
          <cell r="AW898" t="str">
            <v>LED LCD TV</v>
          </cell>
          <cell r="AX898" t="str">
            <v>TVLE98</v>
          </cell>
          <cell r="AY898" t="str">
            <v>LED LCD TV 98</v>
          </cell>
          <cell r="AZ898" t="str">
            <v>TVLE98OU</v>
          </cell>
          <cell r="BA898" t="str">
            <v>LED LCD TV 98 (O/S, UD)</v>
          </cell>
        </row>
        <row r="899">
          <cell r="E899" t="str">
            <v>98UH5J-H.ATV</v>
          </cell>
          <cell r="F899">
            <v>1</v>
          </cell>
          <cell r="G899">
            <v>0</v>
          </cell>
          <cell r="H899">
            <v>0</v>
          </cell>
          <cell r="I899">
            <v>1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1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 t="str">
            <v>ID</v>
          </cell>
          <cell r="AH899" t="str">
            <v>Information Display</v>
          </cell>
          <cell r="AI899" t="str">
            <v/>
          </cell>
          <cell r="AJ899" t="str">
            <v/>
          </cell>
          <cell r="AK899" t="str">
            <v>1.304897</v>
          </cell>
          <cell r="AL899" t="str">
            <v>2</v>
          </cell>
          <cell r="AM899" t="str">
            <v>Q</v>
          </cell>
          <cell r="AN899" t="str">
            <v>M0</v>
          </cell>
          <cell r="AO899" t="str">
            <v>Active(Model)</v>
          </cell>
          <cell r="AP899" t="str">
            <v/>
          </cell>
          <cell r="AQ899" t="str">
            <v/>
          </cell>
          <cell r="AR899" t="str">
            <v>Y</v>
          </cell>
          <cell r="AS899" t="str">
            <v/>
          </cell>
          <cell r="AT899" t="str">
            <v>CS</v>
          </cell>
          <cell r="AU899" t="str">
            <v>Commercial Display_Signage</v>
          </cell>
          <cell r="AV899" t="str">
            <v>CSME</v>
          </cell>
          <cell r="AW899" t="str">
            <v>Commercial_LED LCD Monitor</v>
          </cell>
          <cell r="AX899" t="str">
            <v>CSME98</v>
          </cell>
          <cell r="AY899" t="str">
            <v>Commercial_LED LCD Monitor 98</v>
          </cell>
          <cell r="AZ899" t="str">
            <v>CSME98NN</v>
          </cell>
          <cell r="BA899" t="str">
            <v>Commercial_LED LCD Monitor 98 (MFT WIDE)</v>
          </cell>
        </row>
        <row r="900">
          <cell r="E900" t="str">
            <v>A9-ACE.BCBPLVN</v>
          </cell>
          <cell r="F900">
            <v>106</v>
          </cell>
          <cell r="G900">
            <v>0</v>
          </cell>
          <cell r="H900">
            <v>0</v>
          </cell>
          <cell r="I900">
            <v>138</v>
          </cell>
          <cell r="J900">
            <v>0</v>
          </cell>
          <cell r="K900">
            <v>0</v>
          </cell>
          <cell r="L900">
            <v>0</v>
          </cell>
          <cell r="M900">
            <v>10</v>
          </cell>
          <cell r="N900">
            <v>0</v>
          </cell>
          <cell r="O900">
            <v>5</v>
          </cell>
          <cell r="P900">
            <v>10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2</v>
          </cell>
          <cell r="AD900">
            <v>0</v>
          </cell>
          <cell r="AE900">
            <v>2</v>
          </cell>
          <cell r="AF900">
            <v>2</v>
          </cell>
          <cell r="AG900" t="str">
            <v/>
          </cell>
          <cell r="AH900" t="str">
            <v/>
          </cell>
          <cell r="AI900" t="str">
            <v/>
          </cell>
          <cell r="AJ900" t="str">
            <v/>
          </cell>
          <cell r="AK900" t="str">
            <v>0.035141</v>
          </cell>
          <cell r="AL900" t="str">
            <v>2</v>
          </cell>
          <cell r="AM900" t="str">
            <v>Q</v>
          </cell>
          <cell r="AN900" t="str">
            <v>M0</v>
          </cell>
          <cell r="AO900" t="str">
            <v>Active(Model)</v>
          </cell>
          <cell r="AP900" t="str">
            <v/>
          </cell>
          <cell r="AQ900" t="str">
            <v/>
          </cell>
          <cell r="AR900" t="str">
            <v>Y</v>
          </cell>
          <cell r="AS900" t="str">
            <v/>
          </cell>
          <cell r="AT900" t="str">
            <v>VC</v>
          </cell>
          <cell r="AU900" t="str">
            <v>Vacuum Cleaner</v>
          </cell>
          <cell r="AV900" t="str">
            <v>VCVC</v>
          </cell>
          <cell r="AW900" t="str">
            <v>Vacuum Cleaner</v>
          </cell>
          <cell r="AX900" t="str">
            <v>VCVCHS</v>
          </cell>
          <cell r="AY900" t="str">
            <v>H/Stick</v>
          </cell>
          <cell r="AZ900" t="str">
            <v>VCVCHSCL</v>
          </cell>
          <cell r="BA900" t="str">
            <v>H/Stick(Cordless)</v>
          </cell>
        </row>
        <row r="901">
          <cell r="E901" t="str">
            <v>A9T-LITE.DEGPLVN</v>
          </cell>
          <cell r="F901">
            <v>16</v>
          </cell>
          <cell r="G901">
            <v>0</v>
          </cell>
          <cell r="H901">
            <v>0</v>
          </cell>
          <cell r="I901">
            <v>16</v>
          </cell>
          <cell r="J901">
            <v>1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2</v>
          </cell>
          <cell r="AF901">
            <v>0</v>
          </cell>
          <cell r="AG901" t="str">
            <v/>
          </cell>
          <cell r="AH901" t="str">
            <v/>
          </cell>
          <cell r="AI901" t="str">
            <v/>
          </cell>
          <cell r="AJ901" t="str">
            <v/>
          </cell>
          <cell r="AK901" t="str">
            <v>0.146735</v>
          </cell>
          <cell r="AL901" t="str">
            <v>2</v>
          </cell>
          <cell r="AM901" t="str">
            <v>F</v>
          </cell>
          <cell r="AN901" t="str">
            <v>M0</v>
          </cell>
          <cell r="AO901" t="str">
            <v>Active(Model)</v>
          </cell>
          <cell r="AP901" t="str">
            <v/>
          </cell>
          <cell r="AQ901" t="str">
            <v/>
          </cell>
          <cell r="AR901" t="str">
            <v>Y</v>
          </cell>
          <cell r="AS901" t="str">
            <v/>
          </cell>
          <cell r="AT901" t="str">
            <v>VC</v>
          </cell>
          <cell r="AU901" t="str">
            <v>Vacuum Cleaner</v>
          </cell>
          <cell r="AV901" t="str">
            <v>VCVC</v>
          </cell>
          <cell r="AW901" t="str">
            <v>Vacuum Cleaner</v>
          </cell>
          <cell r="AX901" t="str">
            <v>VCVCHS</v>
          </cell>
          <cell r="AY901" t="str">
            <v>H/Stick</v>
          </cell>
          <cell r="AZ901" t="str">
            <v>VCVCHSCL</v>
          </cell>
          <cell r="BA901" t="str">
            <v>H/Stick(Cordless)</v>
          </cell>
        </row>
        <row r="902">
          <cell r="E902" t="str">
            <v>ABDPG.ENCXLEU</v>
          </cell>
          <cell r="F902">
            <v>6</v>
          </cell>
          <cell r="G902">
            <v>0</v>
          </cell>
          <cell r="H902">
            <v>0</v>
          </cell>
          <cell r="I902">
            <v>6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 t="str">
            <v>CAC</v>
          </cell>
          <cell r="AH902" t="str">
            <v>CAC</v>
          </cell>
          <cell r="AI902" t="str">
            <v/>
          </cell>
          <cell r="AJ902" t="str">
            <v/>
          </cell>
          <cell r="AK902" t="str">
            <v>0.006286</v>
          </cell>
          <cell r="AL902" t="str">
            <v>2</v>
          </cell>
          <cell r="AM902" t="str">
            <v>Q</v>
          </cell>
          <cell r="AN902" t="str">
            <v>M0</v>
          </cell>
          <cell r="AO902" t="str">
            <v>Active(Model)</v>
          </cell>
          <cell r="AP902" t="str">
            <v/>
          </cell>
          <cell r="AQ902" t="str">
            <v/>
          </cell>
          <cell r="AR902" t="str">
            <v>Y</v>
          </cell>
          <cell r="AS902" t="str">
            <v/>
          </cell>
          <cell r="AT902" t="str">
            <v>AC</v>
          </cell>
          <cell r="AU902" t="str">
            <v>Airconditioner</v>
          </cell>
          <cell r="AV902" t="str">
            <v>ACFS</v>
          </cell>
          <cell r="AW902" t="str">
            <v>Fixed Single CAC</v>
          </cell>
          <cell r="AX902" t="str">
            <v>ACFSCD</v>
          </cell>
          <cell r="AY902" t="str">
            <v>Ceiling Concealed Duct</v>
          </cell>
          <cell r="AZ902" t="str">
            <v>ACFSCDDP</v>
          </cell>
          <cell r="BA902" t="str">
            <v>Duct_Mechanical option part</v>
          </cell>
        </row>
        <row r="903">
          <cell r="E903" t="str">
            <v>AMNQ09GL1A0.ENWHEVH</v>
          </cell>
          <cell r="F903">
            <v>125</v>
          </cell>
          <cell r="G903">
            <v>0</v>
          </cell>
          <cell r="H903">
            <v>0</v>
          </cell>
          <cell r="I903">
            <v>128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 t="str">
            <v>CAC</v>
          </cell>
          <cell r="AH903" t="str">
            <v>CAC</v>
          </cell>
          <cell r="AI903" t="str">
            <v/>
          </cell>
          <cell r="AJ903" t="str">
            <v/>
          </cell>
          <cell r="AK903" t="str">
            <v>0.171672</v>
          </cell>
          <cell r="AL903" t="str">
            <v>0</v>
          </cell>
          <cell r="AM903" t="str">
            <v>Q</v>
          </cell>
          <cell r="AN903" t="str">
            <v>M0</v>
          </cell>
          <cell r="AO903" t="str">
            <v>Active(Model)</v>
          </cell>
          <cell r="AP903" t="str">
            <v/>
          </cell>
          <cell r="AQ903" t="str">
            <v/>
          </cell>
          <cell r="AR903" t="str">
            <v>Y</v>
          </cell>
          <cell r="AS903" t="str">
            <v/>
          </cell>
          <cell r="AT903" t="str">
            <v>AC</v>
          </cell>
          <cell r="AU903" t="str">
            <v>Airconditioner</v>
          </cell>
          <cell r="AV903" t="str">
            <v>ACMT</v>
          </cell>
          <cell r="AW903" t="str">
            <v>Multi</v>
          </cell>
          <cell r="AX903" t="str">
            <v>ACMTID</v>
          </cell>
          <cell r="AY903" t="str">
            <v>Flexible Multi-I/D(Inv.&amp; MPS)</v>
          </cell>
          <cell r="AZ903" t="str">
            <v>ACMTIDMD</v>
          </cell>
          <cell r="BA903" t="str">
            <v>Flexible Multi_I/D_Duct</v>
          </cell>
        </row>
        <row r="904">
          <cell r="E904" t="str">
            <v>AMNQ09GSJA0.ENWHEVH</v>
          </cell>
          <cell r="F904">
            <v>1</v>
          </cell>
          <cell r="G904">
            <v>0</v>
          </cell>
          <cell r="H904">
            <v>0</v>
          </cell>
          <cell r="I904">
            <v>1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 t="str">
            <v>CAC</v>
          </cell>
          <cell r="AH904" t="str">
            <v>CAC</v>
          </cell>
          <cell r="AI904" t="str">
            <v/>
          </cell>
          <cell r="AJ904" t="str">
            <v/>
          </cell>
          <cell r="AK904" t="str">
            <v>0.084623</v>
          </cell>
          <cell r="AL904" t="str">
            <v>2</v>
          </cell>
          <cell r="AM904" t="str">
            <v>Q</v>
          </cell>
          <cell r="AN904" t="str">
            <v>M0</v>
          </cell>
          <cell r="AO904" t="str">
            <v>Active(Model)</v>
          </cell>
          <cell r="AP904" t="str">
            <v/>
          </cell>
          <cell r="AQ904" t="str">
            <v/>
          </cell>
          <cell r="AR904" t="str">
            <v>Y</v>
          </cell>
          <cell r="AS904" t="str">
            <v/>
          </cell>
          <cell r="AT904" t="str">
            <v>AC</v>
          </cell>
          <cell r="AU904" t="str">
            <v>Airconditioner</v>
          </cell>
          <cell r="AV904" t="str">
            <v>ACMT</v>
          </cell>
          <cell r="AW904" t="str">
            <v>Multi</v>
          </cell>
          <cell r="AX904" t="str">
            <v>ACMTID</v>
          </cell>
          <cell r="AY904" t="str">
            <v>Flexible Multi-I/D(Inv.&amp; MPS)</v>
          </cell>
          <cell r="AZ904" t="str">
            <v>ACMTIDMS</v>
          </cell>
          <cell r="BA904" t="str">
            <v>Flexible Multi_I/D_Wall Mounted</v>
          </cell>
        </row>
        <row r="905">
          <cell r="E905" t="str">
            <v>AMNQ09GSJB0.ENWHEVH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 t="str">
            <v>CAC</v>
          </cell>
          <cell r="AH905" t="str">
            <v>CAC</v>
          </cell>
          <cell r="AI905" t="str">
            <v/>
          </cell>
          <cell r="AJ905" t="str">
            <v/>
          </cell>
          <cell r="AK905" t="str">
            <v>0.084623</v>
          </cell>
          <cell r="AL905" t="str">
            <v>2</v>
          </cell>
          <cell r="AM905" t="str">
            <v>Q</v>
          </cell>
          <cell r="AN905" t="str">
            <v>M0</v>
          </cell>
          <cell r="AO905" t="str">
            <v>Active(Model)</v>
          </cell>
          <cell r="AP905" t="str">
            <v/>
          </cell>
          <cell r="AQ905" t="str">
            <v/>
          </cell>
          <cell r="AR905" t="str">
            <v>Y</v>
          </cell>
          <cell r="AS905" t="str">
            <v/>
          </cell>
          <cell r="AT905" t="str">
            <v>AC</v>
          </cell>
          <cell r="AU905" t="str">
            <v>Airconditioner</v>
          </cell>
          <cell r="AV905" t="str">
            <v>ACMT</v>
          </cell>
          <cell r="AW905" t="str">
            <v>Multi</v>
          </cell>
          <cell r="AX905" t="str">
            <v>ACMTID</v>
          </cell>
          <cell r="AY905" t="str">
            <v>Flexible Multi-I/D(Inv.&amp; MPS)</v>
          </cell>
          <cell r="AZ905" t="str">
            <v>ACMTIDMS</v>
          </cell>
          <cell r="BA905" t="str">
            <v>Flexible Multi_I/D_Wall Mounted</v>
          </cell>
        </row>
        <row r="906">
          <cell r="E906" t="str">
            <v>AMNQ09GTUA0.ENWHEVH</v>
          </cell>
          <cell r="F906">
            <v>13</v>
          </cell>
          <cell r="G906">
            <v>0</v>
          </cell>
          <cell r="H906">
            <v>0</v>
          </cell>
          <cell r="I906">
            <v>24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 t="str">
            <v>CAC</v>
          </cell>
          <cell r="AH906" t="str">
            <v>CAC</v>
          </cell>
          <cell r="AI906" t="str">
            <v/>
          </cell>
          <cell r="AJ906" t="str">
            <v/>
          </cell>
          <cell r="AK906" t="str">
            <v>0.152523</v>
          </cell>
          <cell r="AL906" t="str">
            <v>0</v>
          </cell>
          <cell r="AM906" t="str">
            <v>Q</v>
          </cell>
          <cell r="AN906" t="str">
            <v>M0</v>
          </cell>
          <cell r="AO906" t="str">
            <v>Active(Model)</v>
          </cell>
          <cell r="AP906" t="str">
            <v/>
          </cell>
          <cell r="AQ906" t="str">
            <v/>
          </cell>
          <cell r="AR906" t="str">
            <v>Y</v>
          </cell>
          <cell r="AS906" t="str">
            <v/>
          </cell>
          <cell r="AT906" t="str">
            <v>AC</v>
          </cell>
          <cell r="AU906" t="str">
            <v>Airconditioner</v>
          </cell>
          <cell r="AV906" t="str">
            <v>ACMT</v>
          </cell>
          <cell r="AW906" t="str">
            <v>Multi</v>
          </cell>
          <cell r="AX906" t="str">
            <v>ACMTID</v>
          </cell>
          <cell r="AY906" t="str">
            <v>Flexible Multi-I/D(Inv.&amp; MPS)</v>
          </cell>
          <cell r="AZ906" t="str">
            <v>ACMTIDMC</v>
          </cell>
          <cell r="BA906" t="str">
            <v>Flexible Multi_I/D_Cassette</v>
          </cell>
        </row>
        <row r="907">
          <cell r="E907" t="str">
            <v>AMNQ12GL2A0.ENWHEVH</v>
          </cell>
          <cell r="F907">
            <v>105</v>
          </cell>
          <cell r="G907">
            <v>0</v>
          </cell>
          <cell r="H907">
            <v>0</v>
          </cell>
          <cell r="I907">
            <v>108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 t="str">
            <v>CAC</v>
          </cell>
          <cell r="AH907" t="str">
            <v>CAC</v>
          </cell>
          <cell r="AI907" t="str">
            <v/>
          </cell>
          <cell r="AJ907" t="str">
            <v/>
          </cell>
          <cell r="AK907" t="str">
            <v>0.211503</v>
          </cell>
          <cell r="AL907" t="str">
            <v>0</v>
          </cell>
          <cell r="AM907" t="str">
            <v>Q</v>
          </cell>
          <cell r="AN907" t="str">
            <v>M0</v>
          </cell>
          <cell r="AO907" t="str">
            <v>Active(Model)</v>
          </cell>
          <cell r="AP907" t="str">
            <v/>
          </cell>
          <cell r="AQ907" t="str">
            <v/>
          </cell>
          <cell r="AR907" t="str">
            <v>Y</v>
          </cell>
          <cell r="AS907" t="str">
            <v/>
          </cell>
          <cell r="AT907" t="str">
            <v>AC</v>
          </cell>
          <cell r="AU907" t="str">
            <v>Airconditioner</v>
          </cell>
          <cell r="AV907" t="str">
            <v>ACMT</v>
          </cell>
          <cell r="AW907" t="str">
            <v>Multi</v>
          </cell>
          <cell r="AX907" t="str">
            <v>ACMTID</v>
          </cell>
          <cell r="AY907" t="str">
            <v>Flexible Multi-I/D(Inv.&amp; MPS)</v>
          </cell>
          <cell r="AZ907" t="str">
            <v>ACMTIDMD</v>
          </cell>
          <cell r="BA907" t="str">
            <v>Flexible Multi_I/D_Duct</v>
          </cell>
        </row>
        <row r="908">
          <cell r="E908" t="str">
            <v>AMNQ12GSJA0.ENWHEVH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 t="str">
            <v>CAC</v>
          </cell>
          <cell r="AH908" t="str">
            <v>CAC</v>
          </cell>
          <cell r="AI908" t="str">
            <v/>
          </cell>
          <cell r="AJ908" t="str">
            <v/>
          </cell>
          <cell r="AK908" t="str">
            <v>0.084623</v>
          </cell>
          <cell r="AL908" t="str">
            <v>2</v>
          </cell>
          <cell r="AM908" t="str">
            <v>Q</v>
          </cell>
          <cell r="AN908" t="str">
            <v>M0</v>
          </cell>
          <cell r="AO908" t="str">
            <v>Active(Model)</v>
          </cell>
          <cell r="AP908" t="str">
            <v/>
          </cell>
          <cell r="AQ908" t="str">
            <v/>
          </cell>
          <cell r="AR908" t="str">
            <v>Y</v>
          </cell>
          <cell r="AS908" t="str">
            <v/>
          </cell>
          <cell r="AT908" t="str">
            <v>AC</v>
          </cell>
          <cell r="AU908" t="str">
            <v>Airconditioner</v>
          </cell>
          <cell r="AV908" t="str">
            <v>ACMT</v>
          </cell>
          <cell r="AW908" t="str">
            <v>Multi</v>
          </cell>
          <cell r="AX908" t="str">
            <v>ACMTID</v>
          </cell>
          <cell r="AY908" t="str">
            <v>Flexible Multi-I/D(Inv.&amp; MPS)</v>
          </cell>
          <cell r="AZ908" t="str">
            <v>ACMTIDMS</v>
          </cell>
          <cell r="BA908" t="str">
            <v>Flexible Multi_I/D_Wall Mounted</v>
          </cell>
        </row>
        <row r="909">
          <cell r="E909" t="str">
            <v>AMNQ12GSJB0.ENWHEVH</v>
          </cell>
          <cell r="F909">
            <v>41</v>
          </cell>
          <cell r="G909">
            <v>0</v>
          </cell>
          <cell r="H909">
            <v>0</v>
          </cell>
          <cell r="I909">
            <v>53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 t="str">
            <v>CAC</v>
          </cell>
          <cell r="AH909" t="str">
            <v>CAC</v>
          </cell>
          <cell r="AI909" t="str">
            <v/>
          </cell>
          <cell r="AJ909" t="str">
            <v/>
          </cell>
          <cell r="AK909" t="str">
            <v>0.084623</v>
          </cell>
          <cell r="AL909" t="str">
            <v>2</v>
          </cell>
          <cell r="AM909" t="str">
            <v>Q</v>
          </cell>
          <cell r="AN909" t="str">
            <v>M0</v>
          </cell>
          <cell r="AO909" t="str">
            <v>Active(Model)</v>
          </cell>
          <cell r="AP909" t="str">
            <v/>
          </cell>
          <cell r="AQ909" t="str">
            <v/>
          </cell>
          <cell r="AR909" t="str">
            <v>Y</v>
          </cell>
          <cell r="AS909" t="str">
            <v/>
          </cell>
          <cell r="AT909" t="str">
            <v>AC</v>
          </cell>
          <cell r="AU909" t="str">
            <v>Airconditioner</v>
          </cell>
          <cell r="AV909" t="str">
            <v>ACMT</v>
          </cell>
          <cell r="AW909" t="str">
            <v>Multi</v>
          </cell>
          <cell r="AX909" t="str">
            <v>ACMTID</v>
          </cell>
          <cell r="AY909" t="str">
            <v>Flexible Multi-I/D(Inv.&amp; MPS)</v>
          </cell>
          <cell r="AZ909" t="str">
            <v>ACMTIDMS</v>
          </cell>
          <cell r="BA909" t="str">
            <v>Flexible Multi_I/D_Wall Mounted</v>
          </cell>
        </row>
        <row r="910">
          <cell r="E910" t="str">
            <v>AMNQ12GTUA0.ENWHEVH</v>
          </cell>
          <cell r="F910">
            <v>19</v>
          </cell>
          <cell r="G910">
            <v>0</v>
          </cell>
          <cell r="H910">
            <v>0</v>
          </cell>
          <cell r="I910">
            <v>19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 t="str">
            <v>CAC</v>
          </cell>
          <cell r="AH910" t="str">
            <v>CAC</v>
          </cell>
          <cell r="AI910" t="str">
            <v/>
          </cell>
          <cell r="AJ910" t="str">
            <v/>
          </cell>
          <cell r="AK910" t="str">
            <v>0.152523</v>
          </cell>
          <cell r="AL910" t="str">
            <v>0</v>
          </cell>
          <cell r="AM910" t="str">
            <v>Q</v>
          </cell>
          <cell r="AN910" t="str">
            <v>M0</v>
          </cell>
          <cell r="AO910" t="str">
            <v>Active(Model)</v>
          </cell>
          <cell r="AP910" t="str">
            <v/>
          </cell>
          <cell r="AQ910" t="str">
            <v/>
          </cell>
          <cell r="AR910" t="str">
            <v>Y</v>
          </cell>
          <cell r="AS910" t="str">
            <v/>
          </cell>
          <cell r="AT910" t="str">
            <v>AC</v>
          </cell>
          <cell r="AU910" t="str">
            <v>Airconditioner</v>
          </cell>
          <cell r="AV910" t="str">
            <v>ACMT</v>
          </cell>
          <cell r="AW910" t="str">
            <v>Multi</v>
          </cell>
          <cell r="AX910" t="str">
            <v>ACMTID</v>
          </cell>
          <cell r="AY910" t="str">
            <v>Flexible Multi-I/D(Inv.&amp; MPS)</v>
          </cell>
          <cell r="AZ910" t="str">
            <v>ACMTIDMC</v>
          </cell>
          <cell r="BA910" t="str">
            <v>Flexible Multi_I/D_Cassette</v>
          </cell>
        </row>
        <row r="911">
          <cell r="E911" t="str">
            <v>AMNQ18GL2A0.ENWHEVH</v>
          </cell>
          <cell r="F911">
            <v>25</v>
          </cell>
          <cell r="G911">
            <v>0</v>
          </cell>
          <cell r="H911">
            <v>0</v>
          </cell>
          <cell r="I911">
            <v>25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 t="str">
            <v>CAC</v>
          </cell>
          <cell r="AH911" t="str">
            <v>CAC</v>
          </cell>
          <cell r="AI911" t="str">
            <v/>
          </cell>
          <cell r="AJ911" t="str">
            <v/>
          </cell>
          <cell r="AK911" t="str">
            <v>0.211503</v>
          </cell>
          <cell r="AL911" t="str">
            <v>0</v>
          </cell>
          <cell r="AM911" t="str">
            <v>Q</v>
          </cell>
          <cell r="AN911" t="str">
            <v>M0</v>
          </cell>
          <cell r="AO911" t="str">
            <v>Active(Model)</v>
          </cell>
          <cell r="AP911" t="str">
            <v/>
          </cell>
          <cell r="AQ911" t="str">
            <v/>
          </cell>
          <cell r="AR911" t="str">
            <v>Y</v>
          </cell>
          <cell r="AS911" t="str">
            <v/>
          </cell>
          <cell r="AT911" t="str">
            <v>AC</v>
          </cell>
          <cell r="AU911" t="str">
            <v>Airconditioner</v>
          </cell>
          <cell r="AV911" t="str">
            <v>ACMT</v>
          </cell>
          <cell r="AW911" t="str">
            <v>Multi</v>
          </cell>
          <cell r="AX911" t="str">
            <v>ACMTID</v>
          </cell>
          <cell r="AY911" t="str">
            <v>Flexible Multi-I/D(Inv.&amp; MPS)</v>
          </cell>
          <cell r="AZ911" t="str">
            <v>ACMTIDMD</v>
          </cell>
          <cell r="BA911" t="str">
            <v>Flexible Multi_I/D_Duct</v>
          </cell>
        </row>
        <row r="912">
          <cell r="E912" t="str">
            <v>AMNQ18GSKB0.ENWHEVH</v>
          </cell>
          <cell r="F912">
            <v>4</v>
          </cell>
          <cell r="G912">
            <v>0</v>
          </cell>
          <cell r="H912">
            <v>0</v>
          </cell>
          <cell r="I912">
            <v>5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 t="str">
            <v>CAC</v>
          </cell>
          <cell r="AH912" t="str">
            <v>CAC</v>
          </cell>
          <cell r="AI912" t="str">
            <v/>
          </cell>
          <cell r="AJ912" t="str">
            <v/>
          </cell>
          <cell r="AK912" t="str">
            <v>0.122330</v>
          </cell>
          <cell r="AL912" t="str">
            <v>2</v>
          </cell>
          <cell r="AM912" t="str">
            <v>Q</v>
          </cell>
          <cell r="AN912" t="str">
            <v>M0</v>
          </cell>
          <cell r="AO912" t="str">
            <v>Active(Model)</v>
          </cell>
          <cell r="AP912" t="str">
            <v/>
          </cell>
          <cell r="AQ912" t="str">
            <v/>
          </cell>
          <cell r="AR912" t="str">
            <v>Y</v>
          </cell>
          <cell r="AS912" t="str">
            <v/>
          </cell>
          <cell r="AT912" t="str">
            <v>AC</v>
          </cell>
          <cell r="AU912" t="str">
            <v>Airconditioner</v>
          </cell>
          <cell r="AV912" t="str">
            <v>ACMT</v>
          </cell>
          <cell r="AW912" t="str">
            <v>Multi</v>
          </cell>
          <cell r="AX912" t="str">
            <v>ACMTID</v>
          </cell>
          <cell r="AY912" t="str">
            <v>Flexible Multi-I/D(Inv.&amp; MPS)</v>
          </cell>
          <cell r="AZ912" t="str">
            <v>ACMTIDMS</v>
          </cell>
          <cell r="BA912" t="str">
            <v>Flexible Multi_I/D_Wall Mounted</v>
          </cell>
        </row>
        <row r="913">
          <cell r="E913" t="str">
            <v>AMNQ18GTTA0.ENWHEVH</v>
          </cell>
          <cell r="F913">
            <v>18</v>
          </cell>
          <cell r="G913">
            <v>0</v>
          </cell>
          <cell r="H913">
            <v>0</v>
          </cell>
          <cell r="I913">
            <v>18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10</v>
          </cell>
          <cell r="AF913">
            <v>0</v>
          </cell>
          <cell r="AG913" t="str">
            <v>CAC</v>
          </cell>
          <cell r="AH913" t="str">
            <v>CAC</v>
          </cell>
          <cell r="AI913" t="str">
            <v/>
          </cell>
          <cell r="AJ913" t="str">
            <v/>
          </cell>
          <cell r="AK913" t="str">
            <v>0.195907</v>
          </cell>
          <cell r="AL913" t="str">
            <v>0</v>
          </cell>
          <cell r="AM913" t="str">
            <v>Q</v>
          </cell>
          <cell r="AN913" t="str">
            <v>M0</v>
          </cell>
          <cell r="AO913" t="str">
            <v>Active(Model)</v>
          </cell>
          <cell r="AP913" t="str">
            <v/>
          </cell>
          <cell r="AQ913" t="str">
            <v/>
          </cell>
          <cell r="AR913" t="str">
            <v>Y</v>
          </cell>
          <cell r="AS913" t="str">
            <v/>
          </cell>
          <cell r="AT913" t="str">
            <v>AC</v>
          </cell>
          <cell r="AU913" t="str">
            <v>Airconditioner</v>
          </cell>
          <cell r="AV913" t="str">
            <v>ACMT</v>
          </cell>
          <cell r="AW913" t="str">
            <v>Multi</v>
          </cell>
          <cell r="AX913" t="str">
            <v>ACMTID</v>
          </cell>
          <cell r="AY913" t="str">
            <v>Flexible Multi-I/D(Inv.&amp; MPS)</v>
          </cell>
          <cell r="AZ913" t="str">
            <v>ACMTIDMC</v>
          </cell>
          <cell r="BA913" t="str">
            <v>Flexible Multi_I/D_Cassette</v>
          </cell>
        </row>
        <row r="914">
          <cell r="E914" t="str">
            <v>AMNQ24GL3A0.ENWHEVH</v>
          </cell>
          <cell r="F914">
            <v>78</v>
          </cell>
          <cell r="G914">
            <v>0</v>
          </cell>
          <cell r="H914">
            <v>0</v>
          </cell>
          <cell r="I914">
            <v>78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4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 t="str">
            <v>CAC</v>
          </cell>
          <cell r="AH914" t="str">
            <v>CAC</v>
          </cell>
          <cell r="AI914" t="str">
            <v/>
          </cell>
          <cell r="AJ914" t="str">
            <v/>
          </cell>
          <cell r="AK914" t="str">
            <v>0.251334</v>
          </cell>
          <cell r="AL914" t="str">
            <v>0</v>
          </cell>
          <cell r="AM914" t="str">
            <v>Q</v>
          </cell>
          <cell r="AN914" t="str">
            <v>M0</v>
          </cell>
          <cell r="AO914" t="str">
            <v>Active(Model)</v>
          </cell>
          <cell r="AP914" t="str">
            <v/>
          </cell>
          <cell r="AQ914" t="str">
            <v/>
          </cell>
          <cell r="AR914" t="str">
            <v>Y</v>
          </cell>
          <cell r="AS914" t="str">
            <v/>
          </cell>
          <cell r="AT914" t="str">
            <v>AC</v>
          </cell>
          <cell r="AU914" t="str">
            <v>Airconditioner</v>
          </cell>
          <cell r="AV914" t="str">
            <v>ACMT</v>
          </cell>
          <cell r="AW914" t="str">
            <v>Multi</v>
          </cell>
          <cell r="AX914" t="str">
            <v>ACMTID</v>
          </cell>
          <cell r="AY914" t="str">
            <v>Flexible Multi-I/D(Inv.&amp; MPS)</v>
          </cell>
          <cell r="AZ914" t="str">
            <v>ACMTIDMD</v>
          </cell>
          <cell r="BA914" t="str">
            <v>Flexible Multi_I/D_Duct</v>
          </cell>
        </row>
        <row r="915">
          <cell r="E915" t="str">
            <v>AMNQ24GSKB0.ENWHEVH</v>
          </cell>
          <cell r="F915">
            <v>0</v>
          </cell>
          <cell r="G915">
            <v>0</v>
          </cell>
          <cell r="H915">
            <v>0</v>
          </cell>
          <cell r="I915">
            <v>4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 t="str">
            <v>CAC</v>
          </cell>
          <cell r="AH915" t="str">
            <v>CAC</v>
          </cell>
          <cell r="AI915" t="str">
            <v/>
          </cell>
          <cell r="AJ915" t="str">
            <v/>
          </cell>
          <cell r="AK915" t="str">
            <v>0.122330</v>
          </cell>
          <cell r="AL915" t="str">
            <v>2</v>
          </cell>
          <cell r="AM915" t="str">
            <v>Q</v>
          </cell>
          <cell r="AN915" t="str">
            <v>M5</v>
          </cell>
          <cell r="AO915" t="str">
            <v>To Be Obsolete(Model)</v>
          </cell>
          <cell r="AP915" t="str">
            <v/>
          </cell>
          <cell r="AQ915" t="str">
            <v/>
          </cell>
          <cell r="AR915" t="str">
            <v>Y</v>
          </cell>
          <cell r="AS915" t="str">
            <v/>
          </cell>
          <cell r="AT915" t="str">
            <v>AC</v>
          </cell>
          <cell r="AU915" t="str">
            <v>Airconditioner</v>
          </cell>
          <cell r="AV915" t="str">
            <v>ACMT</v>
          </cell>
          <cell r="AW915" t="str">
            <v>Multi</v>
          </cell>
          <cell r="AX915" t="str">
            <v>ACMTID</v>
          </cell>
          <cell r="AY915" t="str">
            <v>Flexible Multi-I/D(Inv.&amp; MPS)</v>
          </cell>
          <cell r="AZ915" t="str">
            <v>ACMTIDMS</v>
          </cell>
          <cell r="BA915" t="str">
            <v>Flexible Multi_I/D_Wall Mounted</v>
          </cell>
        </row>
        <row r="916">
          <cell r="E916" t="str">
            <v>AMNQ24GTTA0.ENWHEVH</v>
          </cell>
          <cell r="F916">
            <v>27</v>
          </cell>
          <cell r="G916">
            <v>0</v>
          </cell>
          <cell r="H916">
            <v>0</v>
          </cell>
          <cell r="I916">
            <v>39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 t="str">
            <v>CAC</v>
          </cell>
          <cell r="AH916" t="str">
            <v>CAC</v>
          </cell>
          <cell r="AI916" t="str">
            <v/>
          </cell>
          <cell r="AJ916" t="str">
            <v/>
          </cell>
          <cell r="AK916" t="str">
            <v>0.195907</v>
          </cell>
          <cell r="AL916" t="str">
            <v>0</v>
          </cell>
          <cell r="AM916" t="str">
            <v>Q</v>
          </cell>
          <cell r="AN916" t="str">
            <v>M0</v>
          </cell>
          <cell r="AO916" t="str">
            <v>Active(Model)</v>
          </cell>
          <cell r="AP916" t="str">
            <v/>
          </cell>
          <cell r="AQ916" t="str">
            <v/>
          </cell>
          <cell r="AR916" t="str">
            <v>Y</v>
          </cell>
          <cell r="AS916" t="str">
            <v/>
          </cell>
          <cell r="AT916" t="str">
            <v>AC</v>
          </cell>
          <cell r="AU916" t="str">
            <v>Airconditioner</v>
          </cell>
          <cell r="AV916" t="str">
            <v>ACMT</v>
          </cell>
          <cell r="AW916" t="str">
            <v>Multi</v>
          </cell>
          <cell r="AX916" t="str">
            <v>ACMTID</v>
          </cell>
          <cell r="AY916" t="str">
            <v>Flexible Multi-I/D(Inv.&amp; MPS)</v>
          </cell>
          <cell r="AZ916" t="str">
            <v>ACMTIDMC</v>
          </cell>
          <cell r="BA916" t="str">
            <v>Flexible Multi_I/D_Cassette</v>
          </cell>
        </row>
        <row r="917">
          <cell r="E917" t="str">
            <v>AMNW09GL1A2.ENWHEVH</v>
          </cell>
          <cell r="F917">
            <v>112</v>
          </cell>
          <cell r="G917">
            <v>0</v>
          </cell>
          <cell r="H917">
            <v>0</v>
          </cell>
          <cell r="I917">
            <v>121</v>
          </cell>
          <cell r="J917">
            <v>0</v>
          </cell>
          <cell r="K917">
            <v>114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 t="str">
            <v>CAC</v>
          </cell>
          <cell r="AH917" t="str">
            <v>CAC</v>
          </cell>
          <cell r="AI917" t="str">
            <v/>
          </cell>
          <cell r="AJ917" t="str">
            <v/>
          </cell>
          <cell r="AK917" t="str">
            <v>0.171672</v>
          </cell>
          <cell r="AL917" t="str">
            <v>0</v>
          </cell>
          <cell r="AM917" t="str">
            <v>Q</v>
          </cell>
          <cell r="AN917" t="str">
            <v>M0</v>
          </cell>
          <cell r="AO917" t="str">
            <v>Active(Model)</v>
          </cell>
          <cell r="AP917" t="str">
            <v/>
          </cell>
          <cell r="AQ917" t="str">
            <v/>
          </cell>
          <cell r="AR917" t="str">
            <v>Y</v>
          </cell>
          <cell r="AS917" t="str">
            <v/>
          </cell>
          <cell r="AT917" t="str">
            <v>AC</v>
          </cell>
          <cell r="AU917" t="str">
            <v>Airconditioner</v>
          </cell>
          <cell r="AV917" t="str">
            <v>ACMT</v>
          </cell>
          <cell r="AW917" t="str">
            <v>Multi</v>
          </cell>
          <cell r="AX917" t="str">
            <v>ACMTID</v>
          </cell>
          <cell r="AY917" t="str">
            <v>Flexible Multi-I/D(Inv.&amp; MPS)</v>
          </cell>
          <cell r="AZ917" t="str">
            <v>ACMTIDMD</v>
          </cell>
          <cell r="BA917" t="str">
            <v>Flexible Multi_I/D_Duct</v>
          </cell>
        </row>
        <row r="918">
          <cell r="E918" t="str">
            <v>AMNW09GSJB1.ENWHASA</v>
          </cell>
          <cell r="F918">
            <v>1</v>
          </cell>
          <cell r="G918">
            <v>0</v>
          </cell>
          <cell r="H918">
            <v>0</v>
          </cell>
          <cell r="I918">
            <v>6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 t="str">
            <v/>
          </cell>
          <cell r="AH918" t="str">
            <v/>
          </cell>
          <cell r="AI918" t="str">
            <v/>
          </cell>
          <cell r="AJ918" t="str">
            <v/>
          </cell>
          <cell r="AK918" t="str">
            <v>0.088857</v>
          </cell>
          <cell r="AL918" t="str">
            <v>0</v>
          </cell>
          <cell r="AM918" t="str">
            <v>Q</v>
          </cell>
          <cell r="AN918" t="str">
            <v>M0</v>
          </cell>
          <cell r="AO918" t="str">
            <v>Active(Model)</v>
          </cell>
          <cell r="AP918" t="str">
            <v/>
          </cell>
          <cell r="AQ918" t="str">
            <v/>
          </cell>
          <cell r="AR918" t="str">
            <v>Y</v>
          </cell>
          <cell r="AS918" t="str">
            <v/>
          </cell>
          <cell r="AT918" t="str">
            <v>AC</v>
          </cell>
          <cell r="AU918" t="str">
            <v>Airconditioner</v>
          </cell>
          <cell r="AV918" t="str">
            <v>ACMT</v>
          </cell>
          <cell r="AW918" t="str">
            <v>Multi</v>
          </cell>
          <cell r="AX918" t="str">
            <v>ACMTID</v>
          </cell>
          <cell r="AY918" t="str">
            <v>Flexible Multi-I/D(Inv.&amp; MPS)</v>
          </cell>
          <cell r="AZ918" t="str">
            <v>ACMTIDMS</v>
          </cell>
          <cell r="BA918" t="str">
            <v>Flexible Multi_I/D_Wall Mounted</v>
          </cell>
        </row>
        <row r="919">
          <cell r="E919" t="str">
            <v>AMNW09GTUA0.ENWHEVH</v>
          </cell>
          <cell r="F919">
            <v>19</v>
          </cell>
          <cell r="G919">
            <v>0</v>
          </cell>
          <cell r="H919">
            <v>0</v>
          </cell>
          <cell r="I919">
            <v>112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6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 t="str">
            <v>CAC</v>
          </cell>
          <cell r="AH919" t="str">
            <v>CAC</v>
          </cell>
          <cell r="AI919" t="str">
            <v/>
          </cell>
          <cell r="AJ919" t="str">
            <v/>
          </cell>
          <cell r="AK919" t="str">
            <v>0.152523</v>
          </cell>
          <cell r="AL919" t="str">
            <v>0</v>
          </cell>
          <cell r="AM919" t="str">
            <v>Q</v>
          </cell>
          <cell r="AN919" t="str">
            <v>M0</v>
          </cell>
          <cell r="AO919" t="str">
            <v>Active(Model)</v>
          </cell>
          <cell r="AP919" t="str">
            <v/>
          </cell>
          <cell r="AQ919" t="str">
            <v/>
          </cell>
          <cell r="AR919" t="str">
            <v>Y</v>
          </cell>
          <cell r="AS919" t="str">
            <v/>
          </cell>
          <cell r="AT919" t="str">
            <v>AC</v>
          </cell>
          <cell r="AU919" t="str">
            <v>Airconditioner</v>
          </cell>
          <cell r="AV919" t="str">
            <v>ACMT</v>
          </cell>
          <cell r="AW919" t="str">
            <v>Multi</v>
          </cell>
          <cell r="AX919" t="str">
            <v>ACMTID</v>
          </cell>
          <cell r="AY919" t="str">
            <v>Flexible Multi-I/D(Inv.&amp; MPS)</v>
          </cell>
          <cell r="AZ919" t="str">
            <v>ACMTIDMC</v>
          </cell>
          <cell r="BA919" t="str">
            <v>Flexible Multi_I/D_Cassette</v>
          </cell>
        </row>
        <row r="920">
          <cell r="E920" t="str">
            <v>AMNW12GL2A2.ENWHEVH</v>
          </cell>
          <cell r="F920">
            <v>10</v>
          </cell>
          <cell r="G920">
            <v>0</v>
          </cell>
          <cell r="H920">
            <v>0</v>
          </cell>
          <cell r="I920">
            <v>51</v>
          </cell>
          <cell r="J920">
            <v>0</v>
          </cell>
          <cell r="K920">
            <v>0</v>
          </cell>
          <cell r="L920">
            <v>3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 t="str">
            <v>CAC</v>
          </cell>
          <cell r="AH920" t="str">
            <v>CAC</v>
          </cell>
          <cell r="AI920" t="str">
            <v/>
          </cell>
          <cell r="AJ920" t="str">
            <v/>
          </cell>
          <cell r="AK920" t="str">
            <v>0.211503</v>
          </cell>
          <cell r="AL920" t="str">
            <v>0</v>
          </cell>
          <cell r="AM920" t="str">
            <v>Q</v>
          </cell>
          <cell r="AN920" t="str">
            <v>M0</v>
          </cell>
          <cell r="AO920" t="str">
            <v>Active(Model)</v>
          </cell>
          <cell r="AP920" t="str">
            <v/>
          </cell>
          <cell r="AQ920" t="str">
            <v/>
          </cell>
          <cell r="AR920" t="str">
            <v>Y</v>
          </cell>
          <cell r="AS920" t="str">
            <v/>
          </cell>
          <cell r="AT920" t="str">
            <v>AC</v>
          </cell>
          <cell r="AU920" t="str">
            <v>Airconditioner</v>
          </cell>
          <cell r="AV920" t="str">
            <v>ACMT</v>
          </cell>
          <cell r="AW920" t="str">
            <v>Multi</v>
          </cell>
          <cell r="AX920" t="str">
            <v>ACMTID</v>
          </cell>
          <cell r="AY920" t="str">
            <v>Flexible Multi-I/D(Inv.&amp; MPS)</v>
          </cell>
          <cell r="AZ920" t="str">
            <v>ACMTIDMD</v>
          </cell>
          <cell r="BA920" t="str">
            <v>Flexible Multi_I/D_Duct</v>
          </cell>
        </row>
        <row r="921">
          <cell r="E921" t="str">
            <v>AMNW12GSJB1.ENWHASA</v>
          </cell>
          <cell r="F921">
            <v>4</v>
          </cell>
          <cell r="G921">
            <v>0</v>
          </cell>
          <cell r="H921">
            <v>0</v>
          </cell>
          <cell r="I921">
            <v>4</v>
          </cell>
          <cell r="J921">
            <v>0</v>
          </cell>
          <cell r="K921">
            <v>1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 t="str">
            <v/>
          </cell>
          <cell r="AH921" t="str">
            <v/>
          </cell>
          <cell r="AI921" t="str">
            <v/>
          </cell>
          <cell r="AJ921" t="str">
            <v/>
          </cell>
          <cell r="AK921" t="str">
            <v>0.088857</v>
          </cell>
          <cell r="AL921" t="str">
            <v>0</v>
          </cell>
          <cell r="AM921" t="str">
            <v>Q</v>
          </cell>
          <cell r="AN921" t="str">
            <v>M0</v>
          </cell>
          <cell r="AO921" t="str">
            <v>Active(Model)</v>
          </cell>
          <cell r="AP921" t="str">
            <v/>
          </cell>
          <cell r="AQ921" t="str">
            <v/>
          </cell>
          <cell r="AR921" t="str">
            <v>Y</v>
          </cell>
          <cell r="AS921" t="str">
            <v/>
          </cell>
          <cell r="AT921" t="str">
            <v>AC</v>
          </cell>
          <cell r="AU921" t="str">
            <v>Airconditioner</v>
          </cell>
          <cell r="AV921" t="str">
            <v>ACMT</v>
          </cell>
          <cell r="AW921" t="str">
            <v>Multi</v>
          </cell>
          <cell r="AX921" t="str">
            <v>ACMTID</v>
          </cell>
          <cell r="AY921" t="str">
            <v>Flexible Multi-I/D(Inv.&amp; MPS)</v>
          </cell>
          <cell r="AZ921" t="str">
            <v>ACMTIDMS</v>
          </cell>
          <cell r="BA921" t="str">
            <v>Flexible Multi_I/D_Wall Mounted</v>
          </cell>
        </row>
        <row r="922">
          <cell r="E922" t="str">
            <v>AMNW12GTUA0.ENWHEVH</v>
          </cell>
          <cell r="F922">
            <v>9</v>
          </cell>
          <cell r="G922">
            <v>0</v>
          </cell>
          <cell r="H922">
            <v>0</v>
          </cell>
          <cell r="I922">
            <v>76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6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 t="str">
            <v>CAC</v>
          </cell>
          <cell r="AH922" t="str">
            <v>CAC</v>
          </cell>
          <cell r="AI922" t="str">
            <v/>
          </cell>
          <cell r="AJ922" t="str">
            <v/>
          </cell>
          <cell r="AK922" t="str">
            <v>0.152523</v>
          </cell>
          <cell r="AL922" t="str">
            <v>0</v>
          </cell>
          <cell r="AM922" t="str">
            <v>Q</v>
          </cell>
          <cell r="AN922" t="str">
            <v>M0</v>
          </cell>
          <cell r="AO922" t="str">
            <v>Active(Model)</v>
          </cell>
          <cell r="AP922" t="str">
            <v/>
          </cell>
          <cell r="AQ922" t="str">
            <v/>
          </cell>
          <cell r="AR922" t="str">
            <v>Y</v>
          </cell>
          <cell r="AS922" t="str">
            <v/>
          </cell>
          <cell r="AT922" t="str">
            <v>AC</v>
          </cell>
          <cell r="AU922" t="str">
            <v>Airconditioner</v>
          </cell>
          <cell r="AV922" t="str">
            <v>ACMT</v>
          </cell>
          <cell r="AW922" t="str">
            <v>Multi</v>
          </cell>
          <cell r="AX922" t="str">
            <v>ACMTID</v>
          </cell>
          <cell r="AY922" t="str">
            <v>Flexible Multi-I/D(Inv.&amp; MPS)</v>
          </cell>
          <cell r="AZ922" t="str">
            <v>ACMTIDMC</v>
          </cell>
          <cell r="BA922" t="str">
            <v>Flexible Multi_I/D_Cassette</v>
          </cell>
        </row>
        <row r="923">
          <cell r="E923" t="str">
            <v>AMNW15GSJB1.ENWHASA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 t="str">
            <v/>
          </cell>
          <cell r="AH923" t="str">
            <v/>
          </cell>
          <cell r="AI923" t="str">
            <v/>
          </cell>
          <cell r="AJ923" t="str">
            <v/>
          </cell>
          <cell r="AK923" t="str">
            <v>0.088857</v>
          </cell>
          <cell r="AL923" t="str">
            <v>0</v>
          </cell>
          <cell r="AM923" t="str">
            <v>Q</v>
          </cell>
          <cell r="AN923" t="str">
            <v>M0</v>
          </cell>
          <cell r="AO923" t="str">
            <v>Active(Model)</v>
          </cell>
          <cell r="AP923" t="str">
            <v/>
          </cell>
          <cell r="AQ923" t="str">
            <v/>
          </cell>
          <cell r="AR923" t="str">
            <v>Y</v>
          </cell>
          <cell r="AS923" t="str">
            <v/>
          </cell>
          <cell r="AT923" t="str">
            <v>AC</v>
          </cell>
          <cell r="AU923" t="str">
            <v>Airconditioner</v>
          </cell>
          <cell r="AV923" t="str">
            <v>ACMT</v>
          </cell>
          <cell r="AW923" t="str">
            <v>Multi</v>
          </cell>
          <cell r="AX923" t="str">
            <v>ACMTID</v>
          </cell>
          <cell r="AY923" t="str">
            <v>Flexible Multi-I/D(Inv.&amp; MPS)</v>
          </cell>
          <cell r="AZ923" t="str">
            <v>ACMTIDMS</v>
          </cell>
          <cell r="BA923" t="str">
            <v>Flexible Multi_I/D_Wall Mounted</v>
          </cell>
        </row>
        <row r="924">
          <cell r="E924" t="str">
            <v>AMNW18GL2A2.ENWHEVH</v>
          </cell>
          <cell r="F924">
            <v>4</v>
          </cell>
          <cell r="G924">
            <v>0</v>
          </cell>
          <cell r="H924">
            <v>0</v>
          </cell>
          <cell r="I924">
            <v>43</v>
          </cell>
          <cell r="J924">
            <v>0</v>
          </cell>
          <cell r="K924">
            <v>0</v>
          </cell>
          <cell r="L924">
            <v>6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 t="str">
            <v>CAC</v>
          </cell>
          <cell r="AH924" t="str">
            <v>CAC</v>
          </cell>
          <cell r="AI924" t="str">
            <v/>
          </cell>
          <cell r="AJ924" t="str">
            <v/>
          </cell>
          <cell r="AK924" t="str">
            <v>0.211503</v>
          </cell>
          <cell r="AL924" t="str">
            <v>0</v>
          </cell>
          <cell r="AM924" t="str">
            <v>Q</v>
          </cell>
          <cell r="AN924" t="str">
            <v>M0</v>
          </cell>
          <cell r="AO924" t="str">
            <v>Active(Model)</v>
          </cell>
          <cell r="AP924" t="str">
            <v/>
          </cell>
          <cell r="AQ924" t="str">
            <v/>
          </cell>
          <cell r="AR924" t="str">
            <v>Y</v>
          </cell>
          <cell r="AS924" t="str">
            <v/>
          </cell>
          <cell r="AT924" t="str">
            <v>AC</v>
          </cell>
          <cell r="AU924" t="str">
            <v>Airconditioner</v>
          </cell>
          <cell r="AV924" t="str">
            <v>ACMT</v>
          </cell>
          <cell r="AW924" t="str">
            <v>Multi</v>
          </cell>
          <cell r="AX924" t="str">
            <v>ACMTID</v>
          </cell>
          <cell r="AY924" t="str">
            <v>Flexible Multi-I/D(Inv.&amp; MPS)</v>
          </cell>
          <cell r="AZ924" t="str">
            <v>ACMTIDMD</v>
          </cell>
          <cell r="BA924" t="str">
            <v>Flexible Multi_I/D_Duct</v>
          </cell>
        </row>
        <row r="925">
          <cell r="E925" t="str">
            <v>AMNW18GSKB1.ENWHASA</v>
          </cell>
          <cell r="F925">
            <v>23</v>
          </cell>
          <cell r="G925">
            <v>0</v>
          </cell>
          <cell r="H925">
            <v>0</v>
          </cell>
          <cell r="I925">
            <v>23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 t="str">
            <v/>
          </cell>
          <cell r="AH925" t="str">
            <v/>
          </cell>
          <cell r="AI925" t="str">
            <v/>
          </cell>
          <cell r="AJ925" t="str">
            <v/>
          </cell>
          <cell r="AK925" t="str">
            <v>0.126638</v>
          </cell>
          <cell r="AL925" t="str">
            <v>0</v>
          </cell>
          <cell r="AM925" t="str">
            <v>Q</v>
          </cell>
          <cell r="AN925" t="str">
            <v>M0</v>
          </cell>
          <cell r="AO925" t="str">
            <v>Active(Model)</v>
          </cell>
          <cell r="AP925" t="str">
            <v/>
          </cell>
          <cell r="AQ925" t="str">
            <v/>
          </cell>
          <cell r="AR925" t="str">
            <v>Y</v>
          </cell>
          <cell r="AS925" t="str">
            <v/>
          </cell>
          <cell r="AT925" t="str">
            <v>AC</v>
          </cell>
          <cell r="AU925" t="str">
            <v>Airconditioner</v>
          </cell>
          <cell r="AV925" t="str">
            <v>ACMT</v>
          </cell>
          <cell r="AW925" t="str">
            <v>Multi</v>
          </cell>
          <cell r="AX925" t="str">
            <v>ACMTID</v>
          </cell>
          <cell r="AY925" t="str">
            <v>Flexible Multi-I/D(Inv.&amp; MPS)</v>
          </cell>
          <cell r="AZ925" t="str">
            <v>ACMTIDMS</v>
          </cell>
          <cell r="BA925" t="str">
            <v>Flexible Multi_I/D_Wall Mounted</v>
          </cell>
        </row>
        <row r="926">
          <cell r="E926" t="str">
            <v>AMNW18GTTA0.ENWHEVH</v>
          </cell>
          <cell r="F926">
            <v>17</v>
          </cell>
          <cell r="G926">
            <v>0</v>
          </cell>
          <cell r="H926">
            <v>0</v>
          </cell>
          <cell r="I926">
            <v>17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 t="str">
            <v>CAC</v>
          </cell>
          <cell r="AH926" t="str">
            <v>CAC</v>
          </cell>
          <cell r="AI926" t="str">
            <v/>
          </cell>
          <cell r="AJ926" t="str">
            <v/>
          </cell>
          <cell r="AK926" t="str">
            <v>0.195907</v>
          </cell>
          <cell r="AL926" t="str">
            <v>0</v>
          </cell>
          <cell r="AM926" t="str">
            <v>Q</v>
          </cell>
          <cell r="AN926" t="str">
            <v>M0</v>
          </cell>
          <cell r="AO926" t="str">
            <v>Active(Model)</v>
          </cell>
          <cell r="AP926" t="str">
            <v/>
          </cell>
          <cell r="AQ926" t="str">
            <v/>
          </cell>
          <cell r="AR926" t="str">
            <v>Y</v>
          </cell>
          <cell r="AS926" t="str">
            <v/>
          </cell>
          <cell r="AT926" t="str">
            <v>AC</v>
          </cell>
          <cell r="AU926" t="str">
            <v>Airconditioner</v>
          </cell>
          <cell r="AV926" t="str">
            <v>ACMT</v>
          </cell>
          <cell r="AW926" t="str">
            <v>Multi</v>
          </cell>
          <cell r="AX926" t="str">
            <v>ACMTID</v>
          </cell>
          <cell r="AY926" t="str">
            <v>Flexible Multi-I/D(Inv.&amp; MPS)</v>
          </cell>
          <cell r="AZ926" t="str">
            <v>ACMTIDMC</v>
          </cell>
          <cell r="BA926" t="str">
            <v>Flexible Multi_I/D_Cassette</v>
          </cell>
        </row>
        <row r="927">
          <cell r="E927" t="str">
            <v>AMNW24GL3A2.ENWHEVH</v>
          </cell>
          <cell r="F927">
            <v>24</v>
          </cell>
          <cell r="G927">
            <v>0</v>
          </cell>
          <cell r="H927">
            <v>0</v>
          </cell>
          <cell r="I927">
            <v>40</v>
          </cell>
          <cell r="J927">
            <v>0</v>
          </cell>
          <cell r="K927">
            <v>49</v>
          </cell>
          <cell r="L927">
            <v>9</v>
          </cell>
          <cell r="M927">
            <v>0</v>
          </cell>
          <cell r="N927">
            <v>0</v>
          </cell>
          <cell r="O927">
            <v>3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 t="str">
            <v>CAC</v>
          </cell>
          <cell r="AH927" t="str">
            <v>CAC</v>
          </cell>
          <cell r="AI927" t="str">
            <v/>
          </cell>
          <cell r="AJ927" t="str">
            <v/>
          </cell>
          <cell r="AK927" t="str">
            <v>0.251334</v>
          </cell>
          <cell r="AL927" t="str">
            <v>0</v>
          </cell>
          <cell r="AM927" t="str">
            <v>Q</v>
          </cell>
          <cell r="AN927" t="str">
            <v>M0</v>
          </cell>
          <cell r="AO927" t="str">
            <v>Active(Model)</v>
          </cell>
          <cell r="AP927" t="str">
            <v/>
          </cell>
          <cell r="AQ927" t="str">
            <v/>
          </cell>
          <cell r="AR927" t="str">
            <v>Y</v>
          </cell>
          <cell r="AS927" t="str">
            <v/>
          </cell>
          <cell r="AT927" t="str">
            <v>AC</v>
          </cell>
          <cell r="AU927" t="str">
            <v>Airconditioner</v>
          </cell>
          <cell r="AV927" t="str">
            <v>ACMT</v>
          </cell>
          <cell r="AW927" t="str">
            <v>Multi</v>
          </cell>
          <cell r="AX927" t="str">
            <v>ACMTID</v>
          </cell>
          <cell r="AY927" t="str">
            <v>Flexible Multi-I/D(Inv.&amp; MPS)</v>
          </cell>
          <cell r="AZ927" t="str">
            <v>ACMTIDMD</v>
          </cell>
          <cell r="BA927" t="str">
            <v>Flexible Multi_I/D_Duct</v>
          </cell>
        </row>
        <row r="928">
          <cell r="E928" t="str">
            <v>AMNW24GSKB1.ENWHASA</v>
          </cell>
          <cell r="F928">
            <v>1</v>
          </cell>
          <cell r="G928">
            <v>0</v>
          </cell>
          <cell r="H928">
            <v>0</v>
          </cell>
          <cell r="I928">
            <v>5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 t="str">
            <v/>
          </cell>
          <cell r="AH928" t="str">
            <v/>
          </cell>
          <cell r="AI928" t="str">
            <v/>
          </cell>
          <cell r="AJ928" t="str">
            <v/>
          </cell>
          <cell r="AK928" t="str">
            <v>0.126638</v>
          </cell>
          <cell r="AL928" t="str">
            <v>0</v>
          </cell>
          <cell r="AM928" t="str">
            <v>Q</v>
          </cell>
          <cell r="AN928" t="str">
            <v>M0</v>
          </cell>
          <cell r="AO928" t="str">
            <v>Active(Model)</v>
          </cell>
          <cell r="AP928" t="str">
            <v/>
          </cell>
          <cell r="AQ928" t="str">
            <v/>
          </cell>
          <cell r="AR928" t="str">
            <v>Y</v>
          </cell>
          <cell r="AS928" t="str">
            <v/>
          </cell>
          <cell r="AT928" t="str">
            <v>AC</v>
          </cell>
          <cell r="AU928" t="str">
            <v>Airconditioner</v>
          </cell>
          <cell r="AV928" t="str">
            <v>ACMT</v>
          </cell>
          <cell r="AW928" t="str">
            <v>Multi</v>
          </cell>
          <cell r="AX928" t="str">
            <v>ACMTID</v>
          </cell>
          <cell r="AY928" t="str">
            <v>Flexible Multi-I/D(Inv.&amp; MPS)</v>
          </cell>
          <cell r="AZ928" t="str">
            <v>ACMTIDMS</v>
          </cell>
          <cell r="BA928" t="str">
            <v>Flexible Multi_I/D_Wall Mounted</v>
          </cell>
        </row>
        <row r="929">
          <cell r="E929" t="str">
            <v>AMNW24GTTA0.ENWHEVH</v>
          </cell>
          <cell r="F929">
            <v>23</v>
          </cell>
          <cell r="G929">
            <v>0</v>
          </cell>
          <cell r="H929">
            <v>0</v>
          </cell>
          <cell r="I929">
            <v>33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 t="str">
            <v/>
          </cell>
          <cell r="AH929" t="str">
            <v/>
          </cell>
          <cell r="AI929" t="str">
            <v/>
          </cell>
          <cell r="AJ929" t="str">
            <v/>
          </cell>
          <cell r="AK929" t="str">
            <v>0.195907</v>
          </cell>
          <cell r="AL929" t="str">
            <v>0</v>
          </cell>
          <cell r="AM929" t="str">
            <v>Q</v>
          </cell>
          <cell r="AN929" t="str">
            <v>M0</v>
          </cell>
          <cell r="AO929" t="str">
            <v>Active(Model)</v>
          </cell>
          <cell r="AP929" t="str">
            <v/>
          </cell>
          <cell r="AQ929" t="str">
            <v/>
          </cell>
          <cell r="AR929" t="str">
            <v>Y</v>
          </cell>
          <cell r="AS929" t="str">
            <v/>
          </cell>
          <cell r="AT929" t="str">
            <v>AC</v>
          </cell>
          <cell r="AU929" t="str">
            <v>Airconditioner</v>
          </cell>
          <cell r="AV929" t="str">
            <v>ACMT</v>
          </cell>
          <cell r="AW929" t="str">
            <v>Multi</v>
          </cell>
          <cell r="AX929" t="str">
            <v>ACMTID</v>
          </cell>
          <cell r="AY929" t="str">
            <v>Flexible Multi-I/D(Inv.&amp; MPS)</v>
          </cell>
          <cell r="AZ929" t="str">
            <v>ACMTIDMC</v>
          </cell>
          <cell r="BA929" t="str">
            <v>Flexible Multi_I/D_Cassette</v>
          </cell>
        </row>
        <row r="930">
          <cell r="E930" t="str">
            <v>APNQ100LFA0.EMWBEVH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 t="str">
            <v>CAC</v>
          </cell>
          <cell r="AH930" t="str">
            <v>CAC</v>
          </cell>
          <cell r="AI930" t="str">
            <v/>
          </cell>
          <cell r="AJ930" t="str">
            <v/>
          </cell>
          <cell r="AK930" t="str">
            <v>1.347243</v>
          </cell>
          <cell r="AL930" t="str">
            <v>2</v>
          </cell>
          <cell r="AM930" t="str">
            <v>Q</v>
          </cell>
          <cell r="AN930" t="str">
            <v>M0</v>
          </cell>
          <cell r="AO930" t="str">
            <v>Active(Model)</v>
          </cell>
          <cell r="AP930" t="str">
            <v/>
          </cell>
          <cell r="AQ930" t="str">
            <v/>
          </cell>
          <cell r="AR930" t="str">
            <v>Y</v>
          </cell>
          <cell r="AS930" t="str">
            <v/>
          </cell>
          <cell r="AT930" t="str">
            <v>AC</v>
          </cell>
          <cell r="AU930" t="str">
            <v>Airconditioner</v>
          </cell>
          <cell r="AV930" t="str">
            <v>ACPC</v>
          </cell>
          <cell r="AW930" t="str">
            <v>PAC</v>
          </cell>
          <cell r="AX930" t="str">
            <v>ACPCDH</v>
          </cell>
          <cell r="AY930" t="str">
            <v>PAC_Inverter Cooling</v>
          </cell>
          <cell r="AZ930" t="str">
            <v>ACPCDHAA</v>
          </cell>
          <cell r="BA930" t="str">
            <v>PAC_Inverter C/O_I/D</v>
          </cell>
        </row>
        <row r="931">
          <cell r="E931" t="str">
            <v>APNQ100LFA0.EMWSEVH</v>
          </cell>
          <cell r="F931">
            <v>21</v>
          </cell>
          <cell r="G931">
            <v>0</v>
          </cell>
          <cell r="H931">
            <v>0</v>
          </cell>
          <cell r="I931">
            <v>24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13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 t="str">
            <v/>
          </cell>
          <cell r="AH931" t="str">
            <v/>
          </cell>
          <cell r="AI931" t="str">
            <v/>
          </cell>
          <cell r="AJ931" t="str">
            <v/>
          </cell>
          <cell r="AK931" t="str">
            <v>1.347243</v>
          </cell>
          <cell r="AL931" t="str">
            <v>0</v>
          </cell>
          <cell r="AM931" t="str">
            <v>Q</v>
          </cell>
          <cell r="AN931" t="str">
            <v>M0</v>
          </cell>
          <cell r="AO931" t="str">
            <v>Active(Model)</v>
          </cell>
          <cell r="AP931" t="str">
            <v/>
          </cell>
          <cell r="AQ931" t="str">
            <v/>
          </cell>
          <cell r="AR931" t="str">
            <v>Y</v>
          </cell>
          <cell r="AS931" t="str">
            <v/>
          </cell>
          <cell r="AT931" t="str">
            <v>AC</v>
          </cell>
          <cell r="AU931" t="str">
            <v>Airconditioner</v>
          </cell>
          <cell r="AV931" t="str">
            <v>ACPC</v>
          </cell>
          <cell r="AW931" t="str">
            <v>PAC</v>
          </cell>
          <cell r="AX931" t="str">
            <v>ACPCDH</v>
          </cell>
          <cell r="AY931" t="str">
            <v>PAC_Inverter Cooling</v>
          </cell>
          <cell r="AZ931" t="str">
            <v>ACPCDHAA</v>
          </cell>
          <cell r="BA931" t="str">
            <v>PAC_Inverter C/O_I/D</v>
          </cell>
        </row>
        <row r="932">
          <cell r="E932" t="str">
            <v>APNQ150LNA0.EMWBASA</v>
          </cell>
          <cell r="F932">
            <v>1</v>
          </cell>
          <cell r="G932">
            <v>0</v>
          </cell>
          <cell r="H932">
            <v>0</v>
          </cell>
          <cell r="I932">
            <v>1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 t="str">
            <v>CAC</v>
          </cell>
          <cell r="AH932" t="str">
            <v>CAC</v>
          </cell>
          <cell r="AI932" t="str">
            <v/>
          </cell>
          <cell r="AJ932" t="str">
            <v/>
          </cell>
          <cell r="AK932" t="str">
            <v>2.743545</v>
          </cell>
          <cell r="AL932" t="str">
            <v>2</v>
          </cell>
          <cell r="AM932" t="str">
            <v>Q</v>
          </cell>
          <cell r="AN932" t="str">
            <v>M0</v>
          </cell>
          <cell r="AO932" t="str">
            <v>Active(Model)</v>
          </cell>
          <cell r="AP932" t="str">
            <v/>
          </cell>
          <cell r="AQ932" t="str">
            <v/>
          </cell>
          <cell r="AR932" t="str">
            <v>Y</v>
          </cell>
          <cell r="AS932" t="str">
            <v/>
          </cell>
          <cell r="AT932" t="str">
            <v>AC</v>
          </cell>
          <cell r="AU932" t="str">
            <v>Airconditioner</v>
          </cell>
          <cell r="AV932" t="str">
            <v>ACPC</v>
          </cell>
          <cell r="AW932" t="str">
            <v>PAC</v>
          </cell>
          <cell r="AX932" t="str">
            <v>ACPCDH</v>
          </cell>
          <cell r="AY932" t="str">
            <v>PAC_Inverter Cooling</v>
          </cell>
          <cell r="AZ932" t="str">
            <v>ACPCDHAA</v>
          </cell>
          <cell r="BA932" t="str">
            <v>PAC_Inverter C/O_I/D</v>
          </cell>
        </row>
        <row r="933">
          <cell r="E933" t="str">
            <v>APNQ200LNA0.EMWBASA</v>
          </cell>
          <cell r="F933">
            <v>5</v>
          </cell>
          <cell r="G933">
            <v>0</v>
          </cell>
          <cell r="H933">
            <v>0</v>
          </cell>
          <cell r="I933">
            <v>5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2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 t="str">
            <v>CAC</v>
          </cell>
          <cell r="AH933" t="str">
            <v>CAC</v>
          </cell>
          <cell r="AI933" t="str">
            <v/>
          </cell>
          <cell r="AJ933" t="str">
            <v/>
          </cell>
          <cell r="AK933" t="str">
            <v>2.743545</v>
          </cell>
          <cell r="AL933" t="str">
            <v>2</v>
          </cell>
          <cell r="AM933" t="str">
            <v>Q</v>
          </cell>
          <cell r="AN933" t="str">
            <v>M0</v>
          </cell>
          <cell r="AO933" t="str">
            <v>Active(Model)</v>
          </cell>
          <cell r="AP933" t="str">
            <v/>
          </cell>
          <cell r="AQ933" t="str">
            <v/>
          </cell>
          <cell r="AR933" t="str">
            <v>Y</v>
          </cell>
          <cell r="AS933" t="str">
            <v/>
          </cell>
          <cell r="AT933" t="str">
            <v>AC</v>
          </cell>
          <cell r="AU933" t="str">
            <v>Airconditioner</v>
          </cell>
          <cell r="AV933" t="str">
            <v>ACPC</v>
          </cell>
          <cell r="AW933" t="str">
            <v>PAC</v>
          </cell>
          <cell r="AX933" t="str">
            <v>ACPCDH</v>
          </cell>
          <cell r="AY933" t="str">
            <v>PAC_Inverter Cooling</v>
          </cell>
          <cell r="AZ933" t="str">
            <v>ACPCDHAA</v>
          </cell>
          <cell r="BA933" t="str">
            <v>PAC_Inverter C/O_I/D</v>
          </cell>
        </row>
        <row r="934">
          <cell r="E934" t="str">
            <v>APUQ100LFA0.EMWBEVH</v>
          </cell>
          <cell r="F934">
            <v>21</v>
          </cell>
          <cell r="G934">
            <v>0</v>
          </cell>
          <cell r="H934">
            <v>0</v>
          </cell>
          <cell r="I934">
            <v>24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13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 t="str">
            <v>CAC</v>
          </cell>
          <cell r="AH934" t="str">
            <v>CAC</v>
          </cell>
          <cell r="AI934" t="str">
            <v/>
          </cell>
          <cell r="AJ934" t="str">
            <v/>
          </cell>
          <cell r="AK934" t="str">
            <v>1.097686</v>
          </cell>
          <cell r="AL934" t="str">
            <v>2</v>
          </cell>
          <cell r="AM934" t="str">
            <v>Q</v>
          </cell>
          <cell r="AN934" t="str">
            <v>M0</v>
          </cell>
          <cell r="AO934" t="str">
            <v>Active(Model)</v>
          </cell>
          <cell r="AP934" t="str">
            <v/>
          </cell>
          <cell r="AQ934" t="str">
            <v/>
          </cell>
          <cell r="AR934" t="str">
            <v>Y</v>
          </cell>
          <cell r="AS934" t="str">
            <v/>
          </cell>
          <cell r="AT934" t="str">
            <v>AC</v>
          </cell>
          <cell r="AU934" t="str">
            <v>Airconditioner</v>
          </cell>
          <cell r="AV934" t="str">
            <v>ACPC</v>
          </cell>
          <cell r="AW934" t="str">
            <v>PAC</v>
          </cell>
          <cell r="AX934" t="str">
            <v>ACPCDH</v>
          </cell>
          <cell r="AY934" t="str">
            <v>PAC_Inverter Cooling</v>
          </cell>
          <cell r="AZ934" t="str">
            <v>ACPCDHAB</v>
          </cell>
          <cell r="BA934" t="str">
            <v>PAC_Inverter C/O_O/D</v>
          </cell>
        </row>
        <row r="935">
          <cell r="E935" t="str">
            <v>APUQ150LNA0.EMWBASA</v>
          </cell>
          <cell r="F935">
            <v>1</v>
          </cell>
          <cell r="G935">
            <v>0</v>
          </cell>
          <cell r="H935">
            <v>0</v>
          </cell>
          <cell r="I935">
            <v>1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 t="str">
            <v>CAC</v>
          </cell>
          <cell r="AH935" t="str">
            <v>CAC</v>
          </cell>
          <cell r="AI935" t="str">
            <v/>
          </cell>
          <cell r="AJ935" t="str">
            <v/>
          </cell>
          <cell r="AK935" t="str">
            <v>1.882517</v>
          </cell>
          <cell r="AL935" t="str">
            <v>2</v>
          </cell>
          <cell r="AM935" t="str">
            <v>Q</v>
          </cell>
          <cell r="AN935" t="str">
            <v>M0</v>
          </cell>
          <cell r="AO935" t="str">
            <v>Active(Model)</v>
          </cell>
          <cell r="AP935" t="str">
            <v/>
          </cell>
          <cell r="AQ935" t="str">
            <v/>
          </cell>
          <cell r="AR935" t="str">
            <v>Y</v>
          </cell>
          <cell r="AS935" t="str">
            <v/>
          </cell>
          <cell r="AT935" t="str">
            <v>AC</v>
          </cell>
          <cell r="AU935" t="str">
            <v>Airconditioner</v>
          </cell>
          <cell r="AV935" t="str">
            <v>ACPC</v>
          </cell>
          <cell r="AW935" t="str">
            <v>PAC</v>
          </cell>
          <cell r="AX935" t="str">
            <v>ACPCDH</v>
          </cell>
          <cell r="AY935" t="str">
            <v>PAC_Inverter Cooling</v>
          </cell>
          <cell r="AZ935" t="str">
            <v>ACPCDHAB</v>
          </cell>
          <cell r="BA935" t="str">
            <v>PAC_Inverter C/O_O/D</v>
          </cell>
        </row>
        <row r="936">
          <cell r="E936" t="str">
            <v>APUQ200LNA0.EMWBASA</v>
          </cell>
          <cell r="F936">
            <v>8</v>
          </cell>
          <cell r="G936">
            <v>0</v>
          </cell>
          <cell r="H936">
            <v>0</v>
          </cell>
          <cell r="I936">
            <v>8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2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 t="str">
            <v>CAC</v>
          </cell>
          <cell r="AH936" t="str">
            <v>CAC</v>
          </cell>
          <cell r="AI936" t="str">
            <v/>
          </cell>
          <cell r="AJ936" t="str">
            <v/>
          </cell>
          <cell r="AK936" t="str">
            <v>1.882517</v>
          </cell>
          <cell r="AL936" t="str">
            <v>2</v>
          </cell>
          <cell r="AM936" t="str">
            <v>Q</v>
          </cell>
          <cell r="AN936" t="str">
            <v>M0</v>
          </cell>
          <cell r="AO936" t="str">
            <v>Active(Model)</v>
          </cell>
          <cell r="AP936" t="str">
            <v/>
          </cell>
          <cell r="AQ936" t="str">
            <v/>
          </cell>
          <cell r="AR936" t="str">
            <v>Y</v>
          </cell>
          <cell r="AS936" t="str">
            <v/>
          </cell>
          <cell r="AT936" t="str">
            <v>AC</v>
          </cell>
          <cell r="AU936" t="str">
            <v>Airconditioner</v>
          </cell>
          <cell r="AV936" t="str">
            <v>ACPC</v>
          </cell>
          <cell r="AW936" t="str">
            <v>PAC</v>
          </cell>
          <cell r="AX936" t="str">
            <v>ACPCDH</v>
          </cell>
          <cell r="AY936" t="str">
            <v>PAC_Inverter Cooling</v>
          </cell>
          <cell r="AZ936" t="str">
            <v>ACPCDHAB</v>
          </cell>
          <cell r="BA936" t="str">
            <v>PAC_Inverter C/O_O/D</v>
          </cell>
        </row>
        <row r="937">
          <cell r="E937" t="str">
            <v>ARBLN01621.ENCXLEU</v>
          </cell>
          <cell r="F937">
            <v>430</v>
          </cell>
          <cell r="G937">
            <v>0</v>
          </cell>
          <cell r="H937">
            <v>0</v>
          </cell>
          <cell r="I937">
            <v>516</v>
          </cell>
          <cell r="J937">
            <v>0</v>
          </cell>
          <cell r="K937">
            <v>14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 t="str">
            <v>CAC</v>
          </cell>
          <cell r="AH937" t="str">
            <v>CAC</v>
          </cell>
          <cell r="AI937" t="str">
            <v/>
          </cell>
          <cell r="AJ937" t="str">
            <v/>
          </cell>
          <cell r="AK937" t="str">
            <v>0.006120</v>
          </cell>
          <cell r="AL937" t="str">
            <v>0</v>
          </cell>
          <cell r="AM937" t="str">
            <v>Q</v>
          </cell>
          <cell r="AN937" t="str">
            <v>M0</v>
          </cell>
          <cell r="AO937" t="str">
            <v>Active(Model)</v>
          </cell>
          <cell r="AP937" t="str">
            <v/>
          </cell>
          <cell r="AQ937" t="str">
            <v/>
          </cell>
          <cell r="AR937" t="str">
            <v>Y</v>
          </cell>
          <cell r="AS937" t="str">
            <v/>
          </cell>
          <cell r="AT937" t="str">
            <v>AC</v>
          </cell>
          <cell r="AU937" t="str">
            <v>Airconditioner</v>
          </cell>
          <cell r="AV937" t="str">
            <v>ACMV</v>
          </cell>
          <cell r="AW937" t="str">
            <v>Multi V</v>
          </cell>
          <cell r="AX937" t="str">
            <v>ACMVID</v>
          </cell>
          <cell r="AY937" t="str">
            <v>Multi V I/D</v>
          </cell>
          <cell r="AZ937" t="str">
            <v>ACMVIDPP</v>
          </cell>
          <cell r="BA937" t="str">
            <v>Multi V_Mechanical option part</v>
          </cell>
        </row>
        <row r="938">
          <cell r="E938" t="str">
            <v>ARBLN03321.ENCXLEU</v>
          </cell>
          <cell r="F938">
            <v>230</v>
          </cell>
          <cell r="G938">
            <v>0</v>
          </cell>
          <cell r="H938">
            <v>0</v>
          </cell>
          <cell r="I938">
            <v>359</v>
          </cell>
          <cell r="J938">
            <v>0</v>
          </cell>
          <cell r="K938">
            <v>14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 t="str">
            <v>CAC</v>
          </cell>
          <cell r="AH938" t="str">
            <v>CAC</v>
          </cell>
          <cell r="AI938" t="str">
            <v/>
          </cell>
          <cell r="AJ938" t="str">
            <v/>
          </cell>
          <cell r="AK938" t="str">
            <v>0.007920</v>
          </cell>
          <cell r="AL938" t="str">
            <v>0</v>
          </cell>
          <cell r="AM938" t="str">
            <v>Q</v>
          </cell>
          <cell r="AN938" t="str">
            <v>M0</v>
          </cell>
          <cell r="AO938" t="str">
            <v>Active(Model)</v>
          </cell>
          <cell r="AP938" t="str">
            <v/>
          </cell>
          <cell r="AQ938" t="str">
            <v/>
          </cell>
          <cell r="AR938" t="str">
            <v>Y</v>
          </cell>
          <cell r="AS938" t="str">
            <v/>
          </cell>
          <cell r="AT938" t="str">
            <v>AC</v>
          </cell>
          <cell r="AU938" t="str">
            <v>Airconditioner</v>
          </cell>
          <cell r="AV938" t="str">
            <v>ACMV</v>
          </cell>
          <cell r="AW938" t="str">
            <v>Multi V</v>
          </cell>
          <cell r="AX938" t="str">
            <v>ACMVID</v>
          </cell>
          <cell r="AY938" t="str">
            <v>Multi V I/D</v>
          </cell>
          <cell r="AZ938" t="str">
            <v>ACMVIDPP</v>
          </cell>
          <cell r="BA938" t="str">
            <v>Multi V_Mechanical option part</v>
          </cell>
        </row>
        <row r="939">
          <cell r="E939" t="str">
            <v>ARBLN07121.ENCXLEU</v>
          </cell>
          <cell r="F939">
            <v>348</v>
          </cell>
          <cell r="G939">
            <v>0</v>
          </cell>
          <cell r="H939">
            <v>0</v>
          </cell>
          <cell r="I939">
            <v>440</v>
          </cell>
          <cell r="J939">
            <v>0</v>
          </cell>
          <cell r="K939">
            <v>14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 t="str">
            <v>CAC</v>
          </cell>
          <cell r="AH939" t="str">
            <v>CAC</v>
          </cell>
          <cell r="AI939" t="str">
            <v/>
          </cell>
          <cell r="AJ939" t="str">
            <v/>
          </cell>
          <cell r="AK939" t="str">
            <v>0.018135</v>
          </cell>
          <cell r="AL939" t="str">
            <v>0</v>
          </cell>
          <cell r="AM939" t="str">
            <v>Q</v>
          </cell>
          <cell r="AN939" t="str">
            <v>M0</v>
          </cell>
          <cell r="AO939" t="str">
            <v>Active(Model)</v>
          </cell>
          <cell r="AP939" t="str">
            <v/>
          </cell>
          <cell r="AQ939" t="str">
            <v/>
          </cell>
          <cell r="AR939" t="str">
            <v>Y</v>
          </cell>
          <cell r="AS939" t="str">
            <v/>
          </cell>
          <cell r="AT939" t="str">
            <v>AC</v>
          </cell>
          <cell r="AU939" t="str">
            <v>Airconditioner</v>
          </cell>
          <cell r="AV939" t="str">
            <v>ACMV</v>
          </cell>
          <cell r="AW939" t="str">
            <v>Multi V</v>
          </cell>
          <cell r="AX939" t="str">
            <v>ACMVID</v>
          </cell>
          <cell r="AY939" t="str">
            <v>Multi V I/D</v>
          </cell>
          <cell r="AZ939" t="str">
            <v>ACMVIDPP</v>
          </cell>
          <cell r="BA939" t="str">
            <v>Multi V_Mechanical option part</v>
          </cell>
        </row>
        <row r="940">
          <cell r="E940" t="str">
            <v>ARBLN14521.ENCXLEU</v>
          </cell>
          <cell r="F940">
            <v>178</v>
          </cell>
          <cell r="G940">
            <v>0</v>
          </cell>
          <cell r="H940">
            <v>0</v>
          </cell>
          <cell r="I940">
            <v>251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 t="str">
            <v>CAC</v>
          </cell>
          <cell r="AH940" t="str">
            <v>CAC</v>
          </cell>
          <cell r="AI940" t="str">
            <v/>
          </cell>
          <cell r="AJ940" t="str">
            <v/>
          </cell>
          <cell r="AK940" t="str">
            <v>0.019130</v>
          </cell>
          <cell r="AL940" t="str">
            <v>0</v>
          </cell>
          <cell r="AM940" t="str">
            <v>Q</v>
          </cell>
          <cell r="AN940" t="str">
            <v>M0</v>
          </cell>
          <cell r="AO940" t="str">
            <v>Active(Model)</v>
          </cell>
          <cell r="AP940" t="str">
            <v/>
          </cell>
          <cell r="AQ940" t="str">
            <v/>
          </cell>
          <cell r="AR940" t="str">
            <v>Y</v>
          </cell>
          <cell r="AS940" t="str">
            <v/>
          </cell>
          <cell r="AT940" t="str">
            <v>AC</v>
          </cell>
          <cell r="AU940" t="str">
            <v>Airconditioner</v>
          </cell>
          <cell r="AV940" t="str">
            <v>ACMV</v>
          </cell>
          <cell r="AW940" t="str">
            <v>Multi V</v>
          </cell>
          <cell r="AX940" t="str">
            <v>ACMVID</v>
          </cell>
          <cell r="AY940" t="str">
            <v>Multi V I/D</v>
          </cell>
          <cell r="AZ940" t="str">
            <v>ACMVIDPP</v>
          </cell>
          <cell r="BA940" t="str">
            <v>Multi V_Mechanical option part</v>
          </cell>
        </row>
        <row r="941">
          <cell r="E941" t="str">
            <v>ARBLN23220.ENCXLEU</v>
          </cell>
          <cell r="F941">
            <v>3</v>
          </cell>
          <cell r="G941">
            <v>0</v>
          </cell>
          <cell r="H941">
            <v>0</v>
          </cell>
          <cell r="I941">
            <v>3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 t="str">
            <v>CAC</v>
          </cell>
          <cell r="AH941" t="str">
            <v>CAC</v>
          </cell>
          <cell r="AI941" t="str">
            <v/>
          </cell>
          <cell r="AJ941" t="str">
            <v/>
          </cell>
          <cell r="AK941" t="str">
            <v>0.022770</v>
          </cell>
          <cell r="AL941" t="str">
            <v>0</v>
          </cell>
          <cell r="AM941" t="str">
            <v>Q</v>
          </cell>
          <cell r="AN941" t="str">
            <v>M0</v>
          </cell>
          <cell r="AO941" t="str">
            <v>Active(Model)</v>
          </cell>
          <cell r="AP941" t="str">
            <v/>
          </cell>
          <cell r="AQ941" t="str">
            <v/>
          </cell>
          <cell r="AR941" t="str">
            <v>Y</v>
          </cell>
          <cell r="AS941" t="str">
            <v/>
          </cell>
          <cell r="AT941" t="str">
            <v>AC</v>
          </cell>
          <cell r="AU941" t="str">
            <v>Airconditioner</v>
          </cell>
          <cell r="AV941" t="str">
            <v>ACMV</v>
          </cell>
          <cell r="AW941" t="str">
            <v>Multi V</v>
          </cell>
          <cell r="AX941" t="str">
            <v>ACMVID</v>
          </cell>
          <cell r="AY941" t="str">
            <v>Multi V I/D</v>
          </cell>
          <cell r="AZ941" t="str">
            <v>ACMVIDPP</v>
          </cell>
          <cell r="BA941" t="str">
            <v>Multi V_Mechanical option part</v>
          </cell>
        </row>
        <row r="942">
          <cell r="E942" t="str">
            <v>ARCNN21.ENCXLEU</v>
          </cell>
          <cell r="F942">
            <v>55</v>
          </cell>
          <cell r="G942">
            <v>0</v>
          </cell>
          <cell r="H942">
            <v>0</v>
          </cell>
          <cell r="I942">
            <v>68</v>
          </cell>
          <cell r="J942">
            <v>0</v>
          </cell>
          <cell r="K942">
            <v>1</v>
          </cell>
          <cell r="L942">
            <v>0</v>
          </cell>
          <cell r="M942">
            <v>0</v>
          </cell>
          <cell r="N942">
            <v>0</v>
          </cell>
          <cell r="O942">
            <v>4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 t="str">
            <v>CAC</v>
          </cell>
          <cell r="AH942" t="str">
            <v>CAC</v>
          </cell>
          <cell r="AI942" t="str">
            <v/>
          </cell>
          <cell r="AJ942" t="str">
            <v/>
          </cell>
          <cell r="AK942" t="str">
            <v>0.022770</v>
          </cell>
          <cell r="AL942" t="str">
            <v>0</v>
          </cell>
          <cell r="AM942" t="str">
            <v>Q</v>
          </cell>
          <cell r="AN942" t="str">
            <v>M0</v>
          </cell>
          <cell r="AO942" t="str">
            <v>Active(Model)</v>
          </cell>
          <cell r="AP942" t="str">
            <v/>
          </cell>
          <cell r="AQ942" t="str">
            <v/>
          </cell>
          <cell r="AR942" t="str">
            <v>Y</v>
          </cell>
          <cell r="AS942" t="str">
            <v/>
          </cell>
          <cell r="AT942" t="str">
            <v>AC</v>
          </cell>
          <cell r="AU942" t="str">
            <v>Airconditioner</v>
          </cell>
          <cell r="AV942" t="str">
            <v>ACMV</v>
          </cell>
          <cell r="AW942" t="str">
            <v>Multi V</v>
          </cell>
          <cell r="AX942" t="str">
            <v>ACMVID</v>
          </cell>
          <cell r="AY942" t="str">
            <v>Multi V I/D</v>
          </cell>
          <cell r="AZ942" t="str">
            <v>ACMVIDPP</v>
          </cell>
          <cell r="BA942" t="str">
            <v>Multi V_Mechanical option part</v>
          </cell>
        </row>
        <row r="943">
          <cell r="E943" t="str">
            <v>ARCNN31.ENCXLEU</v>
          </cell>
          <cell r="F943">
            <v>2</v>
          </cell>
          <cell r="G943">
            <v>0</v>
          </cell>
          <cell r="H943">
            <v>0</v>
          </cell>
          <cell r="I943">
            <v>3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1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 t="str">
            <v>CAC</v>
          </cell>
          <cell r="AH943" t="str">
            <v>CAC</v>
          </cell>
          <cell r="AI943" t="str">
            <v/>
          </cell>
          <cell r="AJ943" t="str">
            <v/>
          </cell>
          <cell r="AK943" t="str">
            <v>0.022770</v>
          </cell>
          <cell r="AL943" t="str">
            <v>0</v>
          </cell>
          <cell r="AM943" t="str">
            <v>Q</v>
          </cell>
          <cell r="AN943" t="str">
            <v>M0</v>
          </cell>
          <cell r="AO943" t="str">
            <v>Active(Model)</v>
          </cell>
          <cell r="AP943" t="str">
            <v/>
          </cell>
          <cell r="AQ943" t="str">
            <v/>
          </cell>
          <cell r="AR943" t="str">
            <v>Y</v>
          </cell>
          <cell r="AS943" t="str">
            <v/>
          </cell>
          <cell r="AT943" t="str">
            <v>AC</v>
          </cell>
          <cell r="AU943" t="str">
            <v>Airconditioner</v>
          </cell>
          <cell r="AV943" t="str">
            <v>ACMV</v>
          </cell>
          <cell r="AW943" t="str">
            <v>Multi V</v>
          </cell>
          <cell r="AX943" t="str">
            <v>ACMVID</v>
          </cell>
          <cell r="AY943" t="str">
            <v>Multi V I/D</v>
          </cell>
          <cell r="AZ943" t="str">
            <v>ACMVIDPP</v>
          </cell>
          <cell r="BA943" t="str">
            <v>Multi V_Mechanical option part</v>
          </cell>
        </row>
        <row r="944">
          <cell r="E944" t="str">
            <v>ARCNN41.ENCXLEU</v>
          </cell>
          <cell r="F944">
            <v>1</v>
          </cell>
          <cell r="G944">
            <v>0</v>
          </cell>
          <cell r="H944">
            <v>0</v>
          </cell>
          <cell r="I944">
            <v>1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 t="str">
            <v>CAC</v>
          </cell>
          <cell r="AH944" t="str">
            <v>CAC</v>
          </cell>
          <cell r="AI944" t="str">
            <v/>
          </cell>
          <cell r="AJ944" t="str">
            <v/>
          </cell>
          <cell r="AK944" t="str">
            <v>0.018740</v>
          </cell>
          <cell r="AL944" t="str">
            <v>0</v>
          </cell>
          <cell r="AM944" t="str">
            <v>Q</v>
          </cell>
          <cell r="AN944" t="str">
            <v>M0</v>
          </cell>
          <cell r="AO944" t="str">
            <v>Active(Model)</v>
          </cell>
          <cell r="AP944" t="str">
            <v/>
          </cell>
          <cell r="AQ944" t="str">
            <v/>
          </cell>
          <cell r="AR944" t="str">
            <v>Y</v>
          </cell>
          <cell r="AS944" t="str">
            <v/>
          </cell>
          <cell r="AT944" t="str">
            <v>AC</v>
          </cell>
          <cell r="AU944" t="str">
            <v>Airconditioner</v>
          </cell>
          <cell r="AV944" t="str">
            <v>ACMV</v>
          </cell>
          <cell r="AW944" t="str">
            <v>Multi V</v>
          </cell>
          <cell r="AX944" t="str">
            <v>ACMVID</v>
          </cell>
          <cell r="AY944" t="str">
            <v>Multi V I/D</v>
          </cell>
          <cell r="AZ944" t="str">
            <v>ACMVIDPP</v>
          </cell>
          <cell r="BA944" t="str">
            <v>Multi V_Mechanical option part</v>
          </cell>
        </row>
        <row r="945">
          <cell r="E945" t="str">
            <v>ARNU07GM1A4.ANCSASE</v>
          </cell>
          <cell r="F945">
            <v>2</v>
          </cell>
          <cell r="G945">
            <v>0</v>
          </cell>
          <cell r="H945">
            <v>0</v>
          </cell>
          <cell r="I945">
            <v>2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 t="str">
            <v/>
          </cell>
          <cell r="AH945" t="str">
            <v/>
          </cell>
          <cell r="AI945" t="str">
            <v/>
          </cell>
          <cell r="AJ945" t="str">
            <v/>
          </cell>
          <cell r="AK945" t="str">
            <v>0.287401</v>
          </cell>
          <cell r="AL945" t="str">
            <v>0</v>
          </cell>
          <cell r="AM945" t="str">
            <v>Q</v>
          </cell>
          <cell r="AN945" t="str">
            <v>M0</v>
          </cell>
          <cell r="AO945" t="str">
            <v>Active(Model)</v>
          </cell>
          <cell r="AP945" t="str">
            <v/>
          </cell>
          <cell r="AQ945" t="str">
            <v/>
          </cell>
          <cell r="AR945" t="str">
            <v>Y</v>
          </cell>
          <cell r="AS945" t="str">
            <v/>
          </cell>
          <cell r="AT945" t="str">
            <v>AC</v>
          </cell>
          <cell r="AU945" t="str">
            <v>Airconditioner</v>
          </cell>
          <cell r="AV945" t="str">
            <v>ACMV</v>
          </cell>
          <cell r="AW945" t="str">
            <v>Multi V</v>
          </cell>
          <cell r="AX945" t="str">
            <v>ACMVID</v>
          </cell>
          <cell r="AY945" t="str">
            <v>Multi V I/D</v>
          </cell>
          <cell r="AZ945" t="str">
            <v>ACMVIDMD</v>
          </cell>
          <cell r="BA945" t="str">
            <v>Multi V_I/D_Duct</v>
          </cell>
        </row>
        <row r="946">
          <cell r="E946" t="str">
            <v>ARNU07GSJN4.AMBBASE</v>
          </cell>
          <cell r="F946">
            <v>7</v>
          </cell>
          <cell r="G946">
            <v>0</v>
          </cell>
          <cell r="H946">
            <v>0</v>
          </cell>
          <cell r="I946">
            <v>8</v>
          </cell>
          <cell r="J946">
            <v>0</v>
          </cell>
          <cell r="K946">
            <v>7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 t="str">
            <v>CAC</v>
          </cell>
          <cell r="AH946" t="str">
            <v>CAC</v>
          </cell>
          <cell r="AI946" t="str">
            <v/>
          </cell>
          <cell r="AJ946" t="str">
            <v/>
          </cell>
          <cell r="AK946" t="str">
            <v>0.084623</v>
          </cell>
          <cell r="AL946" t="str">
            <v>2</v>
          </cell>
          <cell r="AM946" t="str">
            <v>Q</v>
          </cell>
          <cell r="AN946" t="str">
            <v>M0</v>
          </cell>
          <cell r="AO946" t="str">
            <v>Active(Model)</v>
          </cell>
          <cell r="AP946" t="str">
            <v/>
          </cell>
          <cell r="AQ946" t="str">
            <v/>
          </cell>
          <cell r="AR946" t="str">
            <v>Y</v>
          </cell>
          <cell r="AS946" t="str">
            <v/>
          </cell>
          <cell r="AT946" t="str">
            <v>AC</v>
          </cell>
          <cell r="AU946" t="str">
            <v>Airconditioner</v>
          </cell>
          <cell r="AV946" t="str">
            <v>ACMV</v>
          </cell>
          <cell r="AW946" t="str">
            <v>Multi V</v>
          </cell>
          <cell r="AX946" t="str">
            <v>ACMVID</v>
          </cell>
          <cell r="AY946" t="str">
            <v>Multi V I/D</v>
          </cell>
          <cell r="AZ946" t="str">
            <v>ACMVIDMS</v>
          </cell>
          <cell r="BA946" t="str">
            <v>Multi V_I/D_Wall Mounted</v>
          </cell>
        </row>
        <row r="947">
          <cell r="E947" t="str">
            <v>ARNU07GTRB4.ANWBASE</v>
          </cell>
          <cell r="F947">
            <v>1</v>
          </cell>
          <cell r="G947">
            <v>0</v>
          </cell>
          <cell r="H947">
            <v>0</v>
          </cell>
          <cell r="I947">
            <v>1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 t="str">
            <v>CAC</v>
          </cell>
          <cell r="AH947" t="str">
            <v>CAC</v>
          </cell>
          <cell r="AI947" t="str">
            <v/>
          </cell>
          <cell r="AJ947" t="str">
            <v/>
          </cell>
          <cell r="AK947" t="str">
            <v>0.122801</v>
          </cell>
          <cell r="AL947" t="str">
            <v>2</v>
          </cell>
          <cell r="AM947" t="str">
            <v>Q</v>
          </cell>
          <cell r="AN947" t="str">
            <v>M0</v>
          </cell>
          <cell r="AO947" t="str">
            <v>Active(Model)</v>
          </cell>
          <cell r="AP947" t="str">
            <v/>
          </cell>
          <cell r="AQ947" t="str">
            <v/>
          </cell>
          <cell r="AR947" t="str">
            <v>Y</v>
          </cell>
          <cell r="AS947" t="str">
            <v/>
          </cell>
          <cell r="AT947" t="str">
            <v>AC</v>
          </cell>
          <cell r="AU947" t="str">
            <v>Airconditioner</v>
          </cell>
          <cell r="AV947" t="str">
            <v>ACMV</v>
          </cell>
          <cell r="AW947" t="str">
            <v>Multi V</v>
          </cell>
          <cell r="AX947" t="str">
            <v>ACMVID</v>
          </cell>
          <cell r="AY947" t="str">
            <v>Multi V I/D</v>
          </cell>
          <cell r="AZ947" t="str">
            <v>ACMVIDMC</v>
          </cell>
          <cell r="BA947" t="str">
            <v>Multi V_I/D_Cassette</v>
          </cell>
        </row>
        <row r="948">
          <cell r="E948" t="str">
            <v>ARNU09GM1A4.ANCSASE</v>
          </cell>
          <cell r="F948">
            <v>35</v>
          </cell>
          <cell r="G948">
            <v>0</v>
          </cell>
          <cell r="H948">
            <v>0</v>
          </cell>
          <cell r="I948">
            <v>47</v>
          </cell>
          <cell r="J948">
            <v>0</v>
          </cell>
          <cell r="K948">
            <v>13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 t="str">
            <v/>
          </cell>
          <cell r="AH948" t="str">
            <v/>
          </cell>
          <cell r="AI948" t="str">
            <v/>
          </cell>
          <cell r="AJ948" t="str">
            <v/>
          </cell>
          <cell r="AK948" t="str">
            <v>0.287401</v>
          </cell>
          <cell r="AL948" t="str">
            <v>0</v>
          </cell>
          <cell r="AM948" t="str">
            <v>Q</v>
          </cell>
          <cell r="AN948" t="str">
            <v>M0</v>
          </cell>
          <cell r="AO948" t="str">
            <v>Active(Model)</v>
          </cell>
          <cell r="AP948" t="str">
            <v/>
          </cell>
          <cell r="AQ948" t="str">
            <v/>
          </cell>
          <cell r="AR948" t="str">
            <v>Y</v>
          </cell>
          <cell r="AS948" t="str">
            <v/>
          </cell>
          <cell r="AT948" t="str">
            <v>AC</v>
          </cell>
          <cell r="AU948" t="str">
            <v>Airconditioner</v>
          </cell>
          <cell r="AV948" t="str">
            <v>ACMV</v>
          </cell>
          <cell r="AW948" t="str">
            <v>Multi V</v>
          </cell>
          <cell r="AX948" t="str">
            <v>ACMVID</v>
          </cell>
          <cell r="AY948" t="str">
            <v>Multi V I/D</v>
          </cell>
          <cell r="AZ948" t="str">
            <v>ACMVIDMD</v>
          </cell>
          <cell r="BA948" t="str">
            <v>Multi V_I/D_Duct</v>
          </cell>
        </row>
        <row r="949">
          <cell r="E949" t="str">
            <v>ARNU09GSJN4.AMBBASE</v>
          </cell>
          <cell r="F949">
            <v>1</v>
          </cell>
          <cell r="G949">
            <v>0</v>
          </cell>
          <cell r="H949">
            <v>0</v>
          </cell>
          <cell r="I949">
            <v>3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 t="str">
            <v>CAC</v>
          </cell>
          <cell r="AH949" t="str">
            <v>CAC</v>
          </cell>
          <cell r="AI949" t="str">
            <v/>
          </cell>
          <cell r="AJ949" t="str">
            <v/>
          </cell>
          <cell r="AK949" t="str">
            <v>0.084623</v>
          </cell>
          <cell r="AL949" t="str">
            <v>2</v>
          </cell>
          <cell r="AM949" t="str">
            <v>Q</v>
          </cell>
          <cell r="AN949" t="str">
            <v>M0</v>
          </cell>
          <cell r="AO949" t="str">
            <v>Active(Model)</v>
          </cell>
          <cell r="AP949" t="str">
            <v/>
          </cell>
          <cell r="AQ949" t="str">
            <v/>
          </cell>
          <cell r="AR949" t="str">
            <v>Y</v>
          </cell>
          <cell r="AS949" t="str">
            <v/>
          </cell>
          <cell r="AT949" t="str">
            <v>AC</v>
          </cell>
          <cell r="AU949" t="str">
            <v>Airconditioner</v>
          </cell>
          <cell r="AV949" t="str">
            <v>ACMV</v>
          </cell>
          <cell r="AW949" t="str">
            <v>Multi V</v>
          </cell>
          <cell r="AX949" t="str">
            <v>ACMVID</v>
          </cell>
          <cell r="AY949" t="str">
            <v>Multi V I/D</v>
          </cell>
          <cell r="AZ949" t="str">
            <v>ACMVIDMS</v>
          </cell>
          <cell r="BA949" t="str">
            <v>Multi V_I/D_Wall Mounted</v>
          </cell>
        </row>
        <row r="950">
          <cell r="E950" t="str">
            <v>ARNU09GTRB4.ANWBASE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 t="str">
            <v>CAC</v>
          </cell>
          <cell r="AH950" t="str">
            <v>CAC</v>
          </cell>
          <cell r="AI950" t="str">
            <v/>
          </cell>
          <cell r="AJ950" t="str">
            <v/>
          </cell>
          <cell r="AK950" t="str">
            <v>0.122801</v>
          </cell>
          <cell r="AL950" t="str">
            <v>2</v>
          </cell>
          <cell r="AM950" t="str">
            <v>Q</v>
          </cell>
          <cell r="AN950" t="str">
            <v>M0</v>
          </cell>
          <cell r="AO950" t="str">
            <v>Active(Model)</v>
          </cell>
          <cell r="AP950" t="str">
            <v/>
          </cell>
          <cell r="AQ950" t="str">
            <v/>
          </cell>
          <cell r="AR950" t="str">
            <v>Y</v>
          </cell>
          <cell r="AS950" t="str">
            <v/>
          </cell>
          <cell r="AT950" t="str">
            <v>AC</v>
          </cell>
          <cell r="AU950" t="str">
            <v>Airconditioner</v>
          </cell>
          <cell r="AV950" t="str">
            <v>ACMV</v>
          </cell>
          <cell r="AW950" t="str">
            <v>Multi V</v>
          </cell>
          <cell r="AX950" t="str">
            <v>ACMVID</v>
          </cell>
          <cell r="AY950" t="str">
            <v>Multi V I/D</v>
          </cell>
          <cell r="AZ950" t="str">
            <v>ACMVIDMC</v>
          </cell>
          <cell r="BA950" t="str">
            <v>Multi V_I/D_Cassette</v>
          </cell>
        </row>
        <row r="951">
          <cell r="E951" t="str">
            <v>ARNU09GTSA4.ANWBASE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 t="str">
            <v>CAC</v>
          </cell>
          <cell r="AH951" t="str">
            <v>CAC</v>
          </cell>
          <cell r="AI951" t="str">
            <v/>
          </cell>
          <cell r="AJ951" t="str">
            <v/>
          </cell>
          <cell r="AK951" t="str">
            <v>0.208658</v>
          </cell>
          <cell r="AL951" t="str">
            <v>2</v>
          </cell>
          <cell r="AM951" t="str">
            <v>Q</v>
          </cell>
          <cell r="AN951" t="str">
            <v>M0</v>
          </cell>
          <cell r="AO951" t="str">
            <v>Active(Model)</v>
          </cell>
          <cell r="AP951" t="str">
            <v/>
          </cell>
          <cell r="AQ951" t="str">
            <v/>
          </cell>
          <cell r="AR951" t="str">
            <v>Y</v>
          </cell>
          <cell r="AS951" t="str">
            <v/>
          </cell>
          <cell r="AT951" t="str">
            <v>AC</v>
          </cell>
          <cell r="AU951" t="str">
            <v>Airconditioner</v>
          </cell>
          <cell r="AV951" t="str">
            <v>ACMV</v>
          </cell>
          <cell r="AW951" t="str">
            <v>Multi V</v>
          </cell>
          <cell r="AX951" t="str">
            <v>ACMVID</v>
          </cell>
          <cell r="AY951" t="str">
            <v>Multi V I/D</v>
          </cell>
          <cell r="AZ951" t="str">
            <v>ACMVIDMC</v>
          </cell>
          <cell r="BA951" t="str">
            <v>Multi V_I/D_Cassette</v>
          </cell>
        </row>
        <row r="952">
          <cell r="E952" t="str">
            <v>ARNU09GTUB4.ANWBASE</v>
          </cell>
          <cell r="F952">
            <v>7</v>
          </cell>
          <cell r="G952">
            <v>0</v>
          </cell>
          <cell r="H952">
            <v>0</v>
          </cell>
          <cell r="I952">
            <v>7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 t="str">
            <v>CAC</v>
          </cell>
          <cell r="AH952" t="str">
            <v>CAC</v>
          </cell>
          <cell r="AI952" t="str">
            <v/>
          </cell>
          <cell r="AJ952" t="str">
            <v/>
          </cell>
          <cell r="AK952" t="str">
            <v>0.152523</v>
          </cell>
          <cell r="AL952" t="str">
            <v>2</v>
          </cell>
          <cell r="AM952" t="str">
            <v>Q</v>
          </cell>
          <cell r="AN952" t="str">
            <v>M0</v>
          </cell>
          <cell r="AO952" t="str">
            <v>Active(Model)</v>
          </cell>
          <cell r="AP952" t="str">
            <v/>
          </cell>
          <cell r="AQ952" t="str">
            <v/>
          </cell>
          <cell r="AR952" t="str">
            <v>Y</v>
          </cell>
          <cell r="AS952" t="str">
            <v/>
          </cell>
          <cell r="AT952" t="str">
            <v>AC</v>
          </cell>
          <cell r="AU952" t="str">
            <v>Airconditioner</v>
          </cell>
          <cell r="AV952" t="str">
            <v>ACMV</v>
          </cell>
          <cell r="AW952" t="str">
            <v>Multi V</v>
          </cell>
          <cell r="AX952" t="str">
            <v>ACMVID</v>
          </cell>
          <cell r="AY952" t="str">
            <v>Multi V I/D</v>
          </cell>
          <cell r="AZ952" t="str">
            <v>ACMVIDMC</v>
          </cell>
          <cell r="BA952" t="str">
            <v>Multi V_I/D_Cassette</v>
          </cell>
        </row>
        <row r="953">
          <cell r="E953" t="str">
            <v>ARNU12GM1A4.ANCSASE</v>
          </cell>
          <cell r="F953">
            <v>139</v>
          </cell>
          <cell r="G953">
            <v>0</v>
          </cell>
          <cell r="H953">
            <v>0</v>
          </cell>
          <cell r="I953">
            <v>153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 t="str">
            <v/>
          </cell>
          <cell r="AH953" t="str">
            <v/>
          </cell>
          <cell r="AI953" t="str">
            <v/>
          </cell>
          <cell r="AJ953" t="str">
            <v/>
          </cell>
          <cell r="AK953" t="str">
            <v>0.287401</v>
          </cell>
          <cell r="AL953" t="str">
            <v>0</v>
          </cell>
          <cell r="AM953" t="str">
            <v>Q</v>
          </cell>
          <cell r="AN953" t="str">
            <v>M0</v>
          </cell>
          <cell r="AO953" t="str">
            <v>Active(Model)</v>
          </cell>
          <cell r="AP953" t="str">
            <v/>
          </cell>
          <cell r="AQ953" t="str">
            <v/>
          </cell>
          <cell r="AR953" t="str">
            <v>Y</v>
          </cell>
          <cell r="AS953" t="str">
            <v/>
          </cell>
          <cell r="AT953" t="str">
            <v>AC</v>
          </cell>
          <cell r="AU953" t="str">
            <v>Airconditioner</v>
          </cell>
          <cell r="AV953" t="str">
            <v>ACMV</v>
          </cell>
          <cell r="AW953" t="str">
            <v>Multi V</v>
          </cell>
          <cell r="AX953" t="str">
            <v>ACMVID</v>
          </cell>
          <cell r="AY953" t="str">
            <v>Multi V I/D</v>
          </cell>
          <cell r="AZ953" t="str">
            <v>ACMVIDMD</v>
          </cell>
          <cell r="BA953" t="str">
            <v>Multi V_I/D_Duct</v>
          </cell>
        </row>
        <row r="954">
          <cell r="E954" t="str">
            <v>ARNU12GSJN4.AMBBASE</v>
          </cell>
          <cell r="F954">
            <v>0</v>
          </cell>
          <cell r="G954">
            <v>0</v>
          </cell>
          <cell r="H954">
            <v>0</v>
          </cell>
          <cell r="I954">
            <v>5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 t="str">
            <v>CAC</v>
          </cell>
          <cell r="AH954" t="str">
            <v>CAC</v>
          </cell>
          <cell r="AI954" t="str">
            <v/>
          </cell>
          <cell r="AJ954" t="str">
            <v/>
          </cell>
          <cell r="AK954" t="str">
            <v>0.084623</v>
          </cell>
          <cell r="AL954" t="str">
            <v>2</v>
          </cell>
          <cell r="AM954" t="str">
            <v>Q</v>
          </cell>
          <cell r="AN954" t="str">
            <v>M0</v>
          </cell>
          <cell r="AO954" t="str">
            <v>Active(Model)</v>
          </cell>
          <cell r="AP954" t="str">
            <v/>
          </cell>
          <cell r="AQ954" t="str">
            <v/>
          </cell>
          <cell r="AR954" t="str">
            <v>Y</v>
          </cell>
          <cell r="AS954" t="str">
            <v/>
          </cell>
          <cell r="AT954" t="str">
            <v>AC</v>
          </cell>
          <cell r="AU954" t="str">
            <v>Airconditioner</v>
          </cell>
          <cell r="AV954" t="str">
            <v>ACMV</v>
          </cell>
          <cell r="AW954" t="str">
            <v>Multi V</v>
          </cell>
          <cell r="AX954" t="str">
            <v>ACMVID</v>
          </cell>
          <cell r="AY954" t="str">
            <v>Multi V I/D</v>
          </cell>
          <cell r="AZ954" t="str">
            <v>ACMVIDMS</v>
          </cell>
          <cell r="BA954" t="str">
            <v>Multi V_I/D_Wall Mounted</v>
          </cell>
        </row>
        <row r="955">
          <cell r="E955" t="str">
            <v>ARNU12GTRB4.ANWBASE</v>
          </cell>
          <cell r="F955">
            <v>4</v>
          </cell>
          <cell r="G955">
            <v>0</v>
          </cell>
          <cell r="H955">
            <v>0</v>
          </cell>
          <cell r="I955">
            <v>5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 t="str">
            <v>CAC</v>
          </cell>
          <cell r="AH955" t="str">
            <v>CAC</v>
          </cell>
          <cell r="AI955" t="str">
            <v/>
          </cell>
          <cell r="AJ955" t="str">
            <v/>
          </cell>
          <cell r="AK955" t="str">
            <v>0.122801</v>
          </cell>
          <cell r="AL955" t="str">
            <v>2</v>
          </cell>
          <cell r="AM955" t="str">
            <v>Q</v>
          </cell>
          <cell r="AN955" t="str">
            <v>M0</v>
          </cell>
          <cell r="AO955" t="str">
            <v>Active(Model)</v>
          </cell>
          <cell r="AP955" t="str">
            <v/>
          </cell>
          <cell r="AQ955" t="str">
            <v/>
          </cell>
          <cell r="AR955" t="str">
            <v>Y</v>
          </cell>
          <cell r="AS955" t="str">
            <v/>
          </cell>
          <cell r="AT955" t="str">
            <v>AC</v>
          </cell>
          <cell r="AU955" t="str">
            <v>Airconditioner</v>
          </cell>
          <cell r="AV955" t="str">
            <v>ACMV</v>
          </cell>
          <cell r="AW955" t="str">
            <v>Multi V</v>
          </cell>
          <cell r="AX955" t="str">
            <v>ACMVID</v>
          </cell>
          <cell r="AY955" t="str">
            <v>Multi V I/D</v>
          </cell>
          <cell r="AZ955" t="str">
            <v>ACMVIDMC</v>
          </cell>
          <cell r="BA955" t="str">
            <v>Multi V_I/D_Cassette</v>
          </cell>
        </row>
        <row r="956">
          <cell r="E956" t="str">
            <v>ARNU12GTUB4.ANWBASE</v>
          </cell>
          <cell r="F956">
            <v>0</v>
          </cell>
          <cell r="G956">
            <v>0</v>
          </cell>
          <cell r="H956">
            <v>0</v>
          </cell>
          <cell r="I956">
            <v>16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 t="str">
            <v>CAC</v>
          </cell>
          <cell r="AH956" t="str">
            <v>CAC</v>
          </cell>
          <cell r="AI956" t="str">
            <v/>
          </cell>
          <cell r="AJ956" t="str">
            <v/>
          </cell>
          <cell r="AK956" t="str">
            <v>0.152523</v>
          </cell>
          <cell r="AL956" t="str">
            <v>2</v>
          </cell>
          <cell r="AM956" t="str">
            <v>Q</v>
          </cell>
          <cell r="AN956" t="str">
            <v>M0</v>
          </cell>
          <cell r="AO956" t="str">
            <v>Active(Model)</v>
          </cell>
          <cell r="AP956" t="str">
            <v/>
          </cell>
          <cell r="AQ956" t="str">
            <v/>
          </cell>
          <cell r="AR956" t="str">
            <v>Y</v>
          </cell>
          <cell r="AS956" t="str">
            <v/>
          </cell>
          <cell r="AT956" t="str">
            <v>AC</v>
          </cell>
          <cell r="AU956" t="str">
            <v>Airconditioner</v>
          </cell>
          <cell r="AV956" t="str">
            <v>ACMV</v>
          </cell>
          <cell r="AW956" t="str">
            <v>Multi V</v>
          </cell>
          <cell r="AX956" t="str">
            <v>ACMVID</v>
          </cell>
          <cell r="AY956" t="str">
            <v>Multi V I/D</v>
          </cell>
          <cell r="AZ956" t="str">
            <v>ACMVIDMC</v>
          </cell>
          <cell r="BA956" t="str">
            <v>Multi V_I/D_Cassette</v>
          </cell>
        </row>
        <row r="957">
          <cell r="E957" t="str">
            <v>ARNU15GM1A4.ANCBASE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 t="str">
            <v>CAC</v>
          </cell>
          <cell r="AH957" t="str">
            <v>CAC</v>
          </cell>
          <cell r="AI957" t="str">
            <v/>
          </cell>
          <cell r="AJ957" t="str">
            <v/>
          </cell>
          <cell r="AK957" t="str">
            <v>0.287401</v>
          </cell>
          <cell r="AL957" t="str">
            <v>2</v>
          </cell>
          <cell r="AM957" t="str">
            <v>Q</v>
          </cell>
          <cell r="AN957" t="str">
            <v>M0</v>
          </cell>
          <cell r="AO957" t="str">
            <v>Active(Model)</v>
          </cell>
          <cell r="AP957" t="str">
            <v/>
          </cell>
          <cell r="AQ957" t="str">
            <v/>
          </cell>
          <cell r="AR957" t="str">
            <v>Y</v>
          </cell>
          <cell r="AS957" t="str">
            <v/>
          </cell>
          <cell r="AT957" t="str">
            <v>AC</v>
          </cell>
          <cell r="AU957" t="str">
            <v>Airconditioner</v>
          </cell>
          <cell r="AV957" t="str">
            <v>ACMV</v>
          </cell>
          <cell r="AW957" t="str">
            <v>Multi V</v>
          </cell>
          <cell r="AX957" t="str">
            <v>ACMVID</v>
          </cell>
          <cell r="AY957" t="str">
            <v>Multi V I/D</v>
          </cell>
          <cell r="AZ957" t="str">
            <v>ACMVIDMD</v>
          </cell>
          <cell r="BA957" t="str">
            <v>Multi V_I/D_Duct</v>
          </cell>
        </row>
        <row r="958">
          <cell r="E958" t="str">
            <v>ARNU15GM1A4.ANCSASE</v>
          </cell>
          <cell r="F958">
            <v>9</v>
          </cell>
          <cell r="G958">
            <v>0</v>
          </cell>
          <cell r="H958">
            <v>0</v>
          </cell>
          <cell r="I958">
            <v>10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 t="str">
            <v/>
          </cell>
          <cell r="AH958" t="str">
            <v/>
          </cell>
          <cell r="AI958" t="str">
            <v/>
          </cell>
          <cell r="AJ958" t="str">
            <v/>
          </cell>
          <cell r="AK958" t="str">
            <v>0.287401</v>
          </cell>
          <cell r="AL958" t="str">
            <v>0</v>
          </cell>
          <cell r="AM958" t="str">
            <v>Q</v>
          </cell>
          <cell r="AN958" t="str">
            <v>M0</v>
          </cell>
          <cell r="AO958" t="str">
            <v>Active(Model)</v>
          </cell>
          <cell r="AP958" t="str">
            <v/>
          </cell>
          <cell r="AQ958" t="str">
            <v/>
          </cell>
          <cell r="AR958" t="str">
            <v>Y</v>
          </cell>
          <cell r="AS958" t="str">
            <v/>
          </cell>
          <cell r="AT958" t="str">
            <v>AC</v>
          </cell>
          <cell r="AU958" t="str">
            <v>Airconditioner</v>
          </cell>
          <cell r="AV958" t="str">
            <v>ACMV</v>
          </cell>
          <cell r="AW958" t="str">
            <v>Multi V</v>
          </cell>
          <cell r="AX958" t="str">
            <v>ACMVID</v>
          </cell>
          <cell r="AY958" t="str">
            <v>Multi V I/D</v>
          </cell>
          <cell r="AZ958" t="str">
            <v>ACMVIDMD</v>
          </cell>
          <cell r="BA958" t="str">
            <v>Multi V_I/D_Duct</v>
          </cell>
        </row>
        <row r="959">
          <cell r="E959" t="str">
            <v>ARNU15GSJN4.AMBBASE</v>
          </cell>
          <cell r="F959">
            <v>0</v>
          </cell>
          <cell r="G959">
            <v>0</v>
          </cell>
          <cell r="H959">
            <v>0</v>
          </cell>
          <cell r="I959">
            <v>5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 t="str">
            <v>CAC</v>
          </cell>
          <cell r="AH959" t="str">
            <v>CAC</v>
          </cell>
          <cell r="AI959" t="str">
            <v/>
          </cell>
          <cell r="AJ959" t="str">
            <v/>
          </cell>
          <cell r="AK959" t="str">
            <v>0.084623</v>
          </cell>
          <cell r="AL959" t="str">
            <v>2</v>
          </cell>
          <cell r="AM959" t="str">
            <v>Q</v>
          </cell>
          <cell r="AN959" t="str">
            <v>M0</v>
          </cell>
          <cell r="AO959" t="str">
            <v>Active(Model)</v>
          </cell>
          <cell r="AP959" t="str">
            <v/>
          </cell>
          <cell r="AQ959" t="str">
            <v/>
          </cell>
          <cell r="AR959" t="str">
            <v>Y</v>
          </cell>
          <cell r="AS959" t="str">
            <v/>
          </cell>
          <cell r="AT959" t="str">
            <v>AC</v>
          </cell>
          <cell r="AU959" t="str">
            <v>Airconditioner</v>
          </cell>
          <cell r="AV959" t="str">
            <v>ACMV</v>
          </cell>
          <cell r="AW959" t="str">
            <v>Multi V</v>
          </cell>
          <cell r="AX959" t="str">
            <v>ACMVID</v>
          </cell>
          <cell r="AY959" t="str">
            <v>Multi V I/D</v>
          </cell>
          <cell r="AZ959" t="str">
            <v>ACMVIDMS</v>
          </cell>
          <cell r="BA959" t="str">
            <v>Multi V_I/D_Wall Mounted</v>
          </cell>
        </row>
        <row r="960">
          <cell r="E960" t="str">
            <v>ARNU15GTQB4.ANWBASE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 t="str">
            <v>CAC</v>
          </cell>
          <cell r="AH960" t="str">
            <v>CAC</v>
          </cell>
          <cell r="AI960" t="str">
            <v/>
          </cell>
          <cell r="AJ960" t="str">
            <v/>
          </cell>
          <cell r="AK960" t="str">
            <v>0.140898</v>
          </cell>
          <cell r="AL960" t="str">
            <v>2</v>
          </cell>
          <cell r="AM960" t="str">
            <v>Q</v>
          </cell>
          <cell r="AN960" t="str">
            <v>M0</v>
          </cell>
          <cell r="AO960" t="str">
            <v>Active(Model)</v>
          </cell>
          <cell r="AP960" t="str">
            <v/>
          </cell>
          <cell r="AQ960" t="str">
            <v/>
          </cell>
          <cell r="AR960" t="str">
            <v>Y</v>
          </cell>
          <cell r="AS960" t="str">
            <v/>
          </cell>
          <cell r="AT960" t="str">
            <v>AC</v>
          </cell>
          <cell r="AU960" t="str">
            <v>Airconditioner</v>
          </cell>
          <cell r="AV960" t="str">
            <v>ACMV</v>
          </cell>
          <cell r="AW960" t="str">
            <v>Multi V</v>
          </cell>
          <cell r="AX960" t="str">
            <v>ACMVID</v>
          </cell>
          <cell r="AY960" t="str">
            <v>Multi V I/D</v>
          </cell>
          <cell r="AZ960" t="str">
            <v>ACMVIDMC</v>
          </cell>
          <cell r="BA960" t="str">
            <v>Multi V_I/D_Cassette</v>
          </cell>
        </row>
        <row r="961">
          <cell r="E961" t="str">
            <v>ARNU18GL2G4.ANCBASE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 t="str">
            <v>CAC</v>
          </cell>
          <cell r="AH961" t="str">
            <v>CAC</v>
          </cell>
          <cell r="AI961" t="str">
            <v/>
          </cell>
          <cell r="AJ961" t="str">
            <v/>
          </cell>
          <cell r="AK961" t="str">
            <v>0.211503</v>
          </cell>
          <cell r="AL961" t="str">
            <v>2</v>
          </cell>
          <cell r="AM961" t="str">
            <v>Q</v>
          </cell>
          <cell r="AN961" t="str">
            <v>M0</v>
          </cell>
          <cell r="AO961" t="str">
            <v>Active(Model)</v>
          </cell>
          <cell r="AP961" t="str">
            <v/>
          </cell>
          <cell r="AQ961" t="str">
            <v/>
          </cell>
          <cell r="AR961" t="str">
            <v>Y</v>
          </cell>
          <cell r="AS961" t="str">
            <v/>
          </cell>
          <cell r="AT961" t="str">
            <v>AC</v>
          </cell>
          <cell r="AU961" t="str">
            <v>Airconditioner</v>
          </cell>
          <cell r="AV961" t="str">
            <v>ACMV</v>
          </cell>
          <cell r="AW961" t="str">
            <v>Multi V</v>
          </cell>
          <cell r="AX961" t="str">
            <v>ACMVID</v>
          </cell>
          <cell r="AY961" t="str">
            <v>Multi V I/D</v>
          </cell>
          <cell r="AZ961" t="str">
            <v>ACMVIDMD</v>
          </cell>
          <cell r="BA961" t="str">
            <v>Multi V_I/D_Duct</v>
          </cell>
        </row>
        <row r="962">
          <cell r="E962" t="str">
            <v>ARNU18GM1A4.ANCSASE</v>
          </cell>
          <cell r="F962">
            <v>38</v>
          </cell>
          <cell r="G962">
            <v>0</v>
          </cell>
          <cell r="H962">
            <v>0</v>
          </cell>
          <cell r="I962">
            <v>51</v>
          </cell>
          <cell r="J962">
            <v>0</v>
          </cell>
          <cell r="K962">
            <v>7</v>
          </cell>
          <cell r="L962">
            <v>0</v>
          </cell>
          <cell r="M962">
            <v>0</v>
          </cell>
          <cell r="N962">
            <v>0</v>
          </cell>
          <cell r="O962">
            <v>5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 t="str">
            <v/>
          </cell>
          <cell r="AH962" t="str">
            <v/>
          </cell>
          <cell r="AI962" t="str">
            <v/>
          </cell>
          <cell r="AJ962" t="str">
            <v/>
          </cell>
          <cell r="AK962" t="str">
            <v>0.287401</v>
          </cell>
          <cell r="AL962" t="str">
            <v>0</v>
          </cell>
          <cell r="AM962" t="str">
            <v>Q</v>
          </cell>
          <cell r="AN962" t="str">
            <v>M0</v>
          </cell>
          <cell r="AO962" t="str">
            <v>Active(Model)</v>
          </cell>
          <cell r="AP962" t="str">
            <v/>
          </cell>
          <cell r="AQ962" t="str">
            <v/>
          </cell>
          <cell r="AR962" t="str">
            <v>Y</v>
          </cell>
          <cell r="AS962" t="str">
            <v/>
          </cell>
          <cell r="AT962" t="str">
            <v>AC</v>
          </cell>
          <cell r="AU962" t="str">
            <v>Airconditioner</v>
          </cell>
          <cell r="AV962" t="str">
            <v>ACMV</v>
          </cell>
          <cell r="AW962" t="str">
            <v>Multi V</v>
          </cell>
          <cell r="AX962" t="str">
            <v>ACMVID</v>
          </cell>
          <cell r="AY962" t="str">
            <v>Multi V I/D</v>
          </cell>
          <cell r="AZ962" t="str">
            <v>ACMVIDMD</v>
          </cell>
          <cell r="BA962" t="str">
            <v>Multi V_I/D_Duct</v>
          </cell>
        </row>
        <row r="963">
          <cell r="E963" t="str">
            <v>ARNU18GSKN4.AMBBASE</v>
          </cell>
          <cell r="F963">
            <v>3</v>
          </cell>
          <cell r="G963">
            <v>0</v>
          </cell>
          <cell r="H963">
            <v>0</v>
          </cell>
          <cell r="I963">
            <v>3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3</v>
          </cell>
          <cell r="AF963">
            <v>0</v>
          </cell>
          <cell r="AG963" t="str">
            <v>CAC</v>
          </cell>
          <cell r="AH963" t="str">
            <v>CAC</v>
          </cell>
          <cell r="AI963" t="str">
            <v/>
          </cell>
          <cell r="AJ963" t="str">
            <v/>
          </cell>
          <cell r="AK963" t="str">
            <v>0.122330</v>
          </cell>
          <cell r="AL963" t="str">
            <v>2</v>
          </cell>
          <cell r="AM963" t="str">
            <v>Q</v>
          </cell>
          <cell r="AN963" t="str">
            <v>M0</v>
          </cell>
          <cell r="AO963" t="str">
            <v>Active(Model)</v>
          </cell>
          <cell r="AP963" t="str">
            <v/>
          </cell>
          <cell r="AQ963" t="str">
            <v/>
          </cell>
          <cell r="AR963" t="str">
            <v>Y</v>
          </cell>
          <cell r="AS963" t="str">
            <v/>
          </cell>
          <cell r="AT963" t="str">
            <v>AC</v>
          </cell>
          <cell r="AU963" t="str">
            <v>Airconditioner</v>
          </cell>
          <cell r="AV963" t="str">
            <v>ACMV</v>
          </cell>
          <cell r="AW963" t="str">
            <v>Multi V</v>
          </cell>
          <cell r="AX963" t="str">
            <v>ACMVID</v>
          </cell>
          <cell r="AY963" t="str">
            <v>Multi V I/D</v>
          </cell>
          <cell r="AZ963" t="str">
            <v>ACMVIDMS</v>
          </cell>
          <cell r="BA963" t="str">
            <v>Multi V_I/D_Wall Mounted</v>
          </cell>
        </row>
        <row r="964">
          <cell r="E964" t="str">
            <v>ARNU18GTQB4.ANWBASE</v>
          </cell>
          <cell r="F964">
            <v>4</v>
          </cell>
          <cell r="G964">
            <v>0</v>
          </cell>
          <cell r="H964">
            <v>0</v>
          </cell>
          <cell r="I964">
            <v>7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 t="str">
            <v>CAC</v>
          </cell>
          <cell r="AH964" t="str">
            <v>CAC</v>
          </cell>
          <cell r="AI964" t="str">
            <v/>
          </cell>
          <cell r="AJ964" t="str">
            <v/>
          </cell>
          <cell r="AK964" t="str">
            <v>0.140898</v>
          </cell>
          <cell r="AL964" t="str">
            <v>2</v>
          </cell>
          <cell r="AM964" t="str">
            <v>Q</v>
          </cell>
          <cell r="AN964" t="str">
            <v>M0</v>
          </cell>
          <cell r="AO964" t="str">
            <v>Active(Model)</v>
          </cell>
          <cell r="AP964" t="str">
            <v/>
          </cell>
          <cell r="AQ964" t="str">
            <v/>
          </cell>
          <cell r="AR964" t="str">
            <v>Y</v>
          </cell>
          <cell r="AS964" t="str">
            <v/>
          </cell>
          <cell r="AT964" t="str">
            <v>AC</v>
          </cell>
          <cell r="AU964" t="str">
            <v>Airconditioner</v>
          </cell>
          <cell r="AV964" t="str">
            <v>ACMV</v>
          </cell>
          <cell r="AW964" t="str">
            <v>Multi V</v>
          </cell>
          <cell r="AX964" t="str">
            <v>ACMVID</v>
          </cell>
          <cell r="AY964" t="str">
            <v>Multi V I/D</v>
          </cell>
          <cell r="AZ964" t="str">
            <v>ACMVIDMC</v>
          </cell>
          <cell r="BA964" t="str">
            <v>Multi V_I/D_Cassette</v>
          </cell>
        </row>
        <row r="965">
          <cell r="E965" t="str">
            <v>ARNU18GTSA4.ANWBASE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 t="str">
            <v>CAC</v>
          </cell>
          <cell r="AH965" t="str">
            <v>CAC</v>
          </cell>
          <cell r="AI965" t="str">
            <v/>
          </cell>
          <cell r="AJ965" t="str">
            <v/>
          </cell>
          <cell r="AK965" t="str">
            <v>0.208658</v>
          </cell>
          <cell r="AL965" t="str">
            <v>2</v>
          </cell>
          <cell r="AM965" t="str">
            <v>Q</v>
          </cell>
          <cell r="AN965" t="str">
            <v>M0</v>
          </cell>
          <cell r="AO965" t="str">
            <v>Active(Model)</v>
          </cell>
          <cell r="AP965" t="str">
            <v/>
          </cell>
          <cell r="AQ965" t="str">
            <v/>
          </cell>
          <cell r="AR965" t="str">
            <v>Y</v>
          </cell>
          <cell r="AS965" t="str">
            <v/>
          </cell>
          <cell r="AT965" t="str">
            <v>AC</v>
          </cell>
          <cell r="AU965" t="str">
            <v>Airconditioner</v>
          </cell>
          <cell r="AV965" t="str">
            <v>ACMV</v>
          </cell>
          <cell r="AW965" t="str">
            <v>Multi V</v>
          </cell>
          <cell r="AX965" t="str">
            <v>ACMVID</v>
          </cell>
          <cell r="AY965" t="str">
            <v>Multi V I/D</v>
          </cell>
          <cell r="AZ965" t="str">
            <v>ACMVIDMC</v>
          </cell>
          <cell r="BA965" t="str">
            <v>Multi V_I/D_Cassette</v>
          </cell>
        </row>
        <row r="966">
          <cell r="E966" t="str">
            <v>ARNU18GTTB4.ANWBASE</v>
          </cell>
          <cell r="F966">
            <v>6</v>
          </cell>
          <cell r="G966">
            <v>0</v>
          </cell>
          <cell r="H966">
            <v>0</v>
          </cell>
          <cell r="I966">
            <v>11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2</v>
          </cell>
          <cell r="AF966">
            <v>0</v>
          </cell>
          <cell r="AG966" t="str">
            <v>CAC</v>
          </cell>
          <cell r="AH966" t="str">
            <v>CAC</v>
          </cell>
          <cell r="AI966" t="str">
            <v/>
          </cell>
          <cell r="AJ966" t="str">
            <v/>
          </cell>
          <cell r="AK966" t="str">
            <v>0.195907</v>
          </cell>
          <cell r="AL966" t="str">
            <v>2</v>
          </cell>
          <cell r="AM966" t="str">
            <v>Q</v>
          </cell>
          <cell r="AN966" t="str">
            <v>M0</v>
          </cell>
          <cell r="AO966" t="str">
            <v>Active(Model)</v>
          </cell>
          <cell r="AP966" t="str">
            <v/>
          </cell>
          <cell r="AQ966" t="str">
            <v/>
          </cell>
          <cell r="AR966" t="str">
            <v>Y</v>
          </cell>
          <cell r="AS966" t="str">
            <v/>
          </cell>
          <cell r="AT966" t="str">
            <v>AC</v>
          </cell>
          <cell r="AU966" t="str">
            <v>Airconditioner</v>
          </cell>
          <cell r="AV966" t="str">
            <v>ACMV</v>
          </cell>
          <cell r="AW966" t="str">
            <v>Multi V</v>
          </cell>
          <cell r="AX966" t="str">
            <v>ACMVID</v>
          </cell>
          <cell r="AY966" t="str">
            <v>Multi V I/D</v>
          </cell>
          <cell r="AZ966" t="str">
            <v>ACMVIDMC</v>
          </cell>
          <cell r="BA966" t="str">
            <v>Multi V_I/D_Cassette</v>
          </cell>
        </row>
        <row r="967">
          <cell r="E967" t="str">
            <v>ARNU21GTQB4.ANWBASE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 t="str">
            <v>CAC</v>
          </cell>
          <cell r="AH967" t="str">
            <v>CAC</v>
          </cell>
          <cell r="AI967" t="str">
            <v/>
          </cell>
          <cell r="AJ967" t="str">
            <v/>
          </cell>
          <cell r="AK967" t="str">
            <v>0.140898</v>
          </cell>
          <cell r="AL967" t="str">
            <v>2</v>
          </cell>
          <cell r="AM967" t="str">
            <v>Q</v>
          </cell>
          <cell r="AN967" t="str">
            <v>M0</v>
          </cell>
          <cell r="AO967" t="str">
            <v>Active(Model)</v>
          </cell>
          <cell r="AP967" t="str">
            <v/>
          </cell>
          <cell r="AQ967" t="str">
            <v/>
          </cell>
          <cell r="AR967" t="str">
            <v>Y</v>
          </cell>
          <cell r="AS967" t="str">
            <v/>
          </cell>
          <cell r="AT967" t="str">
            <v>AC</v>
          </cell>
          <cell r="AU967" t="str">
            <v>Airconditioner</v>
          </cell>
          <cell r="AV967" t="str">
            <v>ACMV</v>
          </cell>
          <cell r="AW967" t="str">
            <v>Multi V</v>
          </cell>
          <cell r="AX967" t="str">
            <v>ACMVID</v>
          </cell>
          <cell r="AY967" t="str">
            <v>Multi V I/D</v>
          </cell>
          <cell r="AZ967" t="str">
            <v>ACMVIDMC</v>
          </cell>
          <cell r="BA967" t="str">
            <v>Multi V_I/D_Cassette</v>
          </cell>
        </row>
        <row r="968">
          <cell r="E968" t="str">
            <v>ARNU24GM1A4.ANCSASE</v>
          </cell>
          <cell r="F968">
            <v>48</v>
          </cell>
          <cell r="G968">
            <v>0</v>
          </cell>
          <cell r="H968">
            <v>0</v>
          </cell>
          <cell r="I968">
            <v>57</v>
          </cell>
          <cell r="J968">
            <v>0</v>
          </cell>
          <cell r="K968">
            <v>7</v>
          </cell>
          <cell r="L968">
            <v>0</v>
          </cell>
          <cell r="M968">
            <v>0</v>
          </cell>
          <cell r="N968">
            <v>0</v>
          </cell>
          <cell r="O968">
            <v>4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 t="str">
            <v/>
          </cell>
          <cell r="AH968" t="str">
            <v/>
          </cell>
          <cell r="AI968" t="str">
            <v/>
          </cell>
          <cell r="AJ968" t="str">
            <v/>
          </cell>
          <cell r="AK968" t="str">
            <v>0.287401</v>
          </cell>
          <cell r="AL968" t="str">
            <v>0</v>
          </cell>
          <cell r="AM968" t="str">
            <v>Q</v>
          </cell>
          <cell r="AN968" t="str">
            <v>M0</v>
          </cell>
          <cell r="AO968" t="str">
            <v>Active(Model)</v>
          </cell>
          <cell r="AP968" t="str">
            <v/>
          </cell>
          <cell r="AQ968" t="str">
            <v/>
          </cell>
          <cell r="AR968" t="str">
            <v>Y</v>
          </cell>
          <cell r="AS968" t="str">
            <v/>
          </cell>
          <cell r="AT968" t="str">
            <v>AC</v>
          </cell>
          <cell r="AU968" t="str">
            <v>Airconditioner</v>
          </cell>
          <cell r="AV968" t="str">
            <v>ACMV</v>
          </cell>
          <cell r="AW968" t="str">
            <v>Multi V</v>
          </cell>
          <cell r="AX968" t="str">
            <v>ACMVID</v>
          </cell>
          <cell r="AY968" t="str">
            <v>Multi V I/D</v>
          </cell>
          <cell r="AZ968" t="str">
            <v>ACMVIDMD</v>
          </cell>
          <cell r="BA968" t="str">
            <v>Multi V_I/D_Duct</v>
          </cell>
        </row>
        <row r="969">
          <cell r="E969" t="str">
            <v>ARNU24GSKN4.AMBBASE</v>
          </cell>
          <cell r="F969">
            <v>1</v>
          </cell>
          <cell r="G969">
            <v>0</v>
          </cell>
          <cell r="H969">
            <v>0</v>
          </cell>
          <cell r="I969">
            <v>6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 t="str">
            <v>CAC</v>
          </cell>
          <cell r="AH969" t="str">
            <v>CAC</v>
          </cell>
          <cell r="AI969" t="str">
            <v/>
          </cell>
          <cell r="AJ969" t="str">
            <v/>
          </cell>
          <cell r="AK969" t="str">
            <v>0.122330</v>
          </cell>
          <cell r="AL969" t="str">
            <v>2</v>
          </cell>
          <cell r="AM969" t="str">
            <v>Q</v>
          </cell>
          <cell r="AN969" t="str">
            <v>M0</v>
          </cell>
          <cell r="AO969" t="str">
            <v>Active(Model)</v>
          </cell>
          <cell r="AP969" t="str">
            <v/>
          </cell>
          <cell r="AQ969" t="str">
            <v/>
          </cell>
          <cell r="AR969" t="str">
            <v>Y</v>
          </cell>
          <cell r="AS969" t="str">
            <v/>
          </cell>
          <cell r="AT969" t="str">
            <v>AC</v>
          </cell>
          <cell r="AU969" t="str">
            <v>Airconditioner</v>
          </cell>
          <cell r="AV969" t="str">
            <v>ACMV</v>
          </cell>
          <cell r="AW969" t="str">
            <v>Multi V</v>
          </cell>
          <cell r="AX969" t="str">
            <v>ACMVID</v>
          </cell>
          <cell r="AY969" t="str">
            <v>Multi V I/D</v>
          </cell>
          <cell r="AZ969" t="str">
            <v>ACMVIDMS</v>
          </cell>
          <cell r="BA969" t="str">
            <v>Multi V_I/D_Wall Mounted</v>
          </cell>
        </row>
        <row r="970">
          <cell r="E970" t="str">
            <v>ARNU24GTBB4.ENWBASE</v>
          </cell>
          <cell r="F970">
            <v>1</v>
          </cell>
          <cell r="G970">
            <v>0</v>
          </cell>
          <cell r="H970">
            <v>0</v>
          </cell>
          <cell r="I970">
            <v>8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 t="str">
            <v/>
          </cell>
          <cell r="AH970" t="str">
            <v/>
          </cell>
          <cell r="AI970" t="str">
            <v/>
          </cell>
          <cell r="AJ970" t="str">
            <v/>
          </cell>
          <cell r="AK970" t="str">
            <v>0.233351</v>
          </cell>
          <cell r="AL970" t="str">
            <v>2</v>
          </cell>
          <cell r="AM970" t="str">
            <v>Q</v>
          </cell>
          <cell r="AN970" t="str">
            <v>M0</v>
          </cell>
          <cell r="AO970" t="str">
            <v>Active(Model)</v>
          </cell>
          <cell r="AP970" t="str">
            <v/>
          </cell>
          <cell r="AQ970" t="str">
            <v/>
          </cell>
          <cell r="AR970" t="str">
            <v>Y</v>
          </cell>
          <cell r="AS970" t="str">
            <v/>
          </cell>
          <cell r="AT970" t="str">
            <v>AC</v>
          </cell>
          <cell r="AU970" t="str">
            <v>Airconditioner</v>
          </cell>
          <cell r="AV970" t="str">
            <v>ACMV</v>
          </cell>
          <cell r="AW970" t="str">
            <v>Multi V</v>
          </cell>
          <cell r="AX970" t="str">
            <v>ACMVID</v>
          </cell>
          <cell r="AY970" t="str">
            <v>Multi V I/D</v>
          </cell>
          <cell r="AZ970" t="str">
            <v>ACMVIDMC</v>
          </cell>
          <cell r="BA970" t="str">
            <v>Multi V_I/D_Cassette</v>
          </cell>
        </row>
        <row r="971">
          <cell r="E971" t="str">
            <v>ARNU24GTPA4.ANWBASE</v>
          </cell>
          <cell r="F971">
            <v>3</v>
          </cell>
          <cell r="G971">
            <v>0</v>
          </cell>
          <cell r="H971">
            <v>0</v>
          </cell>
          <cell r="I971">
            <v>4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 t="str">
            <v>CAC</v>
          </cell>
          <cell r="AH971" t="str">
            <v>CAC</v>
          </cell>
          <cell r="AI971" t="str">
            <v/>
          </cell>
          <cell r="AJ971" t="str">
            <v/>
          </cell>
          <cell r="AK971" t="str">
            <v>0.233351</v>
          </cell>
          <cell r="AL971" t="str">
            <v>2</v>
          </cell>
          <cell r="AM971" t="str">
            <v>Q</v>
          </cell>
          <cell r="AN971" t="str">
            <v>M0</v>
          </cell>
          <cell r="AO971" t="str">
            <v>Active(Model)</v>
          </cell>
          <cell r="AP971" t="str">
            <v/>
          </cell>
          <cell r="AQ971" t="str">
            <v/>
          </cell>
          <cell r="AR971" t="str">
            <v>Y</v>
          </cell>
          <cell r="AS971" t="str">
            <v/>
          </cell>
          <cell r="AT971" t="str">
            <v>AC</v>
          </cell>
          <cell r="AU971" t="str">
            <v>Airconditioner</v>
          </cell>
          <cell r="AV971" t="str">
            <v>ACMV</v>
          </cell>
          <cell r="AW971" t="str">
            <v>Multi V</v>
          </cell>
          <cell r="AX971" t="str">
            <v>ACMVID</v>
          </cell>
          <cell r="AY971" t="str">
            <v>Multi V I/D</v>
          </cell>
          <cell r="AZ971" t="str">
            <v>ACMVIDMC</v>
          </cell>
          <cell r="BA971" t="str">
            <v>Multi V_I/D_Cassette</v>
          </cell>
        </row>
        <row r="972">
          <cell r="E972" t="str">
            <v>ARNU24GTSA4.ANWBASE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 t="str">
            <v>CAC</v>
          </cell>
          <cell r="AH972" t="str">
            <v>CAC</v>
          </cell>
          <cell r="AI972" t="str">
            <v/>
          </cell>
          <cell r="AJ972" t="str">
            <v/>
          </cell>
          <cell r="AK972" t="str">
            <v>0.208658</v>
          </cell>
          <cell r="AL972" t="str">
            <v>2</v>
          </cell>
          <cell r="AM972" t="str">
            <v>Q</v>
          </cell>
          <cell r="AN972" t="str">
            <v>M0</v>
          </cell>
          <cell r="AO972" t="str">
            <v>Active(Model)</v>
          </cell>
          <cell r="AP972" t="str">
            <v/>
          </cell>
          <cell r="AQ972" t="str">
            <v/>
          </cell>
          <cell r="AR972" t="str">
            <v>Y</v>
          </cell>
          <cell r="AS972" t="str">
            <v/>
          </cell>
          <cell r="AT972" t="str">
            <v>AC</v>
          </cell>
          <cell r="AU972" t="str">
            <v>Airconditioner</v>
          </cell>
          <cell r="AV972" t="str">
            <v>ACMV</v>
          </cell>
          <cell r="AW972" t="str">
            <v>Multi V</v>
          </cell>
          <cell r="AX972" t="str">
            <v>ACMVID</v>
          </cell>
          <cell r="AY972" t="str">
            <v>Multi V I/D</v>
          </cell>
          <cell r="AZ972" t="str">
            <v>ACMVIDMC</v>
          </cell>
          <cell r="BA972" t="str">
            <v>Multi V_I/D_Cassette</v>
          </cell>
        </row>
        <row r="973">
          <cell r="E973" t="str">
            <v>ARNU24GTTB4.ANWBASE</v>
          </cell>
          <cell r="F973">
            <v>1</v>
          </cell>
          <cell r="G973">
            <v>0</v>
          </cell>
          <cell r="H973">
            <v>0</v>
          </cell>
          <cell r="I973">
            <v>1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 t="str">
            <v>CAC</v>
          </cell>
          <cell r="AH973" t="str">
            <v>CAC</v>
          </cell>
          <cell r="AI973" t="str">
            <v/>
          </cell>
          <cell r="AJ973" t="str">
            <v/>
          </cell>
          <cell r="AK973" t="str">
            <v>0.195907</v>
          </cell>
          <cell r="AL973" t="str">
            <v>2</v>
          </cell>
          <cell r="AM973" t="str">
            <v>Q</v>
          </cell>
          <cell r="AN973" t="str">
            <v>M0</v>
          </cell>
          <cell r="AO973" t="str">
            <v>Active(Model)</v>
          </cell>
          <cell r="AP973" t="str">
            <v/>
          </cell>
          <cell r="AQ973" t="str">
            <v/>
          </cell>
          <cell r="AR973" t="str">
            <v>Y</v>
          </cell>
          <cell r="AS973" t="str">
            <v/>
          </cell>
          <cell r="AT973" t="str">
            <v>AC</v>
          </cell>
          <cell r="AU973" t="str">
            <v>Airconditioner</v>
          </cell>
          <cell r="AV973" t="str">
            <v>ACMV</v>
          </cell>
          <cell r="AW973" t="str">
            <v>Multi V</v>
          </cell>
          <cell r="AX973" t="str">
            <v>ACMVID</v>
          </cell>
          <cell r="AY973" t="str">
            <v>Multi V I/D</v>
          </cell>
          <cell r="AZ973" t="str">
            <v>ACMVIDMC</v>
          </cell>
          <cell r="BA973" t="str">
            <v>Multi V_I/D_Cassette</v>
          </cell>
        </row>
        <row r="974">
          <cell r="E974" t="str">
            <v>ARNU24GTYA4.ENCBASE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 t="str">
            <v/>
          </cell>
          <cell r="AH974" t="str">
            <v/>
          </cell>
          <cell r="AI974" t="str">
            <v/>
          </cell>
          <cell r="AJ974" t="str">
            <v/>
          </cell>
          <cell r="AK974" t="str">
            <v>0.508398</v>
          </cell>
          <cell r="AL974" t="str">
            <v>2</v>
          </cell>
          <cell r="AM974" t="str">
            <v>Q</v>
          </cell>
          <cell r="AN974" t="str">
            <v>M0</v>
          </cell>
          <cell r="AO974" t="str">
            <v>Active(Model)</v>
          </cell>
          <cell r="AP974" t="str">
            <v/>
          </cell>
          <cell r="AQ974" t="str">
            <v/>
          </cell>
          <cell r="AR974" t="str">
            <v>Y</v>
          </cell>
          <cell r="AS974" t="str">
            <v/>
          </cell>
          <cell r="AT974" t="str">
            <v>AC</v>
          </cell>
          <cell r="AU974" t="str">
            <v>Airconditioner</v>
          </cell>
          <cell r="AV974" t="str">
            <v>ACMV</v>
          </cell>
          <cell r="AW974" t="str">
            <v>Multi V</v>
          </cell>
          <cell r="AX974" t="str">
            <v>ACMVID</v>
          </cell>
          <cell r="AY974" t="str">
            <v>Multi V I/D</v>
          </cell>
          <cell r="AZ974" t="str">
            <v>ACMVIDMC</v>
          </cell>
          <cell r="BA974" t="str">
            <v>Multi V_I/D_Cassette</v>
          </cell>
        </row>
        <row r="975">
          <cell r="E975" t="str">
            <v>ARNU24GV1A4.ANWTASE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 t="str">
            <v/>
          </cell>
          <cell r="AH975" t="str">
            <v/>
          </cell>
          <cell r="AI975" t="str">
            <v/>
          </cell>
          <cell r="AJ975" t="str">
            <v/>
          </cell>
          <cell r="AK975" t="str">
            <v>0.321812</v>
          </cell>
          <cell r="AL975" t="str">
            <v>2</v>
          </cell>
          <cell r="AM975" t="str">
            <v>Q</v>
          </cell>
          <cell r="AN975" t="str">
            <v>M0</v>
          </cell>
          <cell r="AO975" t="str">
            <v>Active(Model)</v>
          </cell>
          <cell r="AP975" t="str">
            <v/>
          </cell>
          <cell r="AQ975" t="str">
            <v/>
          </cell>
          <cell r="AR975" t="str">
            <v>Y</v>
          </cell>
          <cell r="AS975" t="str">
            <v/>
          </cell>
          <cell r="AT975" t="str">
            <v>AC</v>
          </cell>
          <cell r="AU975" t="str">
            <v>Airconditioner</v>
          </cell>
          <cell r="AV975" t="str">
            <v>ACMV</v>
          </cell>
          <cell r="AW975" t="str">
            <v>Multi V</v>
          </cell>
          <cell r="AX975" t="str">
            <v>ACMVID</v>
          </cell>
          <cell r="AY975" t="str">
            <v>Multi V I/D</v>
          </cell>
          <cell r="AZ975" t="str">
            <v>ACMVIDMF</v>
          </cell>
          <cell r="BA975" t="str">
            <v>Multi V_I/D_Convertible</v>
          </cell>
        </row>
        <row r="976">
          <cell r="E976" t="str">
            <v>ARNU28GM2A4.ANCSASE</v>
          </cell>
          <cell r="F976">
            <v>9</v>
          </cell>
          <cell r="G976">
            <v>0</v>
          </cell>
          <cell r="H976">
            <v>0</v>
          </cell>
          <cell r="I976">
            <v>10</v>
          </cell>
          <cell r="J976">
            <v>0</v>
          </cell>
          <cell r="K976">
            <v>7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 t="str">
            <v/>
          </cell>
          <cell r="AH976" t="str">
            <v/>
          </cell>
          <cell r="AI976" t="str">
            <v/>
          </cell>
          <cell r="AJ976" t="str">
            <v/>
          </cell>
          <cell r="AK976" t="str">
            <v>0.378847</v>
          </cell>
          <cell r="AL976" t="str">
            <v>0</v>
          </cell>
          <cell r="AM976" t="str">
            <v>Q</v>
          </cell>
          <cell r="AN976" t="str">
            <v>M0</v>
          </cell>
          <cell r="AO976" t="str">
            <v>Active(Model)</v>
          </cell>
          <cell r="AP976" t="str">
            <v/>
          </cell>
          <cell r="AQ976" t="str">
            <v/>
          </cell>
          <cell r="AR976" t="str">
            <v>Y</v>
          </cell>
          <cell r="AS976" t="str">
            <v/>
          </cell>
          <cell r="AT976" t="str">
            <v>AC</v>
          </cell>
          <cell r="AU976" t="str">
            <v>Airconditioner</v>
          </cell>
          <cell r="AV976" t="str">
            <v>ACMV</v>
          </cell>
          <cell r="AW976" t="str">
            <v>Multi V</v>
          </cell>
          <cell r="AX976" t="str">
            <v>ACMVID</v>
          </cell>
          <cell r="AY976" t="str">
            <v>Multi V I/D</v>
          </cell>
          <cell r="AZ976" t="str">
            <v>ACMVIDMD</v>
          </cell>
          <cell r="BA976" t="str">
            <v>Multi V_I/D_Duct</v>
          </cell>
        </row>
        <row r="977">
          <cell r="E977" t="str">
            <v>ARNU28GTBB4.ENWBASE</v>
          </cell>
          <cell r="F977">
            <v>6</v>
          </cell>
          <cell r="G977">
            <v>0</v>
          </cell>
          <cell r="H977">
            <v>0</v>
          </cell>
          <cell r="I977">
            <v>6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 t="str">
            <v/>
          </cell>
          <cell r="AH977" t="str">
            <v/>
          </cell>
          <cell r="AI977" t="str">
            <v/>
          </cell>
          <cell r="AJ977" t="str">
            <v/>
          </cell>
          <cell r="AK977" t="str">
            <v>0.233351</v>
          </cell>
          <cell r="AL977" t="str">
            <v>2</v>
          </cell>
          <cell r="AM977" t="str">
            <v>Q</v>
          </cell>
          <cell r="AN977" t="str">
            <v>M0</v>
          </cell>
          <cell r="AO977" t="str">
            <v>Active(Model)</v>
          </cell>
          <cell r="AP977" t="str">
            <v/>
          </cell>
          <cell r="AQ977" t="str">
            <v/>
          </cell>
          <cell r="AR977" t="str">
            <v>Y</v>
          </cell>
          <cell r="AS977" t="str">
            <v/>
          </cell>
          <cell r="AT977" t="str">
            <v>AC</v>
          </cell>
          <cell r="AU977" t="str">
            <v>Airconditioner</v>
          </cell>
          <cell r="AV977" t="str">
            <v>ACMV</v>
          </cell>
          <cell r="AW977" t="str">
            <v>Multi V</v>
          </cell>
          <cell r="AX977" t="str">
            <v>ACMVID</v>
          </cell>
          <cell r="AY977" t="str">
            <v>Multi V I/D</v>
          </cell>
          <cell r="AZ977" t="str">
            <v>ACMVIDMC</v>
          </cell>
          <cell r="BA977" t="str">
            <v>Multi V_I/D_Cassette</v>
          </cell>
        </row>
        <row r="978">
          <cell r="E978" t="str">
            <v>ARNU30GTBB4.ENWBASE</v>
          </cell>
          <cell r="F978">
            <v>0</v>
          </cell>
          <cell r="G978">
            <v>0</v>
          </cell>
          <cell r="H978">
            <v>0</v>
          </cell>
          <cell r="I978">
            <v>7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 t="str">
            <v/>
          </cell>
          <cell r="AH978" t="str">
            <v/>
          </cell>
          <cell r="AI978" t="str">
            <v/>
          </cell>
          <cell r="AJ978" t="str">
            <v/>
          </cell>
          <cell r="AK978" t="str">
            <v>0.233351</v>
          </cell>
          <cell r="AL978" t="str">
            <v>2</v>
          </cell>
          <cell r="AM978" t="str">
            <v>Q</v>
          </cell>
          <cell r="AN978" t="str">
            <v>M0</v>
          </cell>
          <cell r="AO978" t="str">
            <v>Active(Model)</v>
          </cell>
          <cell r="AP978" t="str">
            <v/>
          </cell>
          <cell r="AQ978" t="str">
            <v/>
          </cell>
          <cell r="AR978" t="str">
            <v>Y</v>
          </cell>
          <cell r="AS978" t="str">
            <v/>
          </cell>
          <cell r="AT978" t="str">
            <v>AC</v>
          </cell>
          <cell r="AU978" t="str">
            <v>Airconditioner</v>
          </cell>
          <cell r="AV978" t="str">
            <v>ACMV</v>
          </cell>
          <cell r="AW978" t="str">
            <v>Multi V</v>
          </cell>
          <cell r="AX978" t="str">
            <v>ACMVID</v>
          </cell>
          <cell r="AY978" t="str">
            <v>Multi V I/D</v>
          </cell>
          <cell r="AZ978" t="str">
            <v>ACMVIDMC</v>
          </cell>
          <cell r="BA978" t="str">
            <v>Multi V_I/D_Cassette</v>
          </cell>
        </row>
        <row r="979">
          <cell r="E979" t="str">
            <v>ARNU30GTPA4.ANWBASE</v>
          </cell>
          <cell r="F979">
            <v>3</v>
          </cell>
          <cell r="G979">
            <v>0</v>
          </cell>
          <cell r="H979">
            <v>0</v>
          </cell>
          <cell r="I979">
            <v>3</v>
          </cell>
          <cell r="J979">
            <v>0</v>
          </cell>
          <cell r="K979">
            <v>1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 t="str">
            <v>CAC</v>
          </cell>
          <cell r="AH979" t="str">
            <v>CAC</v>
          </cell>
          <cell r="AI979" t="str">
            <v/>
          </cell>
          <cell r="AJ979" t="str">
            <v/>
          </cell>
          <cell r="AK979" t="str">
            <v>0.233351</v>
          </cell>
          <cell r="AL979" t="str">
            <v>2</v>
          </cell>
          <cell r="AM979" t="str">
            <v>Q</v>
          </cell>
          <cell r="AN979" t="str">
            <v>M0</v>
          </cell>
          <cell r="AO979" t="str">
            <v>Active(Model)</v>
          </cell>
          <cell r="AP979" t="str">
            <v/>
          </cell>
          <cell r="AQ979" t="str">
            <v/>
          </cell>
          <cell r="AR979" t="str">
            <v>Y</v>
          </cell>
          <cell r="AS979" t="str">
            <v/>
          </cell>
          <cell r="AT979" t="str">
            <v>AC</v>
          </cell>
          <cell r="AU979" t="str">
            <v>Airconditioner</v>
          </cell>
          <cell r="AV979" t="str">
            <v>ACMV</v>
          </cell>
          <cell r="AW979" t="str">
            <v>Multi V</v>
          </cell>
          <cell r="AX979" t="str">
            <v>ACMVID</v>
          </cell>
          <cell r="AY979" t="str">
            <v>Multi V I/D</v>
          </cell>
          <cell r="AZ979" t="str">
            <v>ACMVIDMC</v>
          </cell>
          <cell r="BA979" t="str">
            <v>Multi V_I/D_Cassette</v>
          </cell>
        </row>
        <row r="980">
          <cell r="E980" t="str">
            <v>ARNU36GM2A4.ANCSASE</v>
          </cell>
          <cell r="F980">
            <v>53</v>
          </cell>
          <cell r="G980">
            <v>0</v>
          </cell>
          <cell r="H980">
            <v>0</v>
          </cell>
          <cell r="I980">
            <v>54</v>
          </cell>
          <cell r="J980">
            <v>0</v>
          </cell>
          <cell r="K980">
            <v>21</v>
          </cell>
          <cell r="L980">
            <v>0</v>
          </cell>
          <cell r="M980">
            <v>0</v>
          </cell>
          <cell r="N980">
            <v>0</v>
          </cell>
          <cell r="O980">
            <v>2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 t="str">
            <v/>
          </cell>
          <cell r="AH980" t="str">
            <v/>
          </cell>
          <cell r="AI980" t="str">
            <v/>
          </cell>
          <cell r="AJ980" t="str">
            <v/>
          </cell>
          <cell r="AK980" t="str">
            <v>0.378847</v>
          </cell>
          <cell r="AL980" t="str">
            <v>0</v>
          </cell>
          <cell r="AM980" t="str">
            <v>Q</v>
          </cell>
          <cell r="AN980" t="str">
            <v>M0</v>
          </cell>
          <cell r="AO980" t="str">
            <v>Active(Model)</v>
          </cell>
          <cell r="AP980" t="str">
            <v/>
          </cell>
          <cell r="AQ980" t="str">
            <v/>
          </cell>
          <cell r="AR980" t="str">
            <v>Y</v>
          </cell>
          <cell r="AS980" t="str">
            <v/>
          </cell>
          <cell r="AT980" t="str">
            <v>AC</v>
          </cell>
          <cell r="AU980" t="str">
            <v>Airconditioner</v>
          </cell>
          <cell r="AV980" t="str">
            <v>ACMV</v>
          </cell>
          <cell r="AW980" t="str">
            <v>Multi V</v>
          </cell>
          <cell r="AX980" t="str">
            <v>ACMVID</v>
          </cell>
          <cell r="AY980" t="str">
            <v>Multi V I/D</v>
          </cell>
          <cell r="AZ980" t="str">
            <v>ACMVIDMD</v>
          </cell>
          <cell r="BA980" t="str">
            <v>Multi V_I/D_Duct</v>
          </cell>
        </row>
        <row r="981">
          <cell r="E981" t="str">
            <v>ARNU36GTAB4.ENWBASE</v>
          </cell>
          <cell r="F981">
            <v>3</v>
          </cell>
          <cell r="G981">
            <v>0</v>
          </cell>
          <cell r="H981">
            <v>0</v>
          </cell>
          <cell r="I981">
            <v>9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2</v>
          </cell>
          <cell r="AF981">
            <v>0</v>
          </cell>
          <cell r="AG981" t="str">
            <v/>
          </cell>
          <cell r="AH981" t="str">
            <v/>
          </cell>
          <cell r="AI981" t="str">
            <v/>
          </cell>
          <cell r="AJ981" t="str">
            <v/>
          </cell>
          <cell r="AK981" t="str">
            <v>0.304371</v>
          </cell>
          <cell r="AL981" t="str">
            <v>2</v>
          </cell>
          <cell r="AM981" t="str">
            <v>Q</v>
          </cell>
          <cell r="AN981" t="str">
            <v>M0</v>
          </cell>
          <cell r="AO981" t="str">
            <v>Active(Model)</v>
          </cell>
          <cell r="AP981" t="str">
            <v/>
          </cell>
          <cell r="AQ981" t="str">
            <v/>
          </cell>
          <cell r="AR981" t="str">
            <v>Y</v>
          </cell>
          <cell r="AS981" t="str">
            <v/>
          </cell>
          <cell r="AT981" t="str">
            <v>AC</v>
          </cell>
          <cell r="AU981" t="str">
            <v>Airconditioner</v>
          </cell>
          <cell r="AV981" t="str">
            <v>ACMV</v>
          </cell>
          <cell r="AW981" t="str">
            <v>Multi V</v>
          </cell>
          <cell r="AX981" t="str">
            <v>ACMVID</v>
          </cell>
          <cell r="AY981" t="str">
            <v>Multi V I/D</v>
          </cell>
          <cell r="AZ981" t="str">
            <v>ACMVIDMC</v>
          </cell>
          <cell r="BA981" t="str">
            <v>Multi V_I/D_Cassette</v>
          </cell>
        </row>
        <row r="982">
          <cell r="E982" t="str">
            <v>ARNU36GV2A4.ANWTASE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 t="str">
            <v/>
          </cell>
          <cell r="AH982" t="str">
            <v/>
          </cell>
          <cell r="AI982" t="str">
            <v/>
          </cell>
          <cell r="AJ982" t="str">
            <v/>
          </cell>
          <cell r="AK982" t="str">
            <v>0.419702</v>
          </cell>
          <cell r="AL982" t="str">
            <v>2</v>
          </cell>
          <cell r="AM982" t="str">
            <v>Q</v>
          </cell>
          <cell r="AN982" t="str">
            <v>M0</v>
          </cell>
          <cell r="AO982" t="str">
            <v>Active(Model)</v>
          </cell>
          <cell r="AP982" t="str">
            <v/>
          </cell>
          <cell r="AQ982" t="str">
            <v/>
          </cell>
          <cell r="AR982" t="str">
            <v>Y</v>
          </cell>
          <cell r="AS982" t="str">
            <v/>
          </cell>
          <cell r="AT982" t="str">
            <v>AC</v>
          </cell>
          <cell r="AU982" t="str">
            <v>Airconditioner</v>
          </cell>
          <cell r="AV982" t="str">
            <v>ACMV</v>
          </cell>
          <cell r="AW982" t="str">
            <v>Multi V</v>
          </cell>
          <cell r="AX982" t="str">
            <v>ACMVID</v>
          </cell>
          <cell r="AY982" t="str">
            <v>Multi V I/D</v>
          </cell>
          <cell r="AZ982" t="str">
            <v>ACMVIDMF</v>
          </cell>
          <cell r="BA982" t="str">
            <v>Multi V_I/D_Convertible</v>
          </cell>
        </row>
        <row r="983">
          <cell r="E983" t="str">
            <v>ARNU42GM2A4.ANCSASE</v>
          </cell>
          <cell r="F983">
            <v>9</v>
          </cell>
          <cell r="G983">
            <v>0</v>
          </cell>
          <cell r="H983">
            <v>0</v>
          </cell>
          <cell r="I983">
            <v>30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3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 t="str">
            <v/>
          </cell>
          <cell r="AH983" t="str">
            <v/>
          </cell>
          <cell r="AI983" t="str">
            <v/>
          </cell>
          <cell r="AJ983" t="str">
            <v/>
          </cell>
          <cell r="AK983" t="str">
            <v>0.378847</v>
          </cell>
          <cell r="AL983" t="str">
            <v>0</v>
          </cell>
          <cell r="AM983" t="str">
            <v>Q</v>
          </cell>
          <cell r="AN983" t="str">
            <v>M0</v>
          </cell>
          <cell r="AO983" t="str">
            <v>Active(Model)</v>
          </cell>
          <cell r="AP983" t="str">
            <v/>
          </cell>
          <cell r="AQ983" t="str">
            <v/>
          </cell>
          <cell r="AR983" t="str">
            <v>Y</v>
          </cell>
          <cell r="AS983" t="str">
            <v/>
          </cell>
          <cell r="AT983" t="str">
            <v>AC</v>
          </cell>
          <cell r="AU983" t="str">
            <v>Airconditioner</v>
          </cell>
          <cell r="AV983" t="str">
            <v>ACMV</v>
          </cell>
          <cell r="AW983" t="str">
            <v>Multi V</v>
          </cell>
          <cell r="AX983" t="str">
            <v>ACMVID</v>
          </cell>
          <cell r="AY983" t="str">
            <v>Multi V I/D</v>
          </cell>
          <cell r="AZ983" t="str">
            <v>ACMVIDMD</v>
          </cell>
          <cell r="BA983" t="str">
            <v>Multi V_I/D_Duct</v>
          </cell>
        </row>
        <row r="984">
          <cell r="E984" t="str">
            <v>ARNU42GTAB4.ENWBASE</v>
          </cell>
          <cell r="F984">
            <v>4</v>
          </cell>
          <cell r="G984">
            <v>0</v>
          </cell>
          <cell r="H984">
            <v>0</v>
          </cell>
          <cell r="I984">
            <v>17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7</v>
          </cell>
          <cell r="AF984">
            <v>0</v>
          </cell>
          <cell r="AG984" t="str">
            <v/>
          </cell>
          <cell r="AH984" t="str">
            <v/>
          </cell>
          <cell r="AI984" t="str">
            <v/>
          </cell>
          <cell r="AJ984" t="str">
            <v/>
          </cell>
          <cell r="AK984" t="str">
            <v>0.304371</v>
          </cell>
          <cell r="AL984" t="str">
            <v>2</v>
          </cell>
          <cell r="AM984" t="str">
            <v>Q</v>
          </cell>
          <cell r="AN984" t="str">
            <v>M0</v>
          </cell>
          <cell r="AO984" t="str">
            <v>Active(Model)</v>
          </cell>
          <cell r="AP984" t="str">
            <v/>
          </cell>
          <cell r="AQ984" t="str">
            <v/>
          </cell>
          <cell r="AR984" t="str">
            <v>Y</v>
          </cell>
          <cell r="AS984" t="str">
            <v/>
          </cell>
          <cell r="AT984" t="str">
            <v>AC</v>
          </cell>
          <cell r="AU984" t="str">
            <v>Airconditioner</v>
          </cell>
          <cell r="AV984" t="str">
            <v>ACMV</v>
          </cell>
          <cell r="AW984" t="str">
            <v>Multi V</v>
          </cell>
          <cell r="AX984" t="str">
            <v>ACMVID</v>
          </cell>
          <cell r="AY984" t="str">
            <v>Multi V I/D</v>
          </cell>
          <cell r="AZ984" t="str">
            <v>ACMVIDMC</v>
          </cell>
          <cell r="BA984" t="str">
            <v>Multi V_I/D_Cassette</v>
          </cell>
        </row>
        <row r="985">
          <cell r="E985" t="str">
            <v>ARNU42GTMA4.ANWBASE</v>
          </cell>
          <cell r="F985">
            <v>0</v>
          </cell>
          <cell r="G985">
            <v>0</v>
          </cell>
          <cell r="H985">
            <v>0</v>
          </cell>
          <cell r="I985">
            <v>4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 t="str">
            <v>CAC</v>
          </cell>
          <cell r="AH985" t="str">
            <v>CAC</v>
          </cell>
          <cell r="AI985" t="str">
            <v/>
          </cell>
          <cell r="AJ985" t="str">
            <v/>
          </cell>
          <cell r="AK985" t="str">
            <v>0.304371</v>
          </cell>
          <cell r="AL985" t="str">
            <v>2</v>
          </cell>
          <cell r="AM985" t="str">
            <v>Q</v>
          </cell>
          <cell r="AN985" t="str">
            <v>M0</v>
          </cell>
          <cell r="AO985" t="str">
            <v>Active(Model)</v>
          </cell>
          <cell r="AP985" t="str">
            <v/>
          </cell>
          <cell r="AQ985" t="str">
            <v/>
          </cell>
          <cell r="AR985" t="str">
            <v>Y</v>
          </cell>
          <cell r="AS985" t="str">
            <v/>
          </cell>
          <cell r="AT985" t="str">
            <v>AC</v>
          </cell>
          <cell r="AU985" t="str">
            <v>Airconditioner</v>
          </cell>
          <cell r="AV985" t="str">
            <v>ACMV</v>
          </cell>
          <cell r="AW985" t="str">
            <v>Multi V</v>
          </cell>
          <cell r="AX985" t="str">
            <v>ACMVID</v>
          </cell>
          <cell r="AY985" t="str">
            <v>Multi V I/D</v>
          </cell>
          <cell r="AZ985" t="str">
            <v>ACMVIDMC</v>
          </cell>
          <cell r="BA985" t="str">
            <v>Multi V_I/D_Cassette</v>
          </cell>
        </row>
        <row r="986">
          <cell r="E986" t="str">
            <v>ARNU48GM3A4.ANCSASE</v>
          </cell>
          <cell r="F986">
            <v>17</v>
          </cell>
          <cell r="G986">
            <v>0</v>
          </cell>
          <cell r="H986">
            <v>0</v>
          </cell>
          <cell r="I986">
            <v>33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4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 t="str">
            <v/>
          </cell>
          <cell r="AH986" t="str">
            <v/>
          </cell>
          <cell r="AI986" t="str">
            <v/>
          </cell>
          <cell r="AJ986" t="str">
            <v/>
          </cell>
          <cell r="AK986" t="str">
            <v>0.479724</v>
          </cell>
          <cell r="AL986" t="str">
            <v>0</v>
          </cell>
          <cell r="AM986" t="str">
            <v>Q</v>
          </cell>
          <cell r="AN986" t="str">
            <v>M0</v>
          </cell>
          <cell r="AO986" t="str">
            <v>Active(Model)</v>
          </cell>
          <cell r="AP986" t="str">
            <v/>
          </cell>
          <cell r="AQ986" t="str">
            <v/>
          </cell>
          <cell r="AR986" t="str">
            <v>Y</v>
          </cell>
          <cell r="AS986" t="str">
            <v/>
          </cell>
          <cell r="AT986" t="str">
            <v>AC</v>
          </cell>
          <cell r="AU986" t="str">
            <v>Airconditioner</v>
          </cell>
          <cell r="AV986" t="str">
            <v>ACMV</v>
          </cell>
          <cell r="AW986" t="str">
            <v>Multi V</v>
          </cell>
          <cell r="AX986" t="str">
            <v>ACMVID</v>
          </cell>
          <cell r="AY986" t="str">
            <v>Multi V I/D</v>
          </cell>
          <cell r="AZ986" t="str">
            <v>ACMVIDMD</v>
          </cell>
          <cell r="BA986" t="str">
            <v>Multi V_I/D_Duct</v>
          </cell>
        </row>
        <row r="987">
          <cell r="E987" t="str">
            <v>ARNU48GPTA4.ENWSASE</v>
          </cell>
          <cell r="F987">
            <v>0</v>
          </cell>
          <cell r="G987">
            <v>0</v>
          </cell>
          <cell r="H987">
            <v>0</v>
          </cell>
          <cell r="I987">
            <v>1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 t="str">
            <v/>
          </cell>
          <cell r="AH987" t="str">
            <v/>
          </cell>
          <cell r="AI987" t="str">
            <v/>
          </cell>
          <cell r="AJ987" t="str">
            <v/>
          </cell>
          <cell r="AK987" t="str">
            <v>0.710797</v>
          </cell>
          <cell r="AL987" t="str">
            <v>0</v>
          </cell>
          <cell r="AM987" t="str">
            <v>Q</v>
          </cell>
          <cell r="AN987" t="str">
            <v>M0</v>
          </cell>
          <cell r="AO987" t="str">
            <v>Active(Model)</v>
          </cell>
          <cell r="AP987" t="str">
            <v/>
          </cell>
          <cell r="AQ987" t="str">
            <v/>
          </cell>
          <cell r="AR987" t="str">
            <v>Y</v>
          </cell>
          <cell r="AS987" t="str">
            <v/>
          </cell>
          <cell r="AT987" t="str">
            <v>AC</v>
          </cell>
          <cell r="AU987" t="str">
            <v>Airconditioner</v>
          </cell>
          <cell r="AV987" t="str">
            <v>ACMV</v>
          </cell>
          <cell r="AW987" t="str">
            <v>Multi V</v>
          </cell>
          <cell r="AX987" t="str">
            <v>ACMVID</v>
          </cell>
          <cell r="AY987" t="str">
            <v>Multi V I/D</v>
          </cell>
          <cell r="AZ987" t="str">
            <v>ACMVIDPA</v>
          </cell>
          <cell r="BA987" t="str">
            <v>Multi V_I/D_PAC</v>
          </cell>
        </row>
        <row r="988">
          <cell r="E988" t="str">
            <v>ARNU48GTAB4.ENWBASE</v>
          </cell>
          <cell r="F988">
            <v>0</v>
          </cell>
          <cell r="G988">
            <v>0</v>
          </cell>
          <cell r="H988">
            <v>0</v>
          </cell>
          <cell r="I988">
            <v>14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 t="str">
            <v/>
          </cell>
          <cell r="AH988" t="str">
            <v/>
          </cell>
          <cell r="AI988" t="str">
            <v/>
          </cell>
          <cell r="AJ988" t="str">
            <v/>
          </cell>
          <cell r="AK988" t="str">
            <v>0.304371</v>
          </cell>
          <cell r="AL988" t="str">
            <v>2</v>
          </cell>
          <cell r="AM988" t="str">
            <v>Q</v>
          </cell>
          <cell r="AN988" t="str">
            <v>M0</v>
          </cell>
          <cell r="AO988" t="str">
            <v>Active(Model)</v>
          </cell>
          <cell r="AP988" t="str">
            <v/>
          </cell>
          <cell r="AQ988" t="str">
            <v/>
          </cell>
          <cell r="AR988" t="str">
            <v>Y</v>
          </cell>
          <cell r="AS988" t="str">
            <v/>
          </cell>
          <cell r="AT988" t="str">
            <v>AC</v>
          </cell>
          <cell r="AU988" t="str">
            <v>Airconditioner</v>
          </cell>
          <cell r="AV988" t="str">
            <v>ACMV</v>
          </cell>
          <cell r="AW988" t="str">
            <v>Multi V</v>
          </cell>
          <cell r="AX988" t="str">
            <v>ACMVID</v>
          </cell>
          <cell r="AY988" t="str">
            <v>Multi V I/D</v>
          </cell>
          <cell r="AZ988" t="str">
            <v>ACMVIDMC</v>
          </cell>
          <cell r="BA988" t="str">
            <v>Multi V_I/D_Cassette</v>
          </cell>
        </row>
        <row r="989">
          <cell r="E989" t="str">
            <v>ARNU48GTMA4.ANWBASE</v>
          </cell>
          <cell r="F989">
            <v>8</v>
          </cell>
          <cell r="G989">
            <v>0</v>
          </cell>
          <cell r="H989">
            <v>0</v>
          </cell>
          <cell r="I989">
            <v>8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 t="str">
            <v>CAC</v>
          </cell>
          <cell r="AH989" t="str">
            <v>CAC</v>
          </cell>
          <cell r="AI989" t="str">
            <v/>
          </cell>
          <cell r="AJ989" t="str">
            <v/>
          </cell>
          <cell r="AK989" t="str">
            <v>0.304371</v>
          </cell>
          <cell r="AL989" t="str">
            <v>2</v>
          </cell>
          <cell r="AM989" t="str">
            <v>Q</v>
          </cell>
          <cell r="AN989" t="str">
            <v>M0</v>
          </cell>
          <cell r="AO989" t="str">
            <v>Active(Model)</v>
          </cell>
          <cell r="AP989" t="str">
            <v/>
          </cell>
          <cell r="AQ989" t="str">
            <v/>
          </cell>
          <cell r="AR989" t="str">
            <v>Y</v>
          </cell>
          <cell r="AS989" t="str">
            <v/>
          </cell>
          <cell r="AT989" t="str">
            <v>AC</v>
          </cell>
          <cell r="AU989" t="str">
            <v>Airconditioner</v>
          </cell>
          <cell r="AV989" t="str">
            <v>ACMV</v>
          </cell>
          <cell r="AW989" t="str">
            <v>Multi V</v>
          </cell>
          <cell r="AX989" t="str">
            <v>ACMVID</v>
          </cell>
          <cell r="AY989" t="str">
            <v>Multi V I/D</v>
          </cell>
          <cell r="AZ989" t="str">
            <v>ACMVIDMC</v>
          </cell>
          <cell r="BA989" t="str">
            <v>Multi V_I/D_Cassette</v>
          </cell>
        </row>
        <row r="990">
          <cell r="E990" t="str">
            <v>ARNU48GV2A4.ANWTASE</v>
          </cell>
          <cell r="F990">
            <v>0</v>
          </cell>
          <cell r="G990">
            <v>0</v>
          </cell>
          <cell r="H990">
            <v>0</v>
          </cell>
          <cell r="I990">
            <v>2</v>
          </cell>
          <cell r="J990">
            <v>0</v>
          </cell>
          <cell r="K990">
            <v>0</v>
          </cell>
          <cell r="L990">
            <v>2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 t="str">
            <v/>
          </cell>
          <cell r="AH990" t="str">
            <v/>
          </cell>
          <cell r="AI990" t="str">
            <v/>
          </cell>
          <cell r="AJ990" t="str">
            <v/>
          </cell>
          <cell r="AK990" t="str">
            <v>0.419702</v>
          </cell>
          <cell r="AL990" t="str">
            <v>2</v>
          </cell>
          <cell r="AM990" t="str">
            <v>Q</v>
          </cell>
          <cell r="AN990" t="str">
            <v>M0</v>
          </cell>
          <cell r="AO990" t="str">
            <v>Active(Model)</v>
          </cell>
          <cell r="AP990" t="str">
            <v/>
          </cell>
          <cell r="AQ990" t="str">
            <v/>
          </cell>
          <cell r="AR990" t="str">
            <v>Y</v>
          </cell>
          <cell r="AS990" t="str">
            <v/>
          </cell>
          <cell r="AT990" t="str">
            <v>AC</v>
          </cell>
          <cell r="AU990" t="str">
            <v>Airconditioner</v>
          </cell>
          <cell r="AV990" t="str">
            <v>ACMV</v>
          </cell>
          <cell r="AW990" t="str">
            <v>Multi V</v>
          </cell>
          <cell r="AX990" t="str">
            <v>ACMVID</v>
          </cell>
          <cell r="AY990" t="str">
            <v>Multi V I/D</v>
          </cell>
          <cell r="AZ990" t="str">
            <v>ACMVIDMF</v>
          </cell>
          <cell r="BA990" t="str">
            <v>Multi V_I/D_Convertible</v>
          </cell>
        </row>
        <row r="991">
          <cell r="E991" t="str">
            <v>ARNU54GM3A4.ANCSASE</v>
          </cell>
          <cell r="F991">
            <v>18</v>
          </cell>
          <cell r="G991">
            <v>0</v>
          </cell>
          <cell r="H991">
            <v>0</v>
          </cell>
          <cell r="I991">
            <v>22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11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 t="str">
            <v/>
          </cell>
          <cell r="AH991" t="str">
            <v/>
          </cell>
          <cell r="AI991" t="str">
            <v/>
          </cell>
          <cell r="AJ991" t="str">
            <v/>
          </cell>
          <cell r="AK991" t="str">
            <v>0.479724</v>
          </cell>
          <cell r="AL991" t="str">
            <v>0</v>
          </cell>
          <cell r="AM991" t="str">
            <v>Q</v>
          </cell>
          <cell r="AN991" t="str">
            <v>M0</v>
          </cell>
          <cell r="AO991" t="str">
            <v>Active(Model)</v>
          </cell>
          <cell r="AP991" t="str">
            <v/>
          </cell>
          <cell r="AQ991" t="str">
            <v/>
          </cell>
          <cell r="AR991" t="str">
            <v>Y</v>
          </cell>
          <cell r="AS991" t="str">
            <v/>
          </cell>
          <cell r="AT991" t="str">
            <v>AC</v>
          </cell>
          <cell r="AU991" t="str">
            <v>Airconditioner</v>
          </cell>
          <cell r="AV991" t="str">
            <v>ACMV</v>
          </cell>
          <cell r="AW991" t="str">
            <v>Multi V</v>
          </cell>
          <cell r="AX991" t="str">
            <v>ACMVID</v>
          </cell>
          <cell r="AY991" t="str">
            <v>Multi V I/D</v>
          </cell>
          <cell r="AZ991" t="str">
            <v>ACMVIDMD</v>
          </cell>
          <cell r="BA991" t="str">
            <v>Multi V_I/D_Duct</v>
          </cell>
        </row>
        <row r="992">
          <cell r="E992" t="str">
            <v>ARNU54GTMA4.ANWBASE</v>
          </cell>
          <cell r="F992">
            <v>6</v>
          </cell>
          <cell r="G992">
            <v>0</v>
          </cell>
          <cell r="H992">
            <v>0</v>
          </cell>
          <cell r="I992">
            <v>7</v>
          </cell>
          <cell r="J992">
            <v>0</v>
          </cell>
          <cell r="K992">
            <v>42</v>
          </cell>
          <cell r="L992">
            <v>0</v>
          </cell>
          <cell r="M992">
            <v>0</v>
          </cell>
          <cell r="N992">
            <v>0</v>
          </cell>
          <cell r="O992">
            <v>20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 t="str">
            <v>CAC</v>
          </cell>
          <cell r="AH992" t="str">
            <v>CAC</v>
          </cell>
          <cell r="AI992" t="str">
            <v/>
          </cell>
          <cell r="AJ992" t="str">
            <v/>
          </cell>
          <cell r="AK992" t="str">
            <v>0.304371</v>
          </cell>
          <cell r="AL992" t="str">
            <v>2</v>
          </cell>
          <cell r="AM992" t="str">
            <v>Q</v>
          </cell>
          <cell r="AN992" t="str">
            <v>M0</v>
          </cell>
          <cell r="AO992" t="str">
            <v>Active(Model)</v>
          </cell>
          <cell r="AP992" t="str">
            <v/>
          </cell>
          <cell r="AQ992" t="str">
            <v/>
          </cell>
          <cell r="AR992" t="str">
            <v>Y</v>
          </cell>
          <cell r="AS992" t="str">
            <v/>
          </cell>
          <cell r="AT992" t="str">
            <v>AC</v>
          </cell>
          <cell r="AU992" t="str">
            <v>Airconditioner</v>
          </cell>
          <cell r="AV992" t="str">
            <v>ACMV</v>
          </cell>
          <cell r="AW992" t="str">
            <v>Multi V</v>
          </cell>
          <cell r="AX992" t="str">
            <v>ACMVID</v>
          </cell>
          <cell r="AY992" t="str">
            <v>Multi V I/D</v>
          </cell>
          <cell r="AZ992" t="str">
            <v>ACMVIDMC</v>
          </cell>
          <cell r="BA992" t="str">
            <v>Multi V_I/D_Cassette</v>
          </cell>
        </row>
        <row r="993">
          <cell r="E993" t="str">
            <v>ARNU76GB8A4.ANCSASE</v>
          </cell>
          <cell r="F993">
            <v>3</v>
          </cell>
          <cell r="G993">
            <v>0</v>
          </cell>
          <cell r="H993">
            <v>0</v>
          </cell>
          <cell r="I993">
            <v>3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 t="str">
            <v/>
          </cell>
          <cell r="AH993" t="str">
            <v/>
          </cell>
          <cell r="AI993" t="str">
            <v/>
          </cell>
          <cell r="AJ993" t="str">
            <v/>
          </cell>
          <cell r="AK993" t="str">
            <v>0.800103</v>
          </cell>
          <cell r="AL993" t="str">
            <v>2</v>
          </cell>
          <cell r="AM993" t="str">
            <v>Q</v>
          </cell>
          <cell r="AN993" t="str">
            <v>M0</v>
          </cell>
          <cell r="AO993" t="str">
            <v>Active(Model)</v>
          </cell>
          <cell r="AP993" t="str">
            <v/>
          </cell>
          <cell r="AQ993" t="str">
            <v/>
          </cell>
          <cell r="AR993" t="str">
            <v>Y</v>
          </cell>
          <cell r="AS993" t="str">
            <v/>
          </cell>
          <cell r="AT993" t="str">
            <v>AC</v>
          </cell>
          <cell r="AU993" t="str">
            <v>Airconditioner</v>
          </cell>
          <cell r="AV993" t="str">
            <v>ACMV</v>
          </cell>
          <cell r="AW993" t="str">
            <v>Multi V</v>
          </cell>
          <cell r="AX993" t="str">
            <v>ACMVID</v>
          </cell>
          <cell r="AY993" t="str">
            <v>Multi V I/D</v>
          </cell>
          <cell r="AZ993" t="str">
            <v>ACMVIDMD</v>
          </cell>
          <cell r="BA993" t="str">
            <v>Multi V_I/D_Duct</v>
          </cell>
        </row>
        <row r="994">
          <cell r="E994" t="str">
            <v>ARNU96GB8A4.ANCSASE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 t="str">
            <v/>
          </cell>
          <cell r="AH994" t="str">
            <v/>
          </cell>
          <cell r="AI994" t="str">
            <v/>
          </cell>
          <cell r="AJ994" t="str">
            <v/>
          </cell>
          <cell r="AK994" t="str">
            <v>0.800103</v>
          </cell>
          <cell r="AL994" t="str">
            <v>2</v>
          </cell>
          <cell r="AM994" t="str">
            <v>Q</v>
          </cell>
          <cell r="AN994" t="str">
            <v>M0</v>
          </cell>
          <cell r="AO994" t="str">
            <v>Active(Model)</v>
          </cell>
          <cell r="AP994" t="str">
            <v/>
          </cell>
          <cell r="AQ994" t="str">
            <v/>
          </cell>
          <cell r="AR994" t="str">
            <v>Y</v>
          </cell>
          <cell r="AS994" t="str">
            <v/>
          </cell>
          <cell r="AT994" t="str">
            <v>AC</v>
          </cell>
          <cell r="AU994" t="str">
            <v>Airconditioner</v>
          </cell>
          <cell r="AV994" t="str">
            <v>ACMV</v>
          </cell>
          <cell r="AW994" t="str">
            <v>Multi V</v>
          </cell>
          <cell r="AX994" t="str">
            <v>ACMVID</v>
          </cell>
          <cell r="AY994" t="str">
            <v>Multi V I/D</v>
          </cell>
          <cell r="AZ994" t="str">
            <v>ACMVIDMD</v>
          </cell>
          <cell r="BA994" t="str">
            <v>Multi V_I/D_Duct</v>
          </cell>
        </row>
        <row r="995">
          <cell r="E995" t="str">
            <v>ARUN040GSD6.EWGHEVH</v>
          </cell>
          <cell r="F995">
            <v>1</v>
          </cell>
          <cell r="G995">
            <v>0</v>
          </cell>
          <cell r="H995">
            <v>0</v>
          </cell>
          <cell r="I995">
            <v>1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 t="str">
            <v/>
          </cell>
          <cell r="AH995" t="str">
            <v/>
          </cell>
          <cell r="AI995" t="str">
            <v/>
          </cell>
          <cell r="AJ995" t="str">
            <v/>
          </cell>
          <cell r="AK995" t="str">
            <v>0.482446</v>
          </cell>
          <cell r="AL995" t="str">
            <v>0</v>
          </cell>
          <cell r="AM995" t="str">
            <v>Q</v>
          </cell>
          <cell r="AN995" t="str">
            <v>M0</v>
          </cell>
          <cell r="AO995" t="str">
            <v>Active(Model)</v>
          </cell>
          <cell r="AP995" t="str">
            <v/>
          </cell>
          <cell r="AQ995" t="str">
            <v/>
          </cell>
          <cell r="AR995" t="str">
            <v>Y</v>
          </cell>
          <cell r="AS995" t="str">
            <v/>
          </cell>
          <cell r="AT995" t="str">
            <v>AC</v>
          </cell>
          <cell r="AU995" t="str">
            <v>Airconditioner</v>
          </cell>
          <cell r="AV995" t="str">
            <v>ACMV</v>
          </cell>
          <cell r="AW995" t="str">
            <v>Multi V</v>
          </cell>
          <cell r="AX995" t="str">
            <v>ACMVOD</v>
          </cell>
          <cell r="AY995" t="str">
            <v>Multi V O/D</v>
          </cell>
          <cell r="AZ995" t="str">
            <v>ACMVODMO</v>
          </cell>
          <cell r="BA995" t="str">
            <v>Multi V_O/D_MINI (S)</v>
          </cell>
        </row>
        <row r="996">
          <cell r="E996" t="str">
            <v>ARUN040LSS5.EWGBASA</v>
          </cell>
          <cell r="F996">
            <v>1</v>
          </cell>
          <cell r="G996">
            <v>0</v>
          </cell>
          <cell r="H996">
            <v>0</v>
          </cell>
          <cell r="I996">
            <v>1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 t="str">
            <v/>
          </cell>
          <cell r="AH996" t="str">
            <v/>
          </cell>
          <cell r="AI996" t="str">
            <v/>
          </cell>
          <cell r="AJ996" t="str">
            <v/>
          </cell>
          <cell r="AK996" t="str">
            <v>0.485937</v>
          </cell>
          <cell r="AL996" t="str">
            <v>0</v>
          </cell>
          <cell r="AM996" t="str">
            <v>Q</v>
          </cell>
          <cell r="AN996" t="str">
            <v>M0</v>
          </cell>
          <cell r="AO996" t="str">
            <v>Active(Model)</v>
          </cell>
          <cell r="AP996" t="str">
            <v/>
          </cell>
          <cell r="AQ996" t="str">
            <v/>
          </cell>
          <cell r="AR996" t="str">
            <v>Y</v>
          </cell>
          <cell r="AS996" t="str">
            <v/>
          </cell>
          <cell r="AT996" t="str">
            <v>AC</v>
          </cell>
          <cell r="AU996" t="str">
            <v>Airconditioner</v>
          </cell>
          <cell r="AV996" t="str">
            <v>ACMV</v>
          </cell>
          <cell r="AW996" t="str">
            <v>Multi V</v>
          </cell>
          <cell r="AX996" t="str">
            <v>ACMVOD</v>
          </cell>
          <cell r="AY996" t="str">
            <v>Multi V O/D</v>
          </cell>
          <cell r="AZ996" t="str">
            <v>ACMVODMO</v>
          </cell>
          <cell r="BA996" t="str">
            <v>Multi V_O/D_MINI (S)</v>
          </cell>
        </row>
        <row r="997">
          <cell r="E997" t="str">
            <v>ARUN050GSD6.EWGHEVH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 t="str">
            <v/>
          </cell>
          <cell r="AH997" t="str">
            <v/>
          </cell>
          <cell r="AI997" t="str">
            <v/>
          </cell>
          <cell r="AJ997" t="str">
            <v/>
          </cell>
          <cell r="AK997" t="str">
            <v>0.482446</v>
          </cell>
          <cell r="AL997" t="str">
            <v>0</v>
          </cell>
          <cell r="AM997" t="str">
            <v>Q</v>
          </cell>
          <cell r="AN997" t="str">
            <v>M0</v>
          </cell>
          <cell r="AO997" t="str">
            <v>Active(Model)</v>
          </cell>
          <cell r="AP997" t="str">
            <v/>
          </cell>
          <cell r="AQ997" t="str">
            <v/>
          </cell>
          <cell r="AR997" t="str">
            <v>Y</v>
          </cell>
          <cell r="AS997" t="str">
            <v/>
          </cell>
          <cell r="AT997" t="str">
            <v>AC</v>
          </cell>
          <cell r="AU997" t="str">
            <v>Airconditioner</v>
          </cell>
          <cell r="AV997" t="str">
            <v>ACMV</v>
          </cell>
          <cell r="AW997" t="str">
            <v>Multi V</v>
          </cell>
          <cell r="AX997" t="str">
            <v>ACMVOD</v>
          </cell>
          <cell r="AY997" t="str">
            <v>Multi V O/D</v>
          </cell>
          <cell r="AZ997" t="str">
            <v>ACMVODMO</v>
          </cell>
          <cell r="BA997" t="str">
            <v>Multi V_O/D_MINI (S)</v>
          </cell>
        </row>
        <row r="998">
          <cell r="E998" t="str">
            <v>ARUN050GSS5.EWGBASE</v>
          </cell>
          <cell r="F998">
            <v>1</v>
          </cell>
          <cell r="G998">
            <v>0</v>
          </cell>
          <cell r="H998">
            <v>0</v>
          </cell>
          <cell r="I998">
            <v>1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 t="str">
            <v/>
          </cell>
          <cell r="AH998" t="str">
            <v/>
          </cell>
          <cell r="AI998" t="str">
            <v/>
          </cell>
          <cell r="AJ998" t="str">
            <v/>
          </cell>
          <cell r="AK998" t="str">
            <v>0.485937</v>
          </cell>
          <cell r="AL998" t="str">
            <v>0</v>
          </cell>
          <cell r="AM998" t="str">
            <v>Q</v>
          </cell>
          <cell r="AN998" t="str">
            <v>M0</v>
          </cell>
          <cell r="AO998" t="str">
            <v>Active(Model)</v>
          </cell>
          <cell r="AP998" t="str">
            <v/>
          </cell>
          <cell r="AQ998" t="str">
            <v/>
          </cell>
          <cell r="AR998" t="str">
            <v>Y</v>
          </cell>
          <cell r="AS998" t="str">
            <v/>
          </cell>
          <cell r="AT998" t="str">
            <v>AC</v>
          </cell>
          <cell r="AU998" t="str">
            <v>Airconditioner</v>
          </cell>
          <cell r="AV998" t="str">
            <v>ACMV</v>
          </cell>
          <cell r="AW998" t="str">
            <v>Multi V</v>
          </cell>
          <cell r="AX998" t="str">
            <v>ACMVOD</v>
          </cell>
          <cell r="AY998" t="str">
            <v>Multi V O/D</v>
          </cell>
          <cell r="AZ998" t="str">
            <v>ACMVODMO</v>
          </cell>
          <cell r="BA998" t="str">
            <v>Multi V_O/D_MINI (S)</v>
          </cell>
        </row>
        <row r="999">
          <cell r="E999" t="str">
            <v>ARUN060GSD6.EWGHEVH</v>
          </cell>
          <cell r="F999">
            <v>1</v>
          </cell>
          <cell r="G999">
            <v>0</v>
          </cell>
          <cell r="H999">
            <v>0</v>
          </cell>
          <cell r="I999">
            <v>1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 t="str">
            <v/>
          </cell>
          <cell r="AH999" t="str">
            <v/>
          </cell>
          <cell r="AI999" t="str">
            <v/>
          </cell>
          <cell r="AJ999" t="str">
            <v/>
          </cell>
          <cell r="AK999" t="str">
            <v>0.482446</v>
          </cell>
          <cell r="AL999" t="str">
            <v>0</v>
          </cell>
          <cell r="AM999" t="str">
            <v>Q</v>
          </cell>
          <cell r="AN999" t="str">
            <v>M0</v>
          </cell>
          <cell r="AO999" t="str">
            <v>Active(Model)</v>
          </cell>
          <cell r="AP999" t="str">
            <v/>
          </cell>
          <cell r="AQ999" t="str">
            <v/>
          </cell>
          <cell r="AR999" t="str">
            <v>Y</v>
          </cell>
          <cell r="AS999" t="str">
            <v/>
          </cell>
          <cell r="AT999" t="str">
            <v>AC</v>
          </cell>
          <cell r="AU999" t="str">
            <v>Airconditioner</v>
          </cell>
          <cell r="AV999" t="str">
            <v>ACMV</v>
          </cell>
          <cell r="AW999" t="str">
            <v>Multi V</v>
          </cell>
          <cell r="AX999" t="str">
            <v>ACMVOD</v>
          </cell>
          <cell r="AY999" t="str">
            <v>Multi V O/D</v>
          </cell>
          <cell r="AZ999" t="str">
            <v>ACMVODMO</v>
          </cell>
          <cell r="BA999" t="str">
            <v>Multi V_O/D_MINI (S)</v>
          </cell>
        </row>
        <row r="1000">
          <cell r="E1000" t="str">
            <v>ARUN060LSS5.EWGBASA</v>
          </cell>
          <cell r="F1000">
            <v>2</v>
          </cell>
          <cell r="G1000">
            <v>0</v>
          </cell>
          <cell r="H1000">
            <v>0</v>
          </cell>
          <cell r="I1000">
            <v>2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1</v>
          </cell>
          <cell r="AF1000">
            <v>0</v>
          </cell>
          <cell r="AG1000" t="str">
            <v/>
          </cell>
          <cell r="AH1000" t="str">
            <v/>
          </cell>
          <cell r="AI1000" t="str">
            <v/>
          </cell>
          <cell r="AJ1000" t="str">
            <v/>
          </cell>
          <cell r="AK1000" t="str">
            <v>0.485937</v>
          </cell>
          <cell r="AL1000" t="str">
            <v>0</v>
          </cell>
          <cell r="AM1000" t="str">
            <v>Q</v>
          </cell>
          <cell r="AN1000" t="str">
            <v>M0</v>
          </cell>
          <cell r="AO1000" t="str">
            <v>Active(Model)</v>
          </cell>
          <cell r="AP1000" t="str">
            <v/>
          </cell>
          <cell r="AQ1000" t="str">
            <v/>
          </cell>
          <cell r="AR1000" t="str">
            <v>Y</v>
          </cell>
          <cell r="AS1000" t="str">
            <v/>
          </cell>
          <cell r="AT1000" t="str">
            <v>AC</v>
          </cell>
          <cell r="AU1000" t="str">
            <v>Airconditioner</v>
          </cell>
          <cell r="AV1000" t="str">
            <v>ACMV</v>
          </cell>
          <cell r="AW1000" t="str">
            <v>Multi V</v>
          </cell>
          <cell r="AX1000" t="str">
            <v>ACMVOD</v>
          </cell>
          <cell r="AY1000" t="str">
            <v>Multi V O/D</v>
          </cell>
          <cell r="AZ1000" t="str">
            <v>ACMVODMO</v>
          </cell>
          <cell r="BA1000" t="str">
            <v>Multi V_O/D_MINI (S)</v>
          </cell>
        </row>
        <row r="1001">
          <cell r="E1001" t="str">
            <v>ARUN080LSS0.AWGBASE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 t="str">
            <v>CAC</v>
          </cell>
          <cell r="AH1001" t="str">
            <v>CAC</v>
          </cell>
          <cell r="AI1001" t="str">
            <v/>
          </cell>
          <cell r="AJ1001" t="str">
            <v/>
          </cell>
          <cell r="AK1001" t="str">
            <v>0.822891</v>
          </cell>
          <cell r="AL1001" t="str">
            <v>2</v>
          </cell>
          <cell r="AM1001" t="str">
            <v>Q</v>
          </cell>
          <cell r="AN1001" t="str">
            <v>M0</v>
          </cell>
          <cell r="AO1001" t="str">
            <v>Active(Model)</v>
          </cell>
          <cell r="AP1001" t="str">
            <v/>
          </cell>
          <cell r="AQ1001" t="str">
            <v/>
          </cell>
          <cell r="AR1001" t="str">
            <v>Y</v>
          </cell>
          <cell r="AS1001" t="str">
            <v/>
          </cell>
          <cell r="AT1001" t="str">
            <v>AC</v>
          </cell>
          <cell r="AU1001" t="str">
            <v>Airconditioner</v>
          </cell>
          <cell r="AV1001" t="str">
            <v>ACMV</v>
          </cell>
          <cell r="AW1001" t="str">
            <v>Multi V</v>
          </cell>
          <cell r="AX1001" t="str">
            <v>ACMVOD</v>
          </cell>
          <cell r="AY1001" t="str">
            <v>Multi V O/D</v>
          </cell>
          <cell r="AZ1001" t="str">
            <v>ACMVODMO</v>
          </cell>
          <cell r="BA1001" t="str">
            <v>Multi V_O/D_MINI (S)</v>
          </cell>
        </row>
        <row r="1002">
          <cell r="E1002" t="str">
            <v>ARUN100LLS5.EWGBGLB</v>
          </cell>
          <cell r="F1002">
            <v>0</v>
          </cell>
          <cell r="G1002">
            <v>0</v>
          </cell>
          <cell r="H1002">
            <v>0</v>
          </cell>
          <cell r="I1002">
            <v>1</v>
          </cell>
          <cell r="J1002">
            <v>0</v>
          </cell>
          <cell r="K1002">
            <v>0</v>
          </cell>
          <cell r="L1002">
            <v>1</v>
          </cell>
          <cell r="M1002">
            <v>0</v>
          </cell>
          <cell r="N1002">
            <v>0</v>
          </cell>
          <cell r="O1002">
            <v>1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 t="str">
            <v>CAC</v>
          </cell>
          <cell r="AH1002" t="str">
            <v>CAC</v>
          </cell>
          <cell r="AI1002" t="str">
            <v/>
          </cell>
          <cell r="AJ1002" t="str">
            <v/>
          </cell>
          <cell r="AK1002" t="str">
            <v>1.394592</v>
          </cell>
          <cell r="AL1002" t="str">
            <v>2</v>
          </cell>
          <cell r="AM1002" t="str">
            <v>Q</v>
          </cell>
          <cell r="AN1002" t="str">
            <v>M0</v>
          </cell>
          <cell r="AO1002" t="str">
            <v>Active(Model)</v>
          </cell>
          <cell r="AP1002" t="str">
            <v/>
          </cell>
          <cell r="AQ1002" t="str">
            <v/>
          </cell>
          <cell r="AR1002" t="str">
            <v>Y</v>
          </cell>
          <cell r="AS1002" t="str">
            <v/>
          </cell>
          <cell r="AT1002" t="str">
            <v>AC</v>
          </cell>
          <cell r="AU1002" t="str">
            <v>Airconditioner</v>
          </cell>
          <cell r="AV1002" t="str">
            <v>ACMV</v>
          </cell>
          <cell r="AW1002" t="str">
            <v>Multi V</v>
          </cell>
          <cell r="AX1002" t="str">
            <v>ACMVOD</v>
          </cell>
          <cell r="AY1002" t="str">
            <v>Multi V O/D</v>
          </cell>
          <cell r="AZ1002" t="str">
            <v>ACMVODMI</v>
          </cell>
          <cell r="BA1002" t="str">
            <v>Multi V_O/D_PRO</v>
          </cell>
        </row>
        <row r="1003">
          <cell r="E1003" t="str">
            <v>ARUN100LSS0.AWGBASE</v>
          </cell>
          <cell r="F1003">
            <v>0</v>
          </cell>
          <cell r="G1003">
            <v>0</v>
          </cell>
          <cell r="H1003">
            <v>0</v>
          </cell>
          <cell r="I1003">
            <v>4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 t="str">
            <v>CAC</v>
          </cell>
          <cell r="AH1003" t="str">
            <v>CAC</v>
          </cell>
          <cell r="AI1003" t="str">
            <v/>
          </cell>
          <cell r="AJ1003" t="str">
            <v/>
          </cell>
          <cell r="AK1003" t="str">
            <v>1.090463</v>
          </cell>
          <cell r="AL1003" t="str">
            <v>2</v>
          </cell>
          <cell r="AM1003" t="str">
            <v>Q</v>
          </cell>
          <cell r="AN1003" t="str">
            <v>M0</v>
          </cell>
          <cell r="AO1003" t="str">
            <v>Active(Model)</v>
          </cell>
          <cell r="AP1003" t="str">
            <v/>
          </cell>
          <cell r="AQ1003" t="str">
            <v/>
          </cell>
          <cell r="AR1003" t="str">
            <v>Y</v>
          </cell>
          <cell r="AS1003" t="str">
            <v/>
          </cell>
          <cell r="AT1003" t="str">
            <v>AC</v>
          </cell>
          <cell r="AU1003" t="str">
            <v>Airconditioner</v>
          </cell>
          <cell r="AV1003" t="str">
            <v>ACMV</v>
          </cell>
          <cell r="AW1003" t="str">
            <v>Multi V</v>
          </cell>
          <cell r="AX1003" t="str">
            <v>ACMVOD</v>
          </cell>
          <cell r="AY1003" t="str">
            <v>Multi V O/D</v>
          </cell>
          <cell r="AZ1003" t="str">
            <v>ACMVODMO</v>
          </cell>
          <cell r="BA1003" t="str">
            <v>Multi V_O/D_MINI (S)</v>
          </cell>
        </row>
        <row r="1004">
          <cell r="E1004" t="str">
            <v>ARUN120LLS5.EWGBGLB</v>
          </cell>
          <cell r="F1004">
            <v>4</v>
          </cell>
          <cell r="G1004">
            <v>0</v>
          </cell>
          <cell r="H1004">
            <v>0</v>
          </cell>
          <cell r="I1004">
            <v>5</v>
          </cell>
          <cell r="J1004">
            <v>0</v>
          </cell>
          <cell r="K1004">
            <v>1</v>
          </cell>
          <cell r="L1004">
            <v>0</v>
          </cell>
          <cell r="M1004">
            <v>0</v>
          </cell>
          <cell r="N1004">
            <v>0</v>
          </cell>
          <cell r="O1004">
            <v>4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 t="str">
            <v>CAC</v>
          </cell>
          <cell r="AH1004" t="str">
            <v>CAC</v>
          </cell>
          <cell r="AI1004" t="str">
            <v/>
          </cell>
          <cell r="AJ1004" t="str">
            <v/>
          </cell>
          <cell r="AK1004" t="str">
            <v>1.394592</v>
          </cell>
          <cell r="AL1004" t="str">
            <v>2</v>
          </cell>
          <cell r="AM1004" t="str">
            <v>Q</v>
          </cell>
          <cell r="AN1004" t="str">
            <v>M0</v>
          </cell>
          <cell r="AO1004" t="str">
            <v>Active(Model)</v>
          </cell>
          <cell r="AP1004" t="str">
            <v/>
          </cell>
          <cell r="AQ1004" t="str">
            <v/>
          </cell>
          <cell r="AR1004" t="str">
            <v>Y</v>
          </cell>
          <cell r="AS1004" t="str">
            <v/>
          </cell>
          <cell r="AT1004" t="str">
            <v>AC</v>
          </cell>
          <cell r="AU1004" t="str">
            <v>Airconditioner</v>
          </cell>
          <cell r="AV1004" t="str">
            <v>ACMV</v>
          </cell>
          <cell r="AW1004" t="str">
            <v>Multi V</v>
          </cell>
          <cell r="AX1004" t="str">
            <v>ACMVOD</v>
          </cell>
          <cell r="AY1004" t="str">
            <v>Multi V O/D</v>
          </cell>
          <cell r="AZ1004" t="str">
            <v>ACMVODMI</v>
          </cell>
          <cell r="BA1004" t="str">
            <v>Multi V_O/D_PRO</v>
          </cell>
        </row>
        <row r="1005">
          <cell r="E1005" t="str">
            <v>ARUN120LSS0.AWGBASE</v>
          </cell>
          <cell r="F1005">
            <v>0</v>
          </cell>
          <cell r="G1005">
            <v>0</v>
          </cell>
          <cell r="H1005">
            <v>0</v>
          </cell>
          <cell r="I1005">
            <v>1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 t="str">
            <v>CAC</v>
          </cell>
          <cell r="AH1005" t="str">
            <v>CAC</v>
          </cell>
          <cell r="AI1005" t="str">
            <v/>
          </cell>
          <cell r="AJ1005" t="str">
            <v/>
          </cell>
          <cell r="AK1005" t="str">
            <v>1.090463</v>
          </cell>
          <cell r="AL1005" t="str">
            <v>2</v>
          </cell>
          <cell r="AM1005" t="str">
            <v>Q</v>
          </cell>
          <cell r="AN1005" t="str">
            <v>M0</v>
          </cell>
          <cell r="AO1005" t="str">
            <v>Active(Model)</v>
          </cell>
          <cell r="AP1005" t="str">
            <v/>
          </cell>
          <cell r="AQ1005" t="str">
            <v/>
          </cell>
          <cell r="AR1005" t="str">
            <v>Y</v>
          </cell>
          <cell r="AS1005" t="str">
            <v/>
          </cell>
          <cell r="AT1005" t="str">
            <v>AC</v>
          </cell>
          <cell r="AU1005" t="str">
            <v>Airconditioner</v>
          </cell>
          <cell r="AV1005" t="str">
            <v>ACMV</v>
          </cell>
          <cell r="AW1005" t="str">
            <v>Multi V</v>
          </cell>
          <cell r="AX1005" t="str">
            <v>ACMVOD</v>
          </cell>
          <cell r="AY1005" t="str">
            <v>Multi V O/D</v>
          </cell>
          <cell r="AZ1005" t="str">
            <v>ACMVODMO</v>
          </cell>
          <cell r="BA1005" t="str">
            <v>Multi V_O/D_MINI (S)</v>
          </cell>
        </row>
        <row r="1006">
          <cell r="E1006" t="str">
            <v>ARUN140LLS5.EWGBGLB</v>
          </cell>
          <cell r="F1006">
            <v>0</v>
          </cell>
          <cell r="G1006">
            <v>0</v>
          </cell>
          <cell r="H1006">
            <v>0</v>
          </cell>
          <cell r="I1006">
            <v>7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 t="str">
            <v>CAC</v>
          </cell>
          <cell r="AH1006" t="str">
            <v>CAC</v>
          </cell>
          <cell r="AI1006" t="str">
            <v/>
          </cell>
          <cell r="AJ1006" t="str">
            <v/>
          </cell>
          <cell r="AK1006" t="str">
            <v>1.394592</v>
          </cell>
          <cell r="AL1006" t="str">
            <v>2</v>
          </cell>
          <cell r="AM1006" t="str">
            <v>Q</v>
          </cell>
          <cell r="AN1006" t="str">
            <v>M0</v>
          </cell>
          <cell r="AO1006" t="str">
            <v>Active(Model)</v>
          </cell>
          <cell r="AP1006" t="str">
            <v/>
          </cell>
          <cell r="AQ1006" t="str">
            <v/>
          </cell>
          <cell r="AR1006" t="str">
            <v>Y</v>
          </cell>
          <cell r="AS1006" t="str">
            <v/>
          </cell>
          <cell r="AT1006" t="str">
            <v>AC</v>
          </cell>
          <cell r="AU1006" t="str">
            <v>Airconditioner</v>
          </cell>
          <cell r="AV1006" t="str">
            <v>ACMV</v>
          </cell>
          <cell r="AW1006" t="str">
            <v>Multi V</v>
          </cell>
          <cell r="AX1006" t="str">
            <v>ACMVOD</v>
          </cell>
          <cell r="AY1006" t="str">
            <v>Multi V O/D</v>
          </cell>
          <cell r="AZ1006" t="str">
            <v>ACMVODMI</v>
          </cell>
          <cell r="BA1006" t="str">
            <v>Multi V_O/D_PRO</v>
          </cell>
        </row>
        <row r="1007">
          <cell r="E1007" t="str">
            <v>ARUN160LLS5.EWGBGLB</v>
          </cell>
          <cell r="F1007">
            <v>5</v>
          </cell>
          <cell r="G1007">
            <v>0</v>
          </cell>
          <cell r="H1007">
            <v>0</v>
          </cell>
          <cell r="I1007">
            <v>5</v>
          </cell>
          <cell r="J1007">
            <v>0</v>
          </cell>
          <cell r="K1007">
            <v>3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 t="str">
            <v>CAC</v>
          </cell>
          <cell r="AH1007" t="str">
            <v>CAC</v>
          </cell>
          <cell r="AI1007" t="str">
            <v/>
          </cell>
          <cell r="AJ1007" t="str">
            <v/>
          </cell>
          <cell r="AK1007" t="str">
            <v>1.859456</v>
          </cell>
          <cell r="AL1007" t="str">
            <v>2</v>
          </cell>
          <cell r="AM1007" t="str">
            <v>Q</v>
          </cell>
          <cell r="AN1007" t="str">
            <v>M0</v>
          </cell>
          <cell r="AO1007" t="str">
            <v>Active(Model)</v>
          </cell>
          <cell r="AP1007" t="str">
            <v/>
          </cell>
          <cell r="AQ1007" t="str">
            <v/>
          </cell>
          <cell r="AR1007" t="str">
            <v>Y</v>
          </cell>
          <cell r="AS1007" t="str">
            <v/>
          </cell>
          <cell r="AT1007" t="str">
            <v>AC</v>
          </cell>
          <cell r="AU1007" t="str">
            <v>Airconditioner</v>
          </cell>
          <cell r="AV1007" t="str">
            <v>ACMV</v>
          </cell>
          <cell r="AW1007" t="str">
            <v>Multi V</v>
          </cell>
          <cell r="AX1007" t="str">
            <v>ACMVOD</v>
          </cell>
          <cell r="AY1007" t="str">
            <v>Multi V O/D</v>
          </cell>
          <cell r="AZ1007" t="str">
            <v>ACMVODMI</v>
          </cell>
          <cell r="BA1007" t="str">
            <v>Multi V_O/D_PRO</v>
          </cell>
        </row>
        <row r="1008">
          <cell r="E1008" t="str">
            <v>ARUN180LLS5.EWGBGLB</v>
          </cell>
          <cell r="F1008">
            <v>3</v>
          </cell>
          <cell r="G1008">
            <v>0</v>
          </cell>
          <cell r="H1008">
            <v>0</v>
          </cell>
          <cell r="I1008">
            <v>3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4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 t="str">
            <v>CAC</v>
          </cell>
          <cell r="AH1008" t="str">
            <v>CAC</v>
          </cell>
          <cell r="AI1008" t="str">
            <v/>
          </cell>
          <cell r="AJ1008" t="str">
            <v/>
          </cell>
          <cell r="AK1008" t="str">
            <v>1.859456</v>
          </cell>
          <cell r="AL1008" t="str">
            <v>2</v>
          </cell>
          <cell r="AM1008" t="str">
            <v>Q</v>
          </cell>
          <cell r="AN1008" t="str">
            <v>M0</v>
          </cell>
          <cell r="AO1008" t="str">
            <v>Active(Model)</v>
          </cell>
          <cell r="AP1008" t="str">
            <v/>
          </cell>
          <cell r="AQ1008" t="str">
            <v/>
          </cell>
          <cell r="AR1008" t="str">
            <v>Y</v>
          </cell>
          <cell r="AS1008" t="str">
            <v/>
          </cell>
          <cell r="AT1008" t="str">
            <v>AC</v>
          </cell>
          <cell r="AU1008" t="str">
            <v>Airconditioner</v>
          </cell>
          <cell r="AV1008" t="str">
            <v>ACMV</v>
          </cell>
          <cell r="AW1008" t="str">
            <v>Multi V</v>
          </cell>
          <cell r="AX1008" t="str">
            <v>ACMVOD</v>
          </cell>
          <cell r="AY1008" t="str">
            <v>Multi V O/D</v>
          </cell>
          <cell r="AZ1008" t="str">
            <v>ACMVODMI</v>
          </cell>
          <cell r="BA1008" t="str">
            <v>Multi V_O/D_PRO</v>
          </cell>
        </row>
        <row r="1009">
          <cell r="E1009" t="str">
            <v>ARUN200LLS5.EWGBGLB</v>
          </cell>
          <cell r="F1009">
            <v>7</v>
          </cell>
          <cell r="G1009">
            <v>0</v>
          </cell>
          <cell r="H1009">
            <v>0</v>
          </cell>
          <cell r="I1009">
            <v>9</v>
          </cell>
          <cell r="J1009">
            <v>0</v>
          </cell>
          <cell r="K1009">
            <v>4</v>
          </cell>
          <cell r="L1009">
            <v>2</v>
          </cell>
          <cell r="M1009">
            <v>0</v>
          </cell>
          <cell r="N1009">
            <v>0</v>
          </cell>
          <cell r="O1009">
            <v>2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 t="str">
            <v>CAC</v>
          </cell>
          <cell r="AH1009" t="str">
            <v>CAC</v>
          </cell>
          <cell r="AI1009" t="str">
            <v/>
          </cell>
          <cell r="AJ1009" t="str">
            <v/>
          </cell>
          <cell r="AK1009" t="str">
            <v>1.859456</v>
          </cell>
          <cell r="AL1009" t="str">
            <v>2</v>
          </cell>
          <cell r="AM1009" t="str">
            <v>Q</v>
          </cell>
          <cell r="AN1009" t="str">
            <v>M0</v>
          </cell>
          <cell r="AO1009" t="str">
            <v>Active(Model)</v>
          </cell>
          <cell r="AP1009" t="str">
            <v/>
          </cell>
          <cell r="AQ1009" t="str">
            <v/>
          </cell>
          <cell r="AR1009" t="str">
            <v>Y</v>
          </cell>
          <cell r="AS1009" t="str">
            <v/>
          </cell>
          <cell r="AT1009" t="str">
            <v>AC</v>
          </cell>
          <cell r="AU1009" t="str">
            <v>Airconditioner</v>
          </cell>
          <cell r="AV1009" t="str">
            <v>ACMV</v>
          </cell>
          <cell r="AW1009" t="str">
            <v>Multi V</v>
          </cell>
          <cell r="AX1009" t="str">
            <v>ACMVOD</v>
          </cell>
          <cell r="AY1009" t="str">
            <v>Multi V O/D</v>
          </cell>
          <cell r="AZ1009" t="str">
            <v>ACMVODMI</v>
          </cell>
          <cell r="BA1009" t="str">
            <v>Multi V_O/D_PRO</v>
          </cell>
        </row>
        <row r="1010">
          <cell r="E1010" t="str">
            <v>ARUN200LTE6.EWGBASA</v>
          </cell>
          <cell r="F1010">
            <v>7</v>
          </cell>
          <cell r="G1010">
            <v>0</v>
          </cell>
          <cell r="H1010">
            <v>0</v>
          </cell>
          <cell r="I1010">
            <v>7</v>
          </cell>
          <cell r="J1010">
            <v>0</v>
          </cell>
          <cell r="K1010">
            <v>7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 t="str">
            <v/>
          </cell>
          <cell r="AH1010" t="str">
            <v/>
          </cell>
          <cell r="AI1010" t="str">
            <v/>
          </cell>
          <cell r="AJ1010" t="str">
            <v/>
          </cell>
          <cell r="AK1010" t="str">
            <v>1.973047</v>
          </cell>
          <cell r="AL1010" t="str">
            <v>0</v>
          </cell>
          <cell r="AM1010" t="str">
            <v>Q</v>
          </cell>
          <cell r="AN1010" t="str">
            <v>M0</v>
          </cell>
          <cell r="AO1010" t="str">
            <v>Active(Model)</v>
          </cell>
          <cell r="AP1010" t="str">
            <v/>
          </cell>
          <cell r="AQ1010" t="str">
            <v/>
          </cell>
          <cell r="AR1010" t="str">
            <v>Y</v>
          </cell>
          <cell r="AS1010" t="str">
            <v/>
          </cell>
          <cell r="AT1010" t="str">
            <v>AC</v>
          </cell>
          <cell r="AU1010" t="str">
            <v>Airconditioner</v>
          </cell>
          <cell r="AV1010" t="str">
            <v>ACMV</v>
          </cell>
          <cell r="AW1010" t="str">
            <v>Multi V</v>
          </cell>
          <cell r="AX1010" t="str">
            <v>ACMVOD</v>
          </cell>
          <cell r="AY1010" t="str">
            <v>Multi V O/D</v>
          </cell>
          <cell r="AZ1010" t="str">
            <v>ACMVODMP</v>
          </cell>
          <cell r="BA1010" t="str">
            <v>Multi V_O/D_SUPER/Plus</v>
          </cell>
        </row>
        <row r="1011">
          <cell r="E1011" t="str">
            <v>ARUN220LLS5.EWGBGLB</v>
          </cell>
          <cell r="F1011">
            <v>2</v>
          </cell>
          <cell r="G1011">
            <v>0</v>
          </cell>
          <cell r="H1011">
            <v>0</v>
          </cell>
          <cell r="I1011">
            <v>2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 t="str">
            <v>CAC</v>
          </cell>
          <cell r="AH1011" t="str">
            <v>CAC</v>
          </cell>
          <cell r="AI1011" t="str">
            <v/>
          </cell>
          <cell r="AJ1011" t="str">
            <v/>
          </cell>
          <cell r="AK1011" t="str">
            <v>1.859456</v>
          </cell>
          <cell r="AL1011" t="str">
            <v>2</v>
          </cell>
          <cell r="AM1011" t="str">
            <v>Q</v>
          </cell>
          <cell r="AN1011" t="str">
            <v>M0</v>
          </cell>
          <cell r="AO1011" t="str">
            <v>Active(Model)</v>
          </cell>
          <cell r="AP1011" t="str">
            <v/>
          </cell>
          <cell r="AQ1011" t="str">
            <v/>
          </cell>
          <cell r="AR1011" t="str">
            <v>Y</v>
          </cell>
          <cell r="AS1011" t="str">
            <v/>
          </cell>
          <cell r="AT1011" t="str">
            <v>AC</v>
          </cell>
          <cell r="AU1011" t="str">
            <v>Airconditioner</v>
          </cell>
          <cell r="AV1011" t="str">
            <v>ACMV</v>
          </cell>
          <cell r="AW1011" t="str">
            <v>Multi V</v>
          </cell>
          <cell r="AX1011" t="str">
            <v>ACMVOD</v>
          </cell>
          <cell r="AY1011" t="str">
            <v>Multi V O/D</v>
          </cell>
          <cell r="AZ1011" t="str">
            <v>ACMVODMI</v>
          </cell>
          <cell r="BA1011" t="str">
            <v>Multi V_O/D_PRO</v>
          </cell>
        </row>
        <row r="1012">
          <cell r="E1012" t="str">
            <v>ARUN240LLS5.EWGBGLB</v>
          </cell>
          <cell r="F1012">
            <v>0</v>
          </cell>
          <cell r="G1012">
            <v>0</v>
          </cell>
          <cell r="H1012">
            <v>0</v>
          </cell>
          <cell r="I1012">
            <v>1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1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 t="str">
            <v>CAC</v>
          </cell>
          <cell r="AH1012" t="str">
            <v>CAC</v>
          </cell>
          <cell r="AI1012" t="str">
            <v/>
          </cell>
          <cell r="AJ1012" t="str">
            <v/>
          </cell>
          <cell r="AK1012" t="str">
            <v>1.859456</v>
          </cell>
          <cell r="AL1012" t="str">
            <v>2</v>
          </cell>
          <cell r="AM1012" t="str">
            <v>Q</v>
          </cell>
          <cell r="AN1012" t="str">
            <v>M0</v>
          </cell>
          <cell r="AO1012" t="str">
            <v>Active(Model)</v>
          </cell>
          <cell r="AP1012" t="str">
            <v/>
          </cell>
          <cell r="AQ1012" t="str">
            <v/>
          </cell>
          <cell r="AR1012" t="str">
            <v>Y</v>
          </cell>
          <cell r="AS1012" t="str">
            <v/>
          </cell>
          <cell r="AT1012" t="str">
            <v>AC</v>
          </cell>
          <cell r="AU1012" t="str">
            <v>Airconditioner</v>
          </cell>
          <cell r="AV1012" t="str">
            <v>ACMV</v>
          </cell>
          <cell r="AW1012" t="str">
            <v>Multi V</v>
          </cell>
          <cell r="AX1012" t="str">
            <v>ACMVOD</v>
          </cell>
          <cell r="AY1012" t="str">
            <v>Multi V O/D</v>
          </cell>
          <cell r="AZ1012" t="str">
            <v>ACMVODMI</v>
          </cell>
          <cell r="BA1012" t="str">
            <v>Multi V_O/D_PRO</v>
          </cell>
        </row>
        <row r="1013">
          <cell r="E1013" t="str">
            <v>ARUN260LLS5.EWGBGLB</v>
          </cell>
          <cell r="F1013">
            <v>16</v>
          </cell>
          <cell r="G1013">
            <v>0</v>
          </cell>
          <cell r="H1013">
            <v>0</v>
          </cell>
          <cell r="I1013">
            <v>21</v>
          </cell>
          <cell r="J1013">
            <v>0</v>
          </cell>
          <cell r="K1013">
            <v>1</v>
          </cell>
          <cell r="L1013">
            <v>3</v>
          </cell>
          <cell r="M1013">
            <v>0</v>
          </cell>
          <cell r="N1013">
            <v>0</v>
          </cell>
          <cell r="O1013">
            <v>1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 t="str">
            <v>CAC</v>
          </cell>
          <cell r="AH1013" t="str">
            <v>CAC</v>
          </cell>
          <cell r="AI1013" t="str">
            <v/>
          </cell>
          <cell r="AJ1013" t="str">
            <v/>
          </cell>
          <cell r="AK1013" t="str">
            <v>1.859456</v>
          </cell>
          <cell r="AL1013" t="str">
            <v>2</v>
          </cell>
          <cell r="AM1013" t="str">
            <v>Q</v>
          </cell>
          <cell r="AN1013" t="str">
            <v>M0</v>
          </cell>
          <cell r="AO1013" t="str">
            <v>Active(Model)</v>
          </cell>
          <cell r="AP1013" t="str">
            <v/>
          </cell>
          <cell r="AQ1013" t="str">
            <v/>
          </cell>
          <cell r="AR1013" t="str">
            <v>Y</v>
          </cell>
          <cell r="AS1013" t="str">
            <v/>
          </cell>
          <cell r="AT1013" t="str">
            <v>AC</v>
          </cell>
          <cell r="AU1013" t="str">
            <v>Airconditioner</v>
          </cell>
          <cell r="AV1013" t="str">
            <v>ACMV</v>
          </cell>
          <cell r="AW1013" t="str">
            <v>Multi V</v>
          </cell>
          <cell r="AX1013" t="str">
            <v>ACMVOD</v>
          </cell>
          <cell r="AY1013" t="str">
            <v>Multi V O/D</v>
          </cell>
          <cell r="AZ1013" t="str">
            <v>ACMVODMI</v>
          </cell>
          <cell r="BA1013" t="str">
            <v>Multi V_O/D_PRO</v>
          </cell>
        </row>
        <row r="1014">
          <cell r="E1014" t="str">
            <v>ARUV030GSD5.EWGBASA</v>
          </cell>
          <cell r="F1014">
            <v>0</v>
          </cell>
          <cell r="G1014">
            <v>0</v>
          </cell>
          <cell r="H1014">
            <v>0</v>
          </cell>
          <cell r="I1014">
            <v>2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 t="str">
            <v/>
          </cell>
          <cell r="AH1014" t="str">
            <v/>
          </cell>
          <cell r="AI1014" t="str">
            <v/>
          </cell>
          <cell r="AJ1014" t="str">
            <v/>
          </cell>
          <cell r="AK1014" t="str">
            <v>0.485937</v>
          </cell>
          <cell r="AL1014" t="str">
            <v>1</v>
          </cell>
          <cell r="AM1014" t="str">
            <v>Q</v>
          </cell>
          <cell r="AN1014" t="str">
            <v>M0</v>
          </cell>
          <cell r="AO1014" t="str">
            <v>Active(Model)</v>
          </cell>
          <cell r="AP1014" t="str">
            <v/>
          </cell>
          <cell r="AQ1014" t="str">
            <v/>
          </cell>
          <cell r="AR1014" t="str">
            <v>Y</v>
          </cell>
          <cell r="AS1014" t="str">
            <v/>
          </cell>
          <cell r="AT1014" t="str">
            <v>AC</v>
          </cell>
          <cell r="AU1014" t="str">
            <v>Airconditioner</v>
          </cell>
          <cell r="AV1014" t="str">
            <v>ACMV</v>
          </cell>
          <cell r="AW1014" t="str">
            <v>Multi V</v>
          </cell>
          <cell r="AX1014" t="str">
            <v>ACMVOD</v>
          </cell>
          <cell r="AY1014" t="str">
            <v>Multi V O/D</v>
          </cell>
          <cell r="AZ1014" t="str">
            <v>ACMVODMO</v>
          </cell>
          <cell r="BA1014" t="str">
            <v>Multi V_O/D_MINI (S)</v>
          </cell>
        </row>
        <row r="1015">
          <cell r="E1015" t="str">
            <v>ARUV050GSD5.EWGBASA</v>
          </cell>
          <cell r="F1015">
            <v>0</v>
          </cell>
          <cell r="G1015">
            <v>0</v>
          </cell>
          <cell r="H1015">
            <v>0</v>
          </cell>
          <cell r="I1015">
            <v>2</v>
          </cell>
          <cell r="J1015">
            <v>0</v>
          </cell>
          <cell r="K1015">
            <v>0</v>
          </cell>
          <cell r="L1015">
            <v>2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 t="str">
            <v/>
          </cell>
          <cell r="AH1015" t="str">
            <v/>
          </cell>
          <cell r="AI1015" t="str">
            <v/>
          </cell>
          <cell r="AJ1015" t="str">
            <v/>
          </cell>
          <cell r="AK1015" t="str">
            <v>0.485937</v>
          </cell>
          <cell r="AL1015" t="str">
            <v>0</v>
          </cell>
          <cell r="AM1015" t="str">
            <v>Q</v>
          </cell>
          <cell r="AN1015" t="str">
            <v>M0</v>
          </cell>
          <cell r="AO1015" t="str">
            <v>Active(Model)</v>
          </cell>
          <cell r="AP1015" t="str">
            <v/>
          </cell>
          <cell r="AQ1015" t="str">
            <v/>
          </cell>
          <cell r="AR1015" t="str">
            <v>Y</v>
          </cell>
          <cell r="AS1015" t="str">
            <v/>
          </cell>
          <cell r="AT1015" t="str">
            <v>AC</v>
          </cell>
          <cell r="AU1015" t="str">
            <v>Airconditioner</v>
          </cell>
          <cell r="AV1015" t="str">
            <v>ACMV</v>
          </cell>
          <cell r="AW1015" t="str">
            <v>Multi V</v>
          </cell>
          <cell r="AX1015" t="str">
            <v>ACMVOD</v>
          </cell>
          <cell r="AY1015" t="str">
            <v>Multi V O/D</v>
          </cell>
          <cell r="AZ1015" t="str">
            <v>ACMVODMO</v>
          </cell>
          <cell r="BA1015" t="str">
            <v>Multi V_O/D_MINI (S)</v>
          </cell>
        </row>
        <row r="1016">
          <cell r="E1016" t="str">
            <v>ARUV060GSD5.EWGBASA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 t="str">
            <v/>
          </cell>
          <cell r="AH1016" t="str">
            <v/>
          </cell>
          <cell r="AI1016" t="str">
            <v/>
          </cell>
          <cell r="AJ1016" t="str">
            <v/>
          </cell>
          <cell r="AK1016" t="str">
            <v>0.485937</v>
          </cell>
          <cell r="AL1016" t="str">
            <v>0</v>
          </cell>
          <cell r="AM1016" t="str">
            <v>Q</v>
          </cell>
          <cell r="AN1016" t="str">
            <v>M0</v>
          </cell>
          <cell r="AO1016" t="str">
            <v>Active(Model)</v>
          </cell>
          <cell r="AP1016" t="str">
            <v/>
          </cell>
          <cell r="AQ1016" t="str">
            <v/>
          </cell>
          <cell r="AR1016" t="str">
            <v>Y</v>
          </cell>
          <cell r="AS1016" t="str">
            <v/>
          </cell>
          <cell r="AT1016" t="str">
            <v>AC</v>
          </cell>
          <cell r="AU1016" t="str">
            <v>Airconditioner</v>
          </cell>
          <cell r="AV1016" t="str">
            <v>ACMV</v>
          </cell>
          <cell r="AW1016" t="str">
            <v>Multi V</v>
          </cell>
          <cell r="AX1016" t="str">
            <v>ACMVOD</v>
          </cell>
          <cell r="AY1016" t="str">
            <v>Multi V O/D</v>
          </cell>
          <cell r="AZ1016" t="str">
            <v>ACMVODMO</v>
          </cell>
          <cell r="BA1016" t="str">
            <v>Multi V_O/D_MINI (S)</v>
          </cell>
        </row>
        <row r="1017">
          <cell r="E1017" t="str">
            <v>ARUV081LLS5.EWGTASA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 t="str">
            <v/>
          </cell>
          <cell r="AH1017" t="str">
            <v/>
          </cell>
          <cell r="AI1017" t="str">
            <v/>
          </cell>
          <cell r="AJ1017" t="str">
            <v/>
          </cell>
          <cell r="AK1017" t="str">
            <v>1.382394</v>
          </cell>
          <cell r="AL1017" t="str">
            <v>0</v>
          </cell>
          <cell r="AM1017" t="str">
            <v>Q</v>
          </cell>
          <cell r="AN1017" t="str">
            <v>M0</v>
          </cell>
          <cell r="AO1017" t="str">
            <v>Active(Model)</v>
          </cell>
          <cell r="AP1017" t="str">
            <v/>
          </cell>
          <cell r="AQ1017" t="str">
            <v/>
          </cell>
          <cell r="AR1017" t="str">
            <v>Y</v>
          </cell>
          <cell r="AS1017" t="str">
            <v/>
          </cell>
          <cell r="AT1017" t="str">
            <v>AC</v>
          </cell>
          <cell r="AU1017" t="str">
            <v>Airconditioner</v>
          </cell>
          <cell r="AV1017" t="str">
            <v>ACMV</v>
          </cell>
          <cell r="AW1017" t="str">
            <v>Multi V</v>
          </cell>
          <cell r="AX1017" t="str">
            <v>ACMVOD</v>
          </cell>
          <cell r="AY1017" t="str">
            <v>Multi V O/D</v>
          </cell>
          <cell r="AZ1017" t="str">
            <v>ACMVODMI</v>
          </cell>
          <cell r="BA1017" t="str">
            <v>Multi V_O/D_PRO</v>
          </cell>
        </row>
        <row r="1018">
          <cell r="E1018" t="str">
            <v>ARUV101LLS5.EWGTASA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 t="str">
            <v/>
          </cell>
          <cell r="AH1018" t="str">
            <v/>
          </cell>
          <cell r="AI1018" t="str">
            <v/>
          </cell>
          <cell r="AJ1018" t="str">
            <v/>
          </cell>
          <cell r="AK1018" t="str">
            <v>1.382394</v>
          </cell>
          <cell r="AL1018" t="str">
            <v>0</v>
          </cell>
          <cell r="AM1018" t="str">
            <v>Q</v>
          </cell>
          <cell r="AN1018" t="str">
            <v>M0</v>
          </cell>
          <cell r="AO1018" t="str">
            <v>Active(Model)</v>
          </cell>
          <cell r="AP1018" t="str">
            <v/>
          </cell>
          <cell r="AQ1018" t="str">
            <v/>
          </cell>
          <cell r="AR1018" t="str">
            <v>Y</v>
          </cell>
          <cell r="AS1018" t="str">
            <v/>
          </cell>
          <cell r="AT1018" t="str">
            <v>AC</v>
          </cell>
          <cell r="AU1018" t="str">
            <v>Airconditioner</v>
          </cell>
          <cell r="AV1018" t="str">
            <v>ACMV</v>
          </cell>
          <cell r="AW1018" t="str">
            <v>Multi V</v>
          </cell>
          <cell r="AX1018" t="str">
            <v>ACMVOD</v>
          </cell>
          <cell r="AY1018" t="str">
            <v>Multi V O/D</v>
          </cell>
          <cell r="AZ1018" t="str">
            <v>ACMVODMI</v>
          </cell>
          <cell r="BA1018" t="str">
            <v>Multi V_O/D_PRO</v>
          </cell>
        </row>
        <row r="1019">
          <cell r="E1019" t="str">
            <v>ARUV121LLS5.EWGTASA</v>
          </cell>
          <cell r="F1019">
            <v>0</v>
          </cell>
          <cell r="G1019">
            <v>0</v>
          </cell>
          <cell r="H1019">
            <v>0</v>
          </cell>
          <cell r="I1019">
            <v>4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 t="str">
            <v/>
          </cell>
          <cell r="AH1019" t="str">
            <v/>
          </cell>
          <cell r="AI1019" t="str">
            <v/>
          </cell>
          <cell r="AJ1019" t="str">
            <v/>
          </cell>
          <cell r="AK1019" t="str">
            <v>1.382394</v>
          </cell>
          <cell r="AL1019" t="str">
            <v>0</v>
          </cell>
          <cell r="AM1019" t="str">
            <v>Q</v>
          </cell>
          <cell r="AN1019" t="str">
            <v>M0</v>
          </cell>
          <cell r="AO1019" t="str">
            <v>Active(Model)</v>
          </cell>
          <cell r="AP1019" t="str">
            <v/>
          </cell>
          <cell r="AQ1019" t="str">
            <v/>
          </cell>
          <cell r="AR1019" t="str">
            <v>Y</v>
          </cell>
          <cell r="AS1019" t="str">
            <v/>
          </cell>
          <cell r="AT1019" t="str">
            <v>AC</v>
          </cell>
          <cell r="AU1019" t="str">
            <v>Airconditioner</v>
          </cell>
          <cell r="AV1019" t="str">
            <v>ACMV</v>
          </cell>
          <cell r="AW1019" t="str">
            <v>Multi V</v>
          </cell>
          <cell r="AX1019" t="str">
            <v>ACMVOD</v>
          </cell>
          <cell r="AY1019" t="str">
            <v>Multi V O/D</v>
          </cell>
          <cell r="AZ1019" t="str">
            <v>ACMVODMI</v>
          </cell>
          <cell r="BA1019" t="str">
            <v>Multi V_O/D_PRO</v>
          </cell>
        </row>
        <row r="1020">
          <cell r="E1020" t="str">
            <v>ARUV141LLS5.EWGTASA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 t="str">
            <v/>
          </cell>
          <cell r="AH1020" t="str">
            <v/>
          </cell>
          <cell r="AI1020" t="str">
            <v/>
          </cell>
          <cell r="AJ1020" t="str">
            <v/>
          </cell>
          <cell r="AK1020" t="str">
            <v>1.382394</v>
          </cell>
          <cell r="AL1020" t="str">
            <v>0</v>
          </cell>
          <cell r="AM1020" t="str">
            <v>Q</v>
          </cell>
          <cell r="AN1020" t="str">
            <v>M0</v>
          </cell>
          <cell r="AO1020" t="str">
            <v>Active(Model)</v>
          </cell>
          <cell r="AP1020" t="str">
            <v/>
          </cell>
          <cell r="AQ1020" t="str">
            <v/>
          </cell>
          <cell r="AR1020" t="str">
            <v>Y</v>
          </cell>
          <cell r="AS1020" t="str">
            <v/>
          </cell>
          <cell r="AT1020" t="str">
            <v>AC</v>
          </cell>
          <cell r="AU1020" t="str">
            <v>Airconditioner</v>
          </cell>
          <cell r="AV1020" t="str">
            <v>ACMV</v>
          </cell>
          <cell r="AW1020" t="str">
            <v>Multi V</v>
          </cell>
          <cell r="AX1020" t="str">
            <v>ACMVOD</v>
          </cell>
          <cell r="AY1020" t="str">
            <v>Multi V O/D</v>
          </cell>
          <cell r="AZ1020" t="str">
            <v>ACMVODMI</v>
          </cell>
          <cell r="BA1020" t="str">
            <v>Multi V_O/D_PRO</v>
          </cell>
        </row>
        <row r="1021">
          <cell r="E1021" t="str">
            <v>ARUV161LLS5.EWGTASA</v>
          </cell>
          <cell r="F1021">
            <v>0</v>
          </cell>
          <cell r="G1021">
            <v>0</v>
          </cell>
          <cell r="H1021">
            <v>0</v>
          </cell>
          <cell r="I1021">
            <v>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 t="str">
            <v/>
          </cell>
          <cell r="AH1021" t="str">
            <v/>
          </cell>
          <cell r="AI1021" t="str">
            <v/>
          </cell>
          <cell r="AJ1021" t="str">
            <v/>
          </cell>
          <cell r="AK1021" t="str">
            <v>1.854784</v>
          </cell>
          <cell r="AL1021" t="str">
            <v>0</v>
          </cell>
          <cell r="AM1021" t="str">
            <v>Q</v>
          </cell>
          <cell r="AN1021" t="str">
            <v>M0</v>
          </cell>
          <cell r="AO1021" t="str">
            <v>Active(Model)</v>
          </cell>
          <cell r="AP1021" t="str">
            <v/>
          </cell>
          <cell r="AQ1021" t="str">
            <v/>
          </cell>
          <cell r="AR1021" t="str">
            <v>Y</v>
          </cell>
          <cell r="AS1021" t="str">
            <v/>
          </cell>
          <cell r="AT1021" t="str">
            <v>AC</v>
          </cell>
          <cell r="AU1021" t="str">
            <v>Airconditioner</v>
          </cell>
          <cell r="AV1021" t="str">
            <v>ACMV</v>
          </cell>
          <cell r="AW1021" t="str">
            <v>Multi V</v>
          </cell>
          <cell r="AX1021" t="str">
            <v>ACMVOD</v>
          </cell>
          <cell r="AY1021" t="str">
            <v>Multi V O/D</v>
          </cell>
          <cell r="AZ1021" t="str">
            <v>ACMVODMI</v>
          </cell>
          <cell r="BA1021" t="str">
            <v>Multi V_O/D_PRO</v>
          </cell>
        </row>
        <row r="1022">
          <cell r="E1022" t="str">
            <v>ARUV181LLS5.EWGTASA</v>
          </cell>
          <cell r="F1022">
            <v>0</v>
          </cell>
          <cell r="G1022">
            <v>0</v>
          </cell>
          <cell r="H1022">
            <v>0</v>
          </cell>
          <cell r="I1022">
            <v>1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 t="str">
            <v/>
          </cell>
          <cell r="AH1022" t="str">
            <v/>
          </cell>
          <cell r="AI1022" t="str">
            <v/>
          </cell>
          <cell r="AJ1022" t="str">
            <v/>
          </cell>
          <cell r="AK1022" t="str">
            <v>1.854784</v>
          </cell>
          <cell r="AL1022" t="str">
            <v>0</v>
          </cell>
          <cell r="AM1022" t="str">
            <v>Q</v>
          </cell>
          <cell r="AN1022" t="str">
            <v>M0</v>
          </cell>
          <cell r="AO1022" t="str">
            <v>Active(Model)</v>
          </cell>
          <cell r="AP1022" t="str">
            <v/>
          </cell>
          <cell r="AQ1022" t="str">
            <v/>
          </cell>
          <cell r="AR1022" t="str">
            <v>Y</v>
          </cell>
          <cell r="AS1022" t="str">
            <v/>
          </cell>
          <cell r="AT1022" t="str">
            <v>AC</v>
          </cell>
          <cell r="AU1022" t="str">
            <v>Airconditioner</v>
          </cell>
          <cell r="AV1022" t="str">
            <v>ACMV</v>
          </cell>
          <cell r="AW1022" t="str">
            <v>Multi V</v>
          </cell>
          <cell r="AX1022" t="str">
            <v>ACMVOD</v>
          </cell>
          <cell r="AY1022" t="str">
            <v>Multi V O/D</v>
          </cell>
          <cell r="AZ1022" t="str">
            <v>ACMVODMI</v>
          </cell>
          <cell r="BA1022" t="str">
            <v>Multi V_O/D_PRO</v>
          </cell>
        </row>
        <row r="1023">
          <cell r="E1023" t="str">
            <v>ARUV201LLS5.EWGTASA</v>
          </cell>
          <cell r="F1023">
            <v>2</v>
          </cell>
          <cell r="G1023">
            <v>0</v>
          </cell>
          <cell r="H1023">
            <v>0</v>
          </cell>
          <cell r="I1023">
            <v>3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 t="str">
            <v/>
          </cell>
          <cell r="AH1023" t="str">
            <v/>
          </cell>
          <cell r="AI1023" t="str">
            <v/>
          </cell>
          <cell r="AJ1023" t="str">
            <v/>
          </cell>
          <cell r="AK1023" t="str">
            <v>1.854784</v>
          </cell>
          <cell r="AL1023" t="str">
            <v>0</v>
          </cell>
          <cell r="AM1023" t="str">
            <v>Q</v>
          </cell>
          <cell r="AN1023" t="str">
            <v>M0</v>
          </cell>
          <cell r="AO1023" t="str">
            <v>Active(Model)</v>
          </cell>
          <cell r="AP1023" t="str">
            <v/>
          </cell>
          <cell r="AQ1023" t="str">
            <v/>
          </cell>
          <cell r="AR1023" t="str">
            <v>Y</v>
          </cell>
          <cell r="AS1023" t="str">
            <v/>
          </cell>
          <cell r="AT1023" t="str">
            <v>AC</v>
          </cell>
          <cell r="AU1023" t="str">
            <v>Airconditioner</v>
          </cell>
          <cell r="AV1023" t="str">
            <v>ACMV</v>
          </cell>
          <cell r="AW1023" t="str">
            <v>Multi V</v>
          </cell>
          <cell r="AX1023" t="str">
            <v>ACMVOD</v>
          </cell>
          <cell r="AY1023" t="str">
            <v>Multi V O/D</v>
          </cell>
          <cell r="AZ1023" t="str">
            <v>ACMVODMI</v>
          </cell>
          <cell r="BA1023" t="str">
            <v>Multi V_O/D_PRO</v>
          </cell>
        </row>
        <row r="1024">
          <cell r="E1024" t="str">
            <v>ARUV221LLS5.EWGTASA</v>
          </cell>
          <cell r="F1024">
            <v>0</v>
          </cell>
          <cell r="G1024">
            <v>0</v>
          </cell>
          <cell r="H1024">
            <v>0</v>
          </cell>
          <cell r="I1024">
            <v>1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1</v>
          </cell>
          <cell r="O1024">
            <v>0</v>
          </cell>
          <cell r="P1024">
            <v>1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 t="str">
            <v/>
          </cell>
          <cell r="AH1024" t="str">
            <v/>
          </cell>
          <cell r="AI1024" t="str">
            <v/>
          </cell>
          <cell r="AJ1024" t="str">
            <v/>
          </cell>
          <cell r="AK1024" t="str">
            <v>1.854784</v>
          </cell>
          <cell r="AL1024" t="str">
            <v>0</v>
          </cell>
          <cell r="AM1024" t="str">
            <v>Q</v>
          </cell>
          <cell r="AN1024" t="str">
            <v>M0</v>
          </cell>
          <cell r="AO1024" t="str">
            <v>Active(Model)</v>
          </cell>
          <cell r="AP1024" t="str">
            <v/>
          </cell>
          <cell r="AQ1024" t="str">
            <v/>
          </cell>
          <cell r="AR1024" t="str">
            <v>Y</v>
          </cell>
          <cell r="AS1024" t="str">
            <v/>
          </cell>
          <cell r="AT1024" t="str">
            <v>AC</v>
          </cell>
          <cell r="AU1024" t="str">
            <v>Airconditioner</v>
          </cell>
          <cell r="AV1024" t="str">
            <v>ACMV</v>
          </cell>
          <cell r="AW1024" t="str">
            <v>Multi V</v>
          </cell>
          <cell r="AX1024" t="str">
            <v>ACMVOD</v>
          </cell>
          <cell r="AY1024" t="str">
            <v>Multi V O/D</v>
          </cell>
          <cell r="AZ1024" t="str">
            <v>ACMVODMI</v>
          </cell>
          <cell r="BA1024" t="str">
            <v>Multi V_O/D_PRO</v>
          </cell>
        </row>
        <row r="1025">
          <cell r="E1025" t="str">
            <v>ARUV241LLS5.EWGTASA</v>
          </cell>
          <cell r="F1025">
            <v>2</v>
          </cell>
          <cell r="G1025">
            <v>0</v>
          </cell>
          <cell r="H1025">
            <v>0</v>
          </cell>
          <cell r="I1025">
            <v>4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 t="str">
            <v/>
          </cell>
          <cell r="AH1025" t="str">
            <v/>
          </cell>
          <cell r="AI1025" t="str">
            <v/>
          </cell>
          <cell r="AJ1025" t="str">
            <v/>
          </cell>
          <cell r="AK1025" t="str">
            <v>1.854784</v>
          </cell>
          <cell r="AL1025" t="str">
            <v>0</v>
          </cell>
          <cell r="AM1025" t="str">
            <v>Q</v>
          </cell>
          <cell r="AN1025" t="str">
            <v>M0</v>
          </cell>
          <cell r="AO1025" t="str">
            <v>Active(Model)</v>
          </cell>
          <cell r="AP1025" t="str">
            <v/>
          </cell>
          <cell r="AQ1025" t="str">
            <v/>
          </cell>
          <cell r="AR1025" t="str">
            <v>Y</v>
          </cell>
          <cell r="AS1025" t="str">
            <v/>
          </cell>
          <cell r="AT1025" t="str">
            <v>AC</v>
          </cell>
          <cell r="AU1025" t="str">
            <v>Airconditioner</v>
          </cell>
          <cell r="AV1025" t="str">
            <v>ACMV</v>
          </cell>
          <cell r="AW1025" t="str">
            <v>Multi V</v>
          </cell>
          <cell r="AX1025" t="str">
            <v>ACMVOD</v>
          </cell>
          <cell r="AY1025" t="str">
            <v>Multi V O/D</v>
          </cell>
          <cell r="AZ1025" t="str">
            <v>ACMVODMI</v>
          </cell>
          <cell r="BA1025" t="str">
            <v>Multi V_O/D_PRO</v>
          </cell>
        </row>
        <row r="1026">
          <cell r="E1026" t="str">
            <v>ARUV261LLS5.EWGTASA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2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 t="str">
            <v/>
          </cell>
          <cell r="AH1026" t="str">
            <v/>
          </cell>
          <cell r="AI1026" t="str">
            <v/>
          </cell>
          <cell r="AJ1026" t="str">
            <v/>
          </cell>
          <cell r="AK1026" t="str">
            <v>1.854784</v>
          </cell>
          <cell r="AL1026" t="str">
            <v>0</v>
          </cell>
          <cell r="AM1026" t="str">
            <v>Q</v>
          </cell>
          <cell r="AN1026" t="str">
            <v>M0</v>
          </cell>
          <cell r="AO1026" t="str">
            <v>Active(Model)</v>
          </cell>
          <cell r="AP1026" t="str">
            <v/>
          </cell>
          <cell r="AQ1026" t="str">
            <v/>
          </cell>
          <cell r="AR1026" t="str">
            <v>Y</v>
          </cell>
          <cell r="AS1026" t="str">
            <v/>
          </cell>
          <cell r="AT1026" t="str">
            <v>AC</v>
          </cell>
          <cell r="AU1026" t="str">
            <v>Airconditioner</v>
          </cell>
          <cell r="AV1026" t="str">
            <v>ACMV</v>
          </cell>
          <cell r="AW1026" t="str">
            <v>Multi V</v>
          </cell>
          <cell r="AX1026" t="str">
            <v>ACMVOD</v>
          </cell>
          <cell r="AY1026" t="str">
            <v>Multi V O/D</v>
          </cell>
          <cell r="AZ1026" t="str">
            <v>ACMVODMI</v>
          </cell>
          <cell r="BA1026" t="str">
            <v>Multi V_O/D_PRO</v>
          </cell>
        </row>
        <row r="1027">
          <cell r="E1027" t="str">
            <v>AS10GDBY0.ABAE</v>
          </cell>
          <cell r="F1027">
            <v>140</v>
          </cell>
          <cell r="G1027">
            <v>0</v>
          </cell>
          <cell r="H1027">
            <v>0</v>
          </cell>
          <cell r="I1027">
            <v>191</v>
          </cell>
          <cell r="J1027">
            <v>0</v>
          </cell>
          <cell r="K1027">
            <v>0</v>
          </cell>
          <cell r="L1027">
            <v>0</v>
          </cell>
          <cell r="M1027">
            <v>4</v>
          </cell>
          <cell r="N1027">
            <v>5</v>
          </cell>
          <cell r="O1027">
            <v>13</v>
          </cell>
          <cell r="P1027">
            <v>9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15</v>
          </cell>
          <cell r="AF1027">
            <v>0</v>
          </cell>
          <cell r="AG1027" t="str">
            <v/>
          </cell>
          <cell r="AH1027" t="str">
            <v/>
          </cell>
          <cell r="AI1027" t="str">
            <v/>
          </cell>
          <cell r="AJ1027" t="str">
            <v/>
          </cell>
          <cell r="AK1027" t="str">
            <v>0.241988</v>
          </cell>
          <cell r="AL1027" t="str">
            <v>0</v>
          </cell>
          <cell r="AM1027" t="str">
            <v>Q</v>
          </cell>
          <cell r="AN1027" t="str">
            <v>M0</v>
          </cell>
          <cell r="AO1027" t="str">
            <v>Active(Model)</v>
          </cell>
          <cell r="AP1027" t="str">
            <v/>
          </cell>
          <cell r="AQ1027" t="str">
            <v/>
          </cell>
          <cell r="AR1027" t="str">
            <v>Y</v>
          </cell>
          <cell r="AS1027" t="str">
            <v/>
          </cell>
          <cell r="AT1027" t="str">
            <v>HC</v>
          </cell>
          <cell r="AU1027" t="str">
            <v>Healthcare</v>
          </cell>
          <cell r="AV1027" t="str">
            <v>HCWC</v>
          </cell>
          <cell r="AW1027" t="str">
            <v>Wellness care</v>
          </cell>
          <cell r="AX1027" t="str">
            <v>HCWCAS</v>
          </cell>
          <cell r="AY1027" t="str">
            <v>Air Solution</v>
          </cell>
          <cell r="AZ1027" t="str">
            <v>HCWCASAC</v>
          </cell>
          <cell r="BA1027" t="str">
            <v>Air Cleaner</v>
          </cell>
        </row>
        <row r="1028">
          <cell r="E1028" t="str">
            <v>AS10GDWH0.ABAE</v>
          </cell>
          <cell r="F1028">
            <v>82</v>
          </cell>
          <cell r="G1028">
            <v>0</v>
          </cell>
          <cell r="H1028">
            <v>0</v>
          </cell>
          <cell r="I1028">
            <v>300</v>
          </cell>
          <cell r="J1028">
            <v>0</v>
          </cell>
          <cell r="K1028">
            <v>0</v>
          </cell>
          <cell r="L1028">
            <v>0</v>
          </cell>
          <cell r="M1028">
            <v>200</v>
          </cell>
          <cell r="N1028">
            <v>0</v>
          </cell>
          <cell r="O1028">
            <v>0</v>
          </cell>
          <cell r="P1028">
            <v>200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 t="str">
            <v>RACPREMIUM</v>
          </cell>
          <cell r="AH1028" t="str">
            <v>RAC_Premium</v>
          </cell>
          <cell r="AI1028" t="str">
            <v/>
          </cell>
          <cell r="AJ1028" t="str">
            <v/>
          </cell>
          <cell r="AK1028" t="str">
            <v>0.215177</v>
          </cell>
          <cell r="AL1028" t="str">
            <v>0</v>
          </cell>
          <cell r="AM1028" t="str">
            <v>Q</v>
          </cell>
          <cell r="AN1028" t="str">
            <v>M0</v>
          </cell>
          <cell r="AO1028" t="str">
            <v>Active(Model)</v>
          </cell>
          <cell r="AP1028" t="str">
            <v/>
          </cell>
          <cell r="AQ1028" t="str">
            <v/>
          </cell>
          <cell r="AR1028" t="str">
            <v>Y</v>
          </cell>
          <cell r="AS1028" t="str">
            <v/>
          </cell>
          <cell r="AT1028" t="str">
            <v>HC</v>
          </cell>
          <cell r="AU1028" t="str">
            <v>Healthcare</v>
          </cell>
          <cell r="AV1028" t="str">
            <v>HCWC</v>
          </cell>
          <cell r="AW1028" t="str">
            <v>Wellness care</v>
          </cell>
          <cell r="AX1028" t="str">
            <v>HCWCAS</v>
          </cell>
          <cell r="AY1028" t="str">
            <v>Air Solution</v>
          </cell>
          <cell r="AZ1028" t="str">
            <v>HCWCASAC</v>
          </cell>
          <cell r="BA1028" t="str">
            <v>Air Cleaner</v>
          </cell>
        </row>
        <row r="1029">
          <cell r="E1029" t="str">
            <v>AS20GPWU0.ABAE</v>
          </cell>
          <cell r="F1029">
            <v>9</v>
          </cell>
          <cell r="G1029">
            <v>0</v>
          </cell>
          <cell r="H1029">
            <v>0</v>
          </cell>
          <cell r="I1029">
            <v>18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10</v>
          </cell>
          <cell r="AF1029">
            <v>0</v>
          </cell>
          <cell r="AG1029" t="str">
            <v/>
          </cell>
          <cell r="AH1029" t="str">
            <v/>
          </cell>
          <cell r="AI1029" t="str">
            <v/>
          </cell>
          <cell r="AJ1029" t="str">
            <v/>
          </cell>
          <cell r="AK1029" t="str">
            <v>0.130270</v>
          </cell>
          <cell r="AL1029" t="str">
            <v>0</v>
          </cell>
          <cell r="AM1029" t="str">
            <v>Q</v>
          </cell>
          <cell r="AN1029" t="str">
            <v>M0</v>
          </cell>
          <cell r="AO1029" t="str">
            <v>Active(Model)</v>
          </cell>
          <cell r="AP1029" t="str">
            <v/>
          </cell>
          <cell r="AQ1029" t="str">
            <v/>
          </cell>
          <cell r="AR1029" t="str">
            <v>Y</v>
          </cell>
          <cell r="AS1029" t="str">
            <v/>
          </cell>
          <cell r="AT1029" t="str">
            <v>HC</v>
          </cell>
          <cell r="AU1029" t="str">
            <v>Healthcare</v>
          </cell>
          <cell r="AV1029" t="str">
            <v>HCWC</v>
          </cell>
          <cell r="AW1029" t="str">
            <v>Wellness care</v>
          </cell>
          <cell r="AX1029" t="str">
            <v>HCWCAS</v>
          </cell>
          <cell r="AY1029" t="str">
            <v>Air Solution</v>
          </cell>
          <cell r="AZ1029" t="str">
            <v>HCWCASAC</v>
          </cell>
          <cell r="BA1029" t="str">
            <v>Air Cleaner</v>
          </cell>
        </row>
        <row r="1030">
          <cell r="E1030" t="str">
            <v>AS20GSHU0.ABAE</v>
          </cell>
          <cell r="F1030">
            <v>6</v>
          </cell>
          <cell r="G1030">
            <v>0</v>
          </cell>
          <cell r="H1030">
            <v>0</v>
          </cell>
          <cell r="I1030">
            <v>15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5</v>
          </cell>
          <cell r="AF1030">
            <v>0</v>
          </cell>
          <cell r="AG1030" t="str">
            <v/>
          </cell>
          <cell r="AH1030" t="str">
            <v/>
          </cell>
          <cell r="AI1030" t="str">
            <v/>
          </cell>
          <cell r="AJ1030" t="str">
            <v/>
          </cell>
          <cell r="AK1030" t="str">
            <v>0.154991</v>
          </cell>
          <cell r="AL1030" t="str">
            <v>0</v>
          </cell>
          <cell r="AM1030" t="str">
            <v>Q</v>
          </cell>
          <cell r="AN1030" t="str">
            <v>M0</v>
          </cell>
          <cell r="AO1030" t="str">
            <v>Active(Model)</v>
          </cell>
          <cell r="AP1030" t="str">
            <v/>
          </cell>
          <cell r="AQ1030" t="str">
            <v/>
          </cell>
          <cell r="AR1030" t="str">
            <v>Y</v>
          </cell>
          <cell r="AS1030" t="str">
            <v/>
          </cell>
          <cell r="AT1030" t="str">
            <v>HC</v>
          </cell>
          <cell r="AU1030" t="str">
            <v>Healthcare</v>
          </cell>
          <cell r="AV1030" t="str">
            <v>HCWC</v>
          </cell>
          <cell r="AW1030" t="str">
            <v>Wellness care</v>
          </cell>
          <cell r="AX1030" t="str">
            <v>HCWCAS</v>
          </cell>
          <cell r="AY1030" t="str">
            <v>Air Solution</v>
          </cell>
          <cell r="AZ1030" t="str">
            <v>HCWCASAC</v>
          </cell>
          <cell r="BA1030" t="str">
            <v>Air Cleaner</v>
          </cell>
        </row>
        <row r="1031">
          <cell r="E1031" t="str">
            <v>AS30GGG1A.ABAE</v>
          </cell>
          <cell r="F1031">
            <v>44</v>
          </cell>
          <cell r="G1031">
            <v>0</v>
          </cell>
          <cell r="H1031">
            <v>0</v>
          </cell>
          <cell r="I1031">
            <v>66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 t="str">
            <v/>
          </cell>
          <cell r="AH1031" t="str">
            <v/>
          </cell>
          <cell r="AI1031" t="str">
            <v/>
          </cell>
          <cell r="AJ1031" t="str">
            <v/>
          </cell>
          <cell r="AK1031" t="str">
            <v>0.040843</v>
          </cell>
          <cell r="AL1031" t="str">
            <v>0</v>
          </cell>
          <cell r="AM1031" t="str">
            <v>Q</v>
          </cell>
          <cell r="AN1031" t="str">
            <v>M0</v>
          </cell>
          <cell r="AO1031" t="str">
            <v>Active(Model)</v>
          </cell>
          <cell r="AP1031" t="str">
            <v/>
          </cell>
          <cell r="AQ1031" t="str">
            <v/>
          </cell>
          <cell r="AR1031" t="str">
            <v>Y</v>
          </cell>
          <cell r="AS1031" t="str">
            <v/>
          </cell>
          <cell r="AT1031" t="str">
            <v>HC</v>
          </cell>
          <cell r="AU1031" t="str">
            <v>Healthcare</v>
          </cell>
          <cell r="AV1031" t="str">
            <v>HCWC</v>
          </cell>
          <cell r="AW1031" t="str">
            <v>Wellness care</v>
          </cell>
          <cell r="AX1031" t="str">
            <v>HCWCAS</v>
          </cell>
          <cell r="AY1031" t="str">
            <v>Air Solution</v>
          </cell>
          <cell r="AZ1031" t="str">
            <v>HCWCASCO</v>
          </cell>
          <cell r="BA1031" t="str">
            <v>Air Cleaner_ODM</v>
          </cell>
        </row>
        <row r="1032">
          <cell r="E1032" t="str">
            <v>AS30GGW1A.ABAE</v>
          </cell>
          <cell r="F1032">
            <v>274</v>
          </cell>
          <cell r="G1032">
            <v>0</v>
          </cell>
          <cell r="H1032">
            <v>0</v>
          </cell>
          <cell r="I1032">
            <v>289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 t="str">
            <v/>
          </cell>
          <cell r="AH1032" t="str">
            <v/>
          </cell>
          <cell r="AI1032" t="str">
            <v/>
          </cell>
          <cell r="AJ1032" t="str">
            <v/>
          </cell>
          <cell r="AK1032" t="str">
            <v>0.040843</v>
          </cell>
          <cell r="AL1032" t="str">
            <v>0</v>
          </cell>
          <cell r="AM1032" t="str">
            <v>Q</v>
          </cell>
          <cell r="AN1032" t="str">
            <v>M0</v>
          </cell>
          <cell r="AO1032" t="str">
            <v>Active(Model)</v>
          </cell>
          <cell r="AP1032" t="str">
            <v/>
          </cell>
          <cell r="AQ1032" t="str">
            <v/>
          </cell>
          <cell r="AR1032" t="str">
            <v>Y</v>
          </cell>
          <cell r="AS1032" t="str">
            <v/>
          </cell>
          <cell r="AT1032" t="str">
            <v>HC</v>
          </cell>
          <cell r="AU1032" t="str">
            <v>Healthcare</v>
          </cell>
          <cell r="AV1032" t="str">
            <v>HCWC</v>
          </cell>
          <cell r="AW1032" t="str">
            <v>Wellness care</v>
          </cell>
          <cell r="AX1032" t="str">
            <v>HCWCAS</v>
          </cell>
          <cell r="AY1032" t="str">
            <v>Air Solution</v>
          </cell>
          <cell r="AZ1032" t="str">
            <v>HCWCASCO</v>
          </cell>
          <cell r="BA1032" t="str">
            <v>Air Cleaner_ODM</v>
          </cell>
        </row>
        <row r="1033">
          <cell r="E1033" t="str">
            <v>AS35GGW10.ABAE</v>
          </cell>
          <cell r="F1033">
            <v>313</v>
          </cell>
          <cell r="G1033">
            <v>0</v>
          </cell>
          <cell r="H1033">
            <v>0</v>
          </cell>
          <cell r="I1033">
            <v>339</v>
          </cell>
          <cell r="J1033">
            <v>5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1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1</v>
          </cell>
          <cell r="AE1033">
            <v>6</v>
          </cell>
          <cell r="AF1033">
            <v>1</v>
          </cell>
          <cell r="AG1033" t="str">
            <v/>
          </cell>
          <cell r="AH1033" t="str">
            <v/>
          </cell>
          <cell r="AI1033" t="str">
            <v/>
          </cell>
          <cell r="AJ1033" t="str">
            <v/>
          </cell>
          <cell r="AK1033" t="str">
            <v>0.053700</v>
          </cell>
          <cell r="AL1033" t="str">
            <v>0</v>
          </cell>
          <cell r="AM1033" t="str">
            <v>Q</v>
          </cell>
          <cell r="AN1033" t="str">
            <v>M0</v>
          </cell>
          <cell r="AO1033" t="str">
            <v>Active(Model)</v>
          </cell>
          <cell r="AP1033" t="str">
            <v/>
          </cell>
          <cell r="AQ1033" t="str">
            <v/>
          </cell>
          <cell r="AR1033" t="str">
            <v>Y</v>
          </cell>
          <cell r="AS1033" t="str">
            <v/>
          </cell>
          <cell r="AT1033" t="str">
            <v>HC</v>
          </cell>
          <cell r="AU1033" t="str">
            <v>Healthcare</v>
          </cell>
          <cell r="AV1033" t="str">
            <v>HCWC</v>
          </cell>
          <cell r="AW1033" t="str">
            <v>Wellness care</v>
          </cell>
          <cell r="AX1033" t="str">
            <v>HCWCAS</v>
          </cell>
          <cell r="AY1033" t="str">
            <v>Air Solution</v>
          </cell>
          <cell r="AZ1033" t="str">
            <v>HCWCASAC</v>
          </cell>
          <cell r="BA1033" t="str">
            <v>Air Cleaner</v>
          </cell>
        </row>
        <row r="1034">
          <cell r="E1034" t="str">
            <v>AS55GGSY0.ABAE</v>
          </cell>
          <cell r="F1034">
            <v>0</v>
          </cell>
          <cell r="G1034">
            <v>0</v>
          </cell>
          <cell r="H1034">
            <v>0</v>
          </cell>
          <cell r="I1034">
            <v>2</v>
          </cell>
          <cell r="J1034">
            <v>0</v>
          </cell>
          <cell r="K1034">
            <v>45</v>
          </cell>
          <cell r="L1034">
            <v>0</v>
          </cell>
          <cell r="M1034">
            <v>1</v>
          </cell>
          <cell r="N1034">
            <v>0</v>
          </cell>
          <cell r="O1034">
            <v>0</v>
          </cell>
          <cell r="P1034">
            <v>1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 t="str">
            <v/>
          </cell>
          <cell r="AH1034" t="str">
            <v/>
          </cell>
          <cell r="AI1034" t="str">
            <v/>
          </cell>
          <cell r="AJ1034" t="str">
            <v/>
          </cell>
          <cell r="AK1034" t="str">
            <v>0.117515</v>
          </cell>
          <cell r="AL1034" t="str">
            <v>0</v>
          </cell>
          <cell r="AM1034" t="str">
            <v>Q</v>
          </cell>
          <cell r="AN1034" t="str">
            <v>M0</v>
          </cell>
          <cell r="AO1034" t="str">
            <v>Active(Model)</v>
          </cell>
          <cell r="AP1034" t="str">
            <v/>
          </cell>
          <cell r="AQ1034" t="str">
            <v/>
          </cell>
          <cell r="AR1034" t="str">
            <v>Y</v>
          </cell>
          <cell r="AS1034" t="str">
            <v/>
          </cell>
          <cell r="AT1034" t="str">
            <v>HC</v>
          </cell>
          <cell r="AU1034" t="str">
            <v>Healthcare</v>
          </cell>
          <cell r="AV1034" t="str">
            <v>HCWC</v>
          </cell>
          <cell r="AW1034" t="str">
            <v>Wellness care</v>
          </cell>
          <cell r="AX1034" t="str">
            <v>HCWCAS</v>
          </cell>
          <cell r="AY1034" t="str">
            <v>Air Solution</v>
          </cell>
          <cell r="AZ1034" t="str">
            <v>HCWCASAC</v>
          </cell>
          <cell r="BA1034" t="str">
            <v>Air Cleaner</v>
          </cell>
        </row>
        <row r="1035">
          <cell r="E1035" t="str">
            <v>AS60GHHG0.ABAE</v>
          </cell>
          <cell r="F1035">
            <v>535</v>
          </cell>
          <cell r="G1035">
            <v>0</v>
          </cell>
          <cell r="H1035">
            <v>0</v>
          </cell>
          <cell r="I1035">
            <v>540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1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 t="str">
            <v/>
          </cell>
          <cell r="AH1035" t="str">
            <v/>
          </cell>
          <cell r="AI1035" t="str">
            <v/>
          </cell>
          <cell r="AJ1035" t="str">
            <v/>
          </cell>
          <cell r="AK1035" t="str">
            <v>0.099832</v>
          </cell>
          <cell r="AL1035" t="str">
            <v>0</v>
          </cell>
          <cell r="AM1035" t="str">
            <v>Q</v>
          </cell>
          <cell r="AN1035" t="str">
            <v>M0</v>
          </cell>
          <cell r="AO1035" t="str">
            <v>Active(Model)</v>
          </cell>
          <cell r="AP1035" t="str">
            <v/>
          </cell>
          <cell r="AQ1035" t="str">
            <v/>
          </cell>
          <cell r="AR1035" t="str">
            <v>Y</v>
          </cell>
          <cell r="AS1035" t="str">
            <v/>
          </cell>
          <cell r="AT1035" t="str">
            <v>HC</v>
          </cell>
          <cell r="AU1035" t="str">
            <v>Healthcare</v>
          </cell>
          <cell r="AV1035" t="str">
            <v>HCWC</v>
          </cell>
          <cell r="AW1035" t="str">
            <v>Wellness care</v>
          </cell>
          <cell r="AX1035" t="str">
            <v>HCWCAS</v>
          </cell>
          <cell r="AY1035" t="str">
            <v>Air Solution</v>
          </cell>
          <cell r="AZ1035" t="str">
            <v>HCWCASAC</v>
          </cell>
          <cell r="BA1035" t="str">
            <v>Air Cleaner</v>
          </cell>
        </row>
        <row r="1036">
          <cell r="E1036" t="str">
            <v>AS60GHWG0.ABAE</v>
          </cell>
          <cell r="F1036">
            <v>2348</v>
          </cell>
          <cell r="G1036">
            <v>0</v>
          </cell>
          <cell r="H1036">
            <v>0</v>
          </cell>
          <cell r="I1036">
            <v>2368</v>
          </cell>
          <cell r="J1036">
            <v>7</v>
          </cell>
          <cell r="K1036">
            <v>0</v>
          </cell>
          <cell r="L1036">
            <v>0</v>
          </cell>
          <cell r="M1036">
            <v>1</v>
          </cell>
          <cell r="N1036">
            <v>1</v>
          </cell>
          <cell r="O1036">
            <v>80</v>
          </cell>
          <cell r="P1036">
            <v>2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280</v>
          </cell>
          <cell r="AF1036">
            <v>0</v>
          </cell>
          <cell r="AG1036" t="str">
            <v/>
          </cell>
          <cell r="AH1036" t="str">
            <v/>
          </cell>
          <cell r="AI1036" t="str">
            <v/>
          </cell>
          <cell r="AJ1036" t="str">
            <v/>
          </cell>
          <cell r="AK1036" t="str">
            <v>0.099832</v>
          </cell>
          <cell r="AL1036" t="str">
            <v>0</v>
          </cell>
          <cell r="AM1036" t="str">
            <v>Q</v>
          </cell>
          <cell r="AN1036" t="str">
            <v>M0</v>
          </cell>
          <cell r="AO1036" t="str">
            <v>Active(Model)</v>
          </cell>
          <cell r="AP1036" t="str">
            <v/>
          </cell>
          <cell r="AQ1036" t="str">
            <v/>
          </cell>
          <cell r="AR1036" t="str">
            <v>Y</v>
          </cell>
          <cell r="AS1036" t="str">
            <v/>
          </cell>
          <cell r="AT1036" t="str">
            <v>HC</v>
          </cell>
          <cell r="AU1036" t="str">
            <v>Healthcare</v>
          </cell>
          <cell r="AV1036" t="str">
            <v>HCWC</v>
          </cell>
          <cell r="AW1036" t="str">
            <v>Wellness care</v>
          </cell>
          <cell r="AX1036" t="str">
            <v>HCWCAS</v>
          </cell>
          <cell r="AY1036" t="str">
            <v>Air Solution</v>
          </cell>
          <cell r="AZ1036" t="str">
            <v>HCWCASCO</v>
          </cell>
          <cell r="BA1036" t="str">
            <v>Air Cleaner_ODM</v>
          </cell>
        </row>
        <row r="1037">
          <cell r="E1037" t="str">
            <v>AS65GDBY0.ABAE</v>
          </cell>
          <cell r="F1037">
            <v>0</v>
          </cell>
          <cell r="G1037">
            <v>0</v>
          </cell>
          <cell r="H1037">
            <v>0</v>
          </cell>
          <cell r="I1037">
            <v>5</v>
          </cell>
          <cell r="J1037">
            <v>2</v>
          </cell>
          <cell r="K1037">
            <v>0</v>
          </cell>
          <cell r="L1037">
            <v>0</v>
          </cell>
          <cell r="M1037">
            <v>1</v>
          </cell>
          <cell r="N1037">
            <v>0</v>
          </cell>
          <cell r="O1037">
            <v>11</v>
          </cell>
          <cell r="P1037">
            <v>1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3</v>
          </cell>
          <cell r="AD1037">
            <v>0</v>
          </cell>
          <cell r="AE1037">
            <v>29</v>
          </cell>
          <cell r="AF1037">
            <v>3</v>
          </cell>
          <cell r="AG1037" t="str">
            <v/>
          </cell>
          <cell r="AH1037" t="str">
            <v/>
          </cell>
          <cell r="AI1037" t="str">
            <v/>
          </cell>
          <cell r="AJ1037" t="str">
            <v/>
          </cell>
          <cell r="AK1037" t="str">
            <v>0.131261</v>
          </cell>
          <cell r="AL1037" t="str">
            <v>0</v>
          </cell>
          <cell r="AM1037" t="str">
            <v>Q</v>
          </cell>
          <cell r="AN1037" t="str">
            <v>M0</v>
          </cell>
          <cell r="AO1037" t="str">
            <v>Active(Model)</v>
          </cell>
          <cell r="AP1037" t="str">
            <v/>
          </cell>
          <cell r="AQ1037" t="str">
            <v/>
          </cell>
          <cell r="AR1037" t="str">
            <v>Y</v>
          </cell>
          <cell r="AS1037" t="str">
            <v/>
          </cell>
          <cell r="AT1037" t="str">
            <v>HC</v>
          </cell>
          <cell r="AU1037" t="str">
            <v>Healthcare</v>
          </cell>
          <cell r="AV1037" t="str">
            <v>HCWC</v>
          </cell>
          <cell r="AW1037" t="str">
            <v>Wellness care</v>
          </cell>
          <cell r="AX1037" t="str">
            <v>HCWCAS</v>
          </cell>
          <cell r="AY1037" t="str">
            <v>Air Solution</v>
          </cell>
          <cell r="AZ1037" t="str">
            <v>HCWCASAC</v>
          </cell>
          <cell r="BA1037" t="str">
            <v>Air Cleaner</v>
          </cell>
        </row>
        <row r="1038">
          <cell r="E1038" t="str">
            <v>AS65GDWH0.ABAE</v>
          </cell>
          <cell r="F1038">
            <v>99</v>
          </cell>
          <cell r="G1038">
            <v>0</v>
          </cell>
          <cell r="H1038">
            <v>0</v>
          </cell>
          <cell r="I1038">
            <v>163</v>
          </cell>
          <cell r="J1038">
            <v>0</v>
          </cell>
          <cell r="K1038">
            <v>0</v>
          </cell>
          <cell r="L1038">
            <v>0</v>
          </cell>
          <cell r="M1038">
            <v>51</v>
          </cell>
          <cell r="N1038">
            <v>0</v>
          </cell>
          <cell r="O1038">
            <v>0</v>
          </cell>
          <cell r="P1038">
            <v>51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 t="str">
            <v>RACPREMIUM</v>
          </cell>
          <cell r="AH1038" t="str">
            <v>RAC_Premium</v>
          </cell>
          <cell r="AI1038" t="str">
            <v/>
          </cell>
          <cell r="AJ1038" t="str">
            <v/>
          </cell>
          <cell r="AK1038" t="str">
            <v>0.124292</v>
          </cell>
          <cell r="AL1038" t="str">
            <v>0</v>
          </cell>
          <cell r="AM1038" t="str">
            <v>Q</v>
          </cell>
          <cell r="AN1038" t="str">
            <v>M0</v>
          </cell>
          <cell r="AO1038" t="str">
            <v>Active(Model)</v>
          </cell>
          <cell r="AP1038" t="str">
            <v/>
          </cell>
          <cell r="AQ1038" t="str">
            <v/>
          </cell>
          <cell r="AR1038" t="str">
            <v>Y</v>
          </cell>
          <cell r="AS1038" t="str">
            <v/>
          </cell>
          <cell r="AT1038" t="str">
            <v>HC</v>
          </cell>
          <cell r="AU1038" t="str">
            <v>Healthcare</v>
          </cell>
          <cell r="AV1038" t="str">
            <v>HCWC</v>
          </cell>
          <cell r="AW1038" t="str">
            <v>Wellness care</v>
          </cell>
          <cell r="AX1038" t="str">
            <v>HCWCAS</v>
          </cell>
          <cell r="AY1038" t="str">
            <v>Air Solution</v>
          </cell>
          <cell r="AZ1038" t="str">
            <v>HCWCASAC</v>
          </cell>
          <cell r="BA1038" t="str">
            <v>Air Cleaner</v>
          </cell>
        </row>
        <row r="1039">
          <cell r="E1039" t="str">
            <v>B33BG.ABMPEVN</v>
          </cell>
          <cell r="F1039">
            <v>146</v>
          </cell>
          <cell r="G1039">
            <v>0</v>
          </cell>
          <cell r="H1039">
            <v>0</v>
          </cell>
          <cell r="I1039">
            <v>146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146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 t="str">
            <v>REFBASIC</v>
          </cell>
          <cell r="AH1039" t="str">
            <v>REF_Basic</v>
          </cell>
          <cell r="AI1039" t="str">
            <v/>
          </cell>
          <cell r="AJ1039" t="str">
            <v/>
          </cell>
          <cell r="AK1039" t="str">
            <v>0.872636</v>
          </cell>
          <cell r="AL1039" t="str">
            <v>2</v>
          </cell>
          <cell r="AM1039" t="str">
            <v>Q</v>
          </cell>
          <cell r="AN1039" t="str">
            <v>M0</v>
          </cell>
          <cell r="AO1039" t="str">
            <v>Active(Model)</v>
          </cell>
          <cell r="AP1039" t="str">
            <v/>
          </cell>
          <cell r="AQ1039" t="str">
            <v/>
          </cell>
          <cell r="AR1039" t="str">
            <v>Y</v>
          </cell>
          <cell r="AS1039" t="str">
            <v/>
          </cell>
          <cell r="AT1039" t="str">
            <v>RF</v>
          </cell>
          <cell r="AU1039" t="str">
            <v>Refrigerator</v>
          </cell>
          <cell r="AV1039" t="str">
            <v>RFBF</v>
          </cell>
          <cell r="AW1039" t="str">
            <v>Bottom Freezer</v>
          </cell>
          <cell r="AX1039" t="str">
            <v>RFBFBF</v>
          </cell>
          <cell r="AY1039" t="str">
            <v>Bottom Freezer</v>
          </cell>
          <cell r="AZ1039" t="str">
            <v>RFBFBF2D</v>
          </cell>
          <cell r="BA1039" t="str">
            <v>2D Bottom Freezer</v>
          </cell>
        </row>
        <row r="1040">
          <cell r="E1040" t="str">
            <v>B33BGA.ABMPEVN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 t="str">
            <v>REFPREMIUM</v>
          </cell>
          <cell r="AH1040" t="str">
            <v>REF_Premium</v>
          </cell>
          <cell r="AI1040" t="str">
            <v/>
          </cell>
          <cell r="AJ1040" t="str">
            <v/>
          </cell>
          <cell r="AK1040" t="str">
            <v>0.872636</v>
          </cell>
          <cell r="AL1040" t="str">
            <v>2</v>
          </cell>
          <cell r="AM1040" t="str">
            <v>Q</v>
          </cell>
          <cell r="AN1040" t="str">
            <v>M0</v>
          </cell>
          <cell r="AO1040" t="str">
            <v>Active(Model)</v>
          </cell>
          <cell r="AP1040" t="str">
            <v/>
          </cell>
          <cell r="AQ1040" t="str">
            <v/>
          </cell>
          <cell r="AR1040" t="str">
            <v>Y</v>
          </cell>
          <cell r="AS1040" t="str">
            <v/>
          </cell>
          <cell r="AT1040" t="str">
            <v>RF</v>
          </cell>
          <cell r="AU1040" t="str">
            <v>Refrigerator</v>
          </cell>
          <cell r="AV1040" t="str">
            <v>RFBF</v>
          </cell>
          <cell r="AW1040" t="str">
            <v>Bottom Freezer</v>
          </cell>
          <cell r="AX1040" t="str">
            <v>RFBFBF</v>
          </cell>
          <cell r="AY1040" t="str">
            <v>Bottom Freezer</v>
          </cell>
          <cell r="AZ1040" t="str">
            <v>RFBFBF2D</v>
          </cell>
          <cell r="BA1040" t="str">
            <v>2D Bottom Freezer</v>
          </cell>
        </row>
        <row r="1041">
          <cell r="E1041" t="str">
            <v>BOUNCE.AVNMLBK</v>
          </cell>
          <cell r="F1041">
            <v>13</v>
          </cell>
          <cell r="G1041">
            <v>0</v>
          </cell>
          <cell r="H1041">
            <v>0</v>
          </cell>
          <cell r="I1041">
            <v>28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 t="str">
            <v/>
          </cell>
          <cell r="AH1041" t="str">
            <v/>
          </cell>
          <cell r="AI1041" t="str">
            <v/>
          </cell>
          <cell r="AJ1041" t="str">
            <v/>
          </cell>
          <cell r="AK1041" t="str">
            <v>0.005433</v>
          </cell>
          <cell r="AL1041" t="str">
            <v>0</v>
          </cell>
          <cell r="AM1041" t="str">
            <v>Q</v>
          </cell>
          <cell r="AN1041" t="str">
            <v>M0</v>
          </cell>
          <cell r="AO1041" t="str">
            <v>Active(Model)</v>
          </cell>
          <cell r="AP1041" t="str">
            <v/>
          </cell>
          <cell r="AQ1041" t="str">
            <v/>
          </cell>
          <cell r="AR1041" t="str">
            <v>Y</v>
          </cell>
          <cell r="AS1041" t="str">
            <v/>
          </cell>
          <cell r="AT1041" t="str">
            <v>AO</v>
          </cell>
          <cell r="AU1041" t="str">
            <v>AO</v>
          </cell>
          <cell r="AV1041" t="str">
            <v>AOAA</v>
          </cell>
          <cell r="AW1041" t="str">
            <v>Home Audio_OS</v>
          </cell>
          <cell r="AX1041" t="str">
            <v>AOAADS</v>
          </cell>
          <cell r="AY1041" t="str">
            <v>Wireless Speaker_OS</v>
          </cell>
          <cell r="AZ1041" t="str">
            <v>AOAADSPS</v>
          </cell>
          <cell r="BA1041" t="str">
            <v>Bluetooth Speaker_OS</v>
          </cell>
        </row>
        <row r="1042">
          <cell r="E1042" t="str">
            <v>BU50RG.ATV</v>
          </cell>
          <cell r="F1042">
            <v>5</v>
          </cell>
          <cell r="G1042">
            <v>0</v>
          </cell>
          <cell r="H1042">
            <v>0</v>
          </cell>
          <cell r="I1042">
            <v>5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 t="str">
            <v>PRJ</v>
          </cell>
          <cell r="AH1042" t="str">
            <v>Projector</v>
          </cell>
          <cell r="AI1042" t="str">
            <v/>
          </cell>
          <cell r="AJ1042" t="str">
            <v/>
          </cell>
          <cell r="AK1042" t="str">
            <v>0.069828</v>
          </cell>
          <cell r="AL1042" t="str">
            <v>2</v>
          </cell>
          <cell r="AM1042" t="str">
            <v>Q</v>
          </cell>
          <cell r="AN1042" t="str">
            <v>M0</v>
          </cell>
          <cell r="AO1042" t="str">
            <v>Active(Model)</v>
          </cell>
          <cell r="AP1042" t="str">
            <v/>
          </cell>
          <cell r="AQ1042" t="str">
            <v/>
          </cell>
          <cell r="AR1042" t="str">
            <v>Y</v>
          </cell>
          <cell r="AS1042" t="str">
            <v/>
          </cell>
          <cell r="AT1042" t="str">
            <v>TV</v>
          </cell>
          <cell r="AU1042" t="str">
            <v>TV</v>
          </cell>
          <cell r="AV1042" t="str">
            <v>TVPR</v>
          </cell>
          <cell r="AW1042" t="str">
            <v>Projector</v>
          </cell>
          <cell r="AX1042" t="str">
            <v>TVPRB2</v>
          </cell>
          <cell r="AY1042" t="str">
            <v>PJTR B2B</v>
          </cell>
          <cell r="AZ1042" t="str">
            <v>TVPRB2NU</v>
          </cell>
          <cell r="BA1042" t="str">
            <v>PJTR B2B UHD</v>
          </cell>
        </row>
        <row r="1043">
          <cell r="E1043" t="str">
            <v>BU53RG.ATV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2</v>
          </cell>
          <cell r="AF1043">
            <v>0</v>
          </cell>
          <cell r="AG1043" t="str">
            <v>PRJ</v>
          </cell>
          <cell r="AH1043" t="str">
            <v>Projector</v>
          </cell>
          <cell r="AI1043" t="str">
            <v/>
          </cell>
          <cell r="AJ1043" t="str">
            <v/>
          </cell>
          <cell r="AK1043" t="str">
            <v>0.069828</v>
          </cell>
          <cell r="AL1043" t="str">
            <v>2</v>
          </cell>
          <cell r="AM1043" t="str">
            <v>Q</v>
          </cell>
          <cell r="AN1043" t="str">
            <v>M0</v>
          </cell>
          <cell r="AO1043" t="str">
            <v>Active(Model)</v>
          </cell>
          <cell r="AP1043" t="str">
            <v/>
          </cell>
          <cell r="AQ1043" t="str">
            <v/>
          </cell>
          <cell r="AR1043" t="str">
            <v>Y</v>
          </cell>
          <cell r="AS1043" t="str">
            <v/>
          </cell>
          <cell r="AT1043" t="str">
            <v>TV</v>
          </cell>
          <cell r="AU1043" t="str">
            <v>TV</v>
          </cell>
          <cell r="AV1043" t="str">
            <v>TVPR</v>
          </cell>
          <cell r="AW1043" t="str">
            <v>Projector</v>
          </cell>
          <cell r="AX1043" t="str">
            <v>TVPRB2</v>
          </cell>
          <cell r="AY1043" t="str">
            <v>PJTR B2B</v>
          </cell>
          <cell r="AZ1043" t="str">
            <v>TVPRB2NU</v>
          </cell>
          <cell r="BA1043" t="str">
            <v>PJTR B2B UHD</v>
          </cell>
        </row>
        <row r="1044">
          <cell r="E1044" t="str">
            <v>BUDSLITE.AAMALBK</v>
          </cell>
          <cell r="F1044">
            <v>2</v>
          </cell>
          <cell r="G1044">
            <v>0</v>
          </cell>
          <cell r="H1044">
            <v>0</v>
          </cell>
          <cell r="I1044">
            <v>71</v>
          </cell>
          <cell r="J1044">
            <v>2</v>
          </cell>
          <cell r="K1044">
            <v>0</v>
          </cell>
          <cell r="L1044">
            <v>0</v>
          </cell>
          <cell r="M1044">
            <v>51</v>
          </cell>
          <cell r="N1044">
            <v>0</v>
          </cell>
          <cell r="O1044">
            <v>0</v>
          </cell>
          <cell r="P1044">
            <v>51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1</v>
          </cell>
          <cell r="AD1044">
            <v>1</v>
          </cell>
          <cell r="AE1044">
            <v>8</v>
          </cell>
          <cell r="AF1044">
            <v>2</v>
          </cell>
          <cell r="AG1044" t="str">
            <v/>
          </cell>
          <cell r="AH1044" t="str">
            <v/>
          </cell>
          <cell r="AI1044" t="str">
            <v/>
          </cell>
          <cell r="AJ1044" t="str">
            <v/>
          </cell>
          <cell r="AK1044" t="str">
            <v>0.000337</v>
          </cell>
          <cell r="AL1044" t="str">
            <v>0</v>
          </cell>
          <cell r="AM1044" t="str">
            <v>Q</v>
          </cell>
          <cell r="AN1044" t="str">
            <v>M0</v>
          </cell>
          <cell r="AO1044" t="str">
            <v>Active(Model)</v>
          </cell>
          <cell r="AP1044" t="str">
            <v/>
          </cell>
          <cell r="AQ1044" t="str">
            <v/>
          </cell>
          <cell r="AR1044" t="str">
            <v>Y</v>
          </cell>
          <cell r="AS1044" t="str">
            <v/>
          </cell>
          <cell r="AT1044" t="str">
            <v>AO</v>
          </cell>
          <cell r="AU1044" t="str">
            <v>AO</v>
          </cell>
          <cell r="AV1044" t="str">
            <v>AOPD</v>
          </cell>
          <cell r="AW1044" t="str">
            <v>Wireless Headset_OS</v>
          </cell>
          <cell r="AX1044" t="str">
            <v>AOPDWH</v>
          </cell>
          <cell r="AY1044" t="str">
            <v>Wireless Headset Universal Out-Box Headset_OS</v>
          </cell>
          <cell r="AZ1044" t="str">
            <v>AOPDWHEB</v>
          </cell>
          <cell r="BA1044" t="str">
            <v>Wireless Headset Earbuds_OS</v>
          </cell>
        </row>
        <row r="1045">
          <cell r="E1045" t="str">
            <v>BUDSPLUS.AAMALWH</v>
          </cell>
          <cell r="F1045">
            <v>36</v>
          </cell>
          <cell r="G1045">
            <v>0</v>
          </cell>
          <cell r="H1045">
            <v>0</v>
          </cell>
          <cell r="I1045">
            <v>64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5</v>
          </cell>
          <cell r="AD1045">
            <v>0</v>
          </cell>
          <cell r="AE1045">
            <v>0</v>
          </cell>
          <cell r="AF1045">
            <v>5</v>
          </cell>
          <cell r="AG1045" t="str">
            <v/>
          </cell>
          <cell r="AH1045" t="str">
            <v/>
          </cell>
          <cell r="AI1045" t="str">
            <v/>
          </cell>
          <cell r="AJ1045" t="str">
            <v/>
          </cell>
          <cell r="AK1045" t="str">
            <v>0.000431</v>
          </cell>
          <cell r="AL1045" t="str">
            <v>0</v>
          </cell>
          <cell r="AM1045" t="str">
            <v>Q</v>
          </cell>
          <cell r="AN1045" t="str">
            <v>M0</v>
          </cell>
          <cell r="AO1045" t="str">
            <v>Active(Model)</v>
          </cell>
          <cell r="AP1045" t="str">
            <v/>
          </cell>
          <cell r="AQ1045" t="str">
            <v/>
          </cell>
          <cell r="AR1045" t="str">
            <v>Y</v>
          </cell>
          <cell r="AS1045" t="str">
            <v/>
          </cell>
          <cell r="AT1045" t="str">
            <v>AO</v>
          </cell>
          <cell r="AU1045" t="str">
            <v>AO</v>
          </cell>
          <cell r="AV1045" t="str">
            <v>AOPD</v>
          </cell>
          <cell r="AW1045" t="str">
            <v>Wireless Headset_OS</v>
          </cell>
          <cell r="AX1045" t="str">
            <v>AOPDWH</v>
          </cell>
          <cell r="AY1045" t="str">
            <v>Wireless Headset Universal Out-Box Headset_OS</v>
          </cell>
          <cell r="AZ1045" t="str">
            <v>AOPDWHEB</v>
          </cell>
          <cell r="BA1045" t="str">
            <v>Wireless Headset Earbuds_OS</v>
          </cell>
        </row>
        <row r="1046">
          <cell r="E1046" t="str">
            <v>C30WH.ADAPEVN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 t="str">
            <v>REFBASIC</v>
          </cell>
          <cell r="AH1046" t="str">
            <v>REF_Basic</v>
          </cell>
          <cell r="AI1046" t="str">
            <v/>
          </cell>
          <cell r="AJ1046" t="str">
            <v/>
          </cell>
          <cell r="AK1046" t="str">
            <v>0.643970</v>
          </cell>
          <cell r="AL1046" t="str">
            <v>2</v>
          </cell>
          <cell r="AM1046" t="str">
            <v>Q</v>
          </cell>
          <cell r="AN1046" t="str">
            <v>M0</v>
          </cell>
          <cell r="AO1046" t="str">
            <v>Active(Model)</v>
          </cell>
          <cell r="AP1046" t="str">
            <v/>
          </cell>
          <cell r="AQ1046" t="str">
            <v/>
          </cell>
          <cell r="AR1046" t="str">
            <v>Y</v>
          </cell>
          <cell r="AS1046" t="str">
            <v/>
          </cell>
          <cell r="AT1046" t="str">
            <v>RF</v>
          </cell>
          <cell r="AU1046" t="str">
            <v>Refrigerator</v>
          </cell>
          <cell r="AV1046" t="str">
            <v>RFOT</v>
          </cell>
          <cell r="AW1046" t="str">
            <v>Specific REF</v>
          </cell>
          <cell r="AX1046" t="str">
            <v>RFOTFR</v>
          </cell>
          <cell r="AY1046" t="str">
            <v>Freezer</v>
          </cell>
          <cell r="AZ1046" t="str">
            <v>RFOTFRFA</v>
          </cell>
          <cell r="BA1046" t="str">
            <v>Refrigerator_Freezer</v>
          </cell>
        </row>
        <row r="1047">
          <cell r="E1047" t="str">
            <v>CDG27RUOES.ASSPEVN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 t="str">
            <v/>
          </cell>
          <cell r="AH1047" t="str">
            <v/>
          </cell>
          <cell r="AI1047" t="str">
            <v/>
          </cell>
          <cell r="AJ1047" t="str">
            <v/>
          </cell>
          <cell r="AK1047" t="str">
            <v>0.000000</v>
          </cell>
          <cell r="AL1047" t="str">
            <v>0</v>
          </cell>
          <cell r="AM1047" t="str">
            <v>Q</v>
          </cell>
          <cell r="AN1047" t="str">
            <v>M0</v>
          </cell>
          <cell r="AO1047" t="str">
            <v>Active(Model)</v>
          </cell>
          <cell r="AP1047" t="str">
            <v/>
          </cell>
          <cell r="AQ1047" t="str">
            <v/>
          </cell>
          <cell r="AR1047" t="str">
            <v>Y</v>
          </cell>
          <cell r="AS1047" t="str">
            <v/>
          </cell>
          <cell r="AT1047" t="str">
            <v>WM</v>
          </cell>
          <cell r="AU1047" t="str">
            <v>Washing Machine</v>
          </cell>
          <cell r="AV1047" t="str">
            <v>WMWR</v>
          </cell>
          <cell r="AW1047" t="str">
            <v>Clothes Dryer</v>
          </cell>
          <cell r="AX1047" t="str">
            <v>WMWRWC</v>
          </cell>
          <cell r="AY1047" t="str">
            <v>Clothes Dryer_Commercial</v>
          </cell>
          <cell r="AZ1047" t="str">
            <v>WMWRWCCA</v>
          </cell>
          <cell r="BA1047" t="str">
            <v>Clothes Dryer_Commercial</v>
          </cell>
        </row>
        <row r="1048">
          <cell r="E1048" t="str">
            <v>CDG27RUOPS.ASSPEVN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 t="str">
            <v/>
          </cell>
          <cell r="AH1048" t="str">
            <v/>
          </cell>
          <cell r="AI1048" t="str">
            <v/>
          </cell>
          <cell r="AJ1048" t="str">
            <v/>
          </cell>
          <cell r="AK1048" t="str">
            <v>0.000000</v>
          </cell>
          <cell r="AL1048" t="str">
            <v>0</v>
          </cell>
          <cell r="AM1048" t="str">
            <v>Q</v>
          </cell>
          <cell r="AN1048" t="str">
            <v>M0</v>
          </cell>
          <cell r="AO1048" t="str">
            <v>Active(Model)</v>
          </cell>
          <cell r="AP1048" t="str">
            <v/>
          </cell>
          <cell r="AQ1048" t="str">
            <v/>
          </cell>
          <cell r="AR1048" t="str">
            <v>Y</v>
          </cell>
          <cell r="AS1048" t="str">
            <v/>
          </cell>
          <cell r="AT1048" t="str">
            <v>WM</v>
          </cell>
          <cell r="AU1048" t="str">
            <v>Washing Machine</v>
          </cell>
          <cell r="AV1048" t="str">
            <v>WMWR</v>
          </cell>
          <cell r="AW1048" t="str">
            <v>Clothes Dryer</v>
          </cell>
          <cell r="AX1048" t="str">
            <v>WMWRWC</v>
          </cell>
          <cell r="AY1048" t="str">
            <v>Clothes Dryer_Commercial</v>
          </cell>
          <cell r="AZ1048" t="str">
            <v>WMWRWCCA</v>
          </cell>
          <cell r="BA1048" t="str">
            <v>Clothes Dryer_Commercial</v>
          </cell>
        </row>
        <row r="1049">
          <cell r="E1049" t="str">
            <v>CDG27RUQES.ASSQEML</v>
          </cell>
          <cell r="F1049">
            <v>47</v>
          </cell>
          <cell r="G1049">
            <v>0</v>
          </cell>
          <cell r="H1049">
            <v>0</v>
          </cell>
          <cell r="I1049">
            <v>58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3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 t="str">
            <v>WMBASIC</v>
          </cell>
          <cell r="AH1049" t="str">
            <v>WM_Basic</v>
          </cell>
          <cell r="AI1049" t="str">
            <v/>
          </cell>
          <cell r="AJ1049" t="str">
            <v/>
          </cell>
          <cell r="AK1049" t="str">
            <v>0.698937</v>
          </cell>
          <cell r="AL1049" t="str">
            <v>2</v>
          </cell>
          <cell r="AM1049" t="str">
            <v>Q</v>
          </cell>
          <cell r="AN1049" t="str">
            <v>M0</v>
          </cell>
          <cell r="AO1049" t="str">
            <v>Active(Model)</v>
          </cell>
          <cell r="AP1049" t="str">
            <v/>
          </cell>
          <cell r="AQ1049" t="str">
            <v/>
          </cell>
          <cell r="AR1049" t="str">
            <v>Y</v>
          </cell>
          <cell r="AS1049" t="str">
            <v/>
          </cell>
          <cell r="AT1049" t="str">
            <v>WM</v>
          </cell>
          <cell r="AU1049" t="str">
            <v>Washing Machine</v>
          </cell>
          <cell r="AV1049" t="str">
            <v>WMWR</v>
          </cell>
          <cell r="AW1049" t="str">
            <v>Clothes Dryer</v>
          </cell>
          <cell r="AX1049" t="str">
            <v>WMWRWC</v>
          </cell>
          <cell r="AY1049" t="str">
            <v>Clothes Dryer_Commercial</v>
          </cell>
          <cell r="AZ1049" t="str">
            <v>WMWRWCCA</v>
          </cell>
          <cell r="BA1049" t="str">
            <v>Clothes Dryer_Commercial</v>
          </cell>
        </row>
        <row r="1050">
          <cell r="E1050" t="str">
            <v>CDG27RUQPS.ASSQEML</v>
          </cell>
          <cell r="F1050">
            <v>22</v>
          </cell>
          <cell r="G1050">
            <v>0</v>
          </cell>
          <cell r="H1050">
            <v>0</v>
          </cell>
          <cell r="I1050">
            <v>26</v>
          </cell>
          <cell r="J1050">
            <v>0</v>
          </cell>
          <cell r="K1050">
            <v>0</v>
          </cell>
          <cell r="L1050">
            <v>1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 t="str">
            <v>WMBASIC</v>
          </cell>
          <cell r="AH1050" t="str">
            <v>WM_Basic</v>
          </cell>
          <cell r="AI1050" t="str">
            <v/>
          </cell>
          <cell r="AJ1050" t="str">
            <v/>
          </cell>
          <cell r="AK1050" t="str">
            <v>0.698937</v>
          </cell>
          <cell r="AL1050" t="str">
            <v>2</v>
          </cell>
          <cell r="AM1050" t="str">
            <v>Q</v>
          </cell>
          <cell r="AN1050" t="str">
            <v>M0</v>
          </cell>
          <cell r="AO1050" t="str">
            <v>Active(Model)</v>
          </cell>
          <cell r="AP1050" t="str">
            <v/>
          </cell>
          <cell r="AQ1050" t="str">
            <v/>
          </cell>
          <cell r="AR1050" t="str">
            <v>Y</v>
          </cell>
          <cell r="AS1050" t="str">
            <v/>
          </cell>
          <cell r="AT1050" t="str">
            <v>WM</v>
          </cell>
          <cell r="AU1050" t="str">
            <v>Washing Machine</v>
          </cell>
          <cell r="AV1050" t="str">
            <v>WMWR</v>
          </cell>
          <cell r="AW1050" t="str">
            <v>Clothes Dryer</v>
          </cell>
          <cell r="AX1050" t="str">
            <v>WMWRWC</v>
          </cell>
          <cell r="AY1050" t="str">
            <v>Clothes Dryer_Commercial</v>
          </cell>
          <cell r="AZ1050" t="str">
            <v>WMWRWCCA</v>
          </cell>
          <cell r="BA1050" t="str">
            <v>Clothes Dryer_Commercial</v>
          </cell>
        </row>
        <row r="1051">
          <cell r="E1051" t="str">
            <v>CDT29MUOES.ASSPEVN</v>
          </cell>
          <cell r="F1051">
            <v>18</v>
          </cell>
          <cell r="G1051">
            <v>0</v>
          </cell>
          <cell r="H1051">
            <v>0</v>
          </cell>
          <cell r="I1051">
            <v>21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1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2</v>
          </cell>
          <cell r="AF1051">
            <v>0</v>
          </cell>
          <cell r="AG1051" t="str">
            <v>WMPREPLUS</v>
          </cell>
          <cell r="AH1051" t="str">
            <v>WM_Premium_Plus</v>
          </cell>
          <cell r="AI1051" t="str">
            <v/>
          </cell>
          <cell r="AJ1051" t="str">
            <v/>
          </cell>
          <cell r="AK1051" t="str">
            <v>0.794851</v>
          </cell>
          <cell r="AL1051" t="str">
            <v>0</v>
          </cell>
          <cell r="AM1051" t="str">
            <v>Q</v>
          </cell>
          <cell r="AN1051" t="str">
            <v>M0</v>
          </cell>
          <cell r="AO1051" t="str">
            <v>Active(Model)</v>
          </cell>
          <cell r="AP1051" t="str">
            <v/>
          </cell>
          <cell r="AQ1051" t="str">
            <v/>
          </cell>
          <cell r="AR1051" t="str">
            <v>Y</v>
          </cell>
          <cell r="AS1051" t="str">
            <v/>
          </cell>
          <cell r="AT1051" t="str">
            <v>WM</v>
          </cell>
          <cell r="AU1051" t="str">
            <v>Washing Machine</v>
          </cell>
          <cell r="AV1051" t="str">
            <v>WMWR</v>
          </cell>
          <cell r="AW1051" t="str">
            <v>Clothes Dryer</v>
          </cell>
          <cell r="AX1051" t="str">
            <v>WMWRWC</v>
          </cell>
          <cell r="AY1051" t="str">
            <v>Clothes Dryer_Commercial</v>
          </cell>
          <cell r="AZ1051" t="str">
            <v>WMWRWCCA</v>
          </cell>
          <cell r="BA1051" t="str">
            <v>Clothes Dryer_Commercial</v>
          </cell>
        </row>
        <row r="1052">
          <cell r="E1052" t="str">
            <v>CDT29MUOPS.ASSPEVN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2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 t="str">
            <v>WMPREPLUS</v>
          </cell>
          <cell r="AH1052" t="str">
            <v>WM_Premium_Plus</v>
          </cell>
          <cell r="AI1052" t="str">
            <v/>
          </cell>
          <cell r="AJ1052" t="str">
            <v/>
          </cell>
          <cell r="AK1052" t="str">
            <v>0.794851</v>
          </cell>
          <cell r="AL1052" t="str">
            <v>0</v>
          </cell>
          <cell r="AM1052" t="str">
            <v>Q</v>
          </cell>
          <cell r="AN1052" t="str">
            <v>M0</v>
          </cell>
          <cell r="AO1052" t="str">
            <v>Active(Model)</v>
          </cell>
          <cell r="AP1052" t="str">
            <v/>
          </cell>
          <cell r="AQ1052" t="str">
            <v/>
          </cell>
          <cell r="AR1052" t="str">
            <v>Y</v>
          </cell>
          <cell r="AS1052" t="str">
            <v/>
          </cell>
          <cell r="AT1052" t="str">
            <v>WM</v>
          </cell>
          <cell r="AU1052" t="str">
            <v>Washing Machine</v>
          </cell>
          <cell r="AV1052" t="str">
            <v>WMWR</v>
          </cell>
          <cell r="AW1052" t="str">
            <v>Clothes Dryer</v>
          </cell>
          <cell r="AX1052" t="str">
            <v>WMWRWC</v>
          </cell>
          <cell r="AY1052" t="str">
            <v>Clothes Dryer_Commercial</v>
          </cell>
          <cell r="AZ1052" t="str">
            <v>WMWRWCCA</v>
          </cell>
          <cell r="BA1052" t="str">
            <v>Clothes Dryer_Commercial</v>
          </cell>
        </row>
        <row r="1053">
          <cell r="E1053" t="str">
            <v>CDT29MUQES.ASSQEML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1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 t="str">
            <v>WMPREPLUS</v>
          </cell>
          <cell r="AH1053" t="str">
            <v>WM_Premium_Plus</v>
          </cell>
          <cell r="AI1053" t="str">
            <v/>
          </cell>
          <cell r="AJ1053" t="str">
            <v/>
          </cell>
          <cell r="AK1053" t="str">
            <v>0.794851</v>
          </cell>
          <cell r="AL1053" t="str">
            <v>2</v>
          </cell>
          <cell r="AM1053" t="str">
            <v>Q</v>
          </cell>
          <cell r="AN1053" t="str">
            <v>M0</v>
          </cell>
          <cell r="AO1053" t="str">
            <v>Active(Model)</v>
          </cell>
          <cell r="AP1053" t="str">
            <v/>
          </cell>
          <cell r="AQ1053" t="str">
            <v/>
          </cell>
          <cell r="AR1053" t="str">
            <v>Y</v>
          </cell>
          <cell r="AS1053" t="str">
            <v/>
          </cell>
          <cell r="AT1053" t="str">
            <v>WM</v>
          </cell>
          <cell r="AU1053" t="str">
            <v>Washing Machine</v>
          </cell>
          <cell r="AV1053" t="str">
            <v>WMWR</v>
          </cell>
          <cell r="AW1053" t="str">
            <v>Clothes Dryer</v>
          </cell>
          <cell r="AX1053" t="str">
            <v>WMWRWC</v>
          </cell>
          <cell r="AY1053" t="str">
            <v>Clothes Dryer_Commercial</v>
          </cell>
          <cell r="AZ1053" t="str">
            <v>WMWRWCCA</v>
          </cell>
          <cell r="BA1053" t="str">
            <v>Clothes Dryer_Commercial</v>
          </cell>
        </row>
        <row r="1054">
          <cell r="E1054" t="str">
            <v>CVBA.ATC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5</v>
          </cell>
          <cell r="P1054">
            <v>0</v>
          </cell>
          <cell r="Q1054">
            <v>2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 t="str">
            <v/>
          </cell>
          <cell r="AH1054" t="str">
            <v/>
          </cell>
          <cell r="AI1054" t="str">
            <v/>
          </cell>
          <cell r="AJ1054" t="str">
            <v/>
          </cell>
          <cell r="AK1054" t="str">
            <v>0.035111</v>
          </cell>
          <cell r="AL1054" t="str">
            <v>2</v>
          </cell>
          <cell r="AM1054" t="str">
            <v>Q</v>
          </cell>
          <cell r="AN1054" t="str">
            <v>M0</v>
          </cell>
          <cell r="AO1054" t="str">
            <v>Active(Model)</v>
          </cell>
          <cell r="AP1054" t="str">
            <v/>
          </cell>
          <cell r="AQ1054" t="str">
            <v/>
          </cell>
          <cell r="AR1054" t="str">
            <v>Y</v>
          </cell>
          <cell r="AS1054" t="str">
            <v/>
          </cell>
          <cell r="AT1054" t="str">
            <v>CS</v>
          </cell>
          <cell r="AU1054" t="str">
            <v>Commercial Display_Signage</v>
          </cell>
          <cell r="AV1054" t="str">
            <v>CSLS</v>
          </cell>
          <cell r="AW1054" t="str">
            <v>Commercial_LED Signage</v>
          </cell>
          <cell r="AX1054" t="str">
            <v>CSLSSY</v>
          </cell>
          <cell r="AY1054" t="str">
            <v>Commercial_LED Signage System</v>
          </cell>
          <cell r="AZ1054" t="str">
            <v>CSLSSYCO</v>
          </cell>
          <cell r="BA1054" t="str">
            <v>Commercial_LED Signage System Controller</v>
          </cell>
        </row>
        <row r="1055">
          <cell r="E1055" t="str">
            <v>CWG27MDQRS.ASSQEML</v>
          </cell>
          <cell r="F1055">
            <v>88</v>
          </cell>
          <cell r="G1055">
            <v>0</v>
          </cell>
          <cell r="H1055">
            <v>0</v>
          </cell>
          <cell r="I1055">
            <v>92</v>
          </cell>
          <cell r="J1055">
            <v>0</v>
          </cell>
          <cell r="K1055">
            <v>0</v>
          </cell>
          <cell r="L1055">
            <v>1</v>
          </cell>
          <cell r="M1055">
            <v>0</v>
          </cell>
          <cell r="N1055">
            <v>0</v>
          </cell>
          <cell r="O1055">
            <v>13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 t="str">
            <v>WMBASIC</v>
          </cell>
          <cell r="AH1055" t="str">
            <v>WM_Basic</v>
          </cell>
          <cell r="AI1055" t="str">
            <v/>
          </cell>
          <cell r="AJ1055" t="str">
            <v/>
          </cell>
          <cell r="AK1055" t="str">
            <v>0.648104</v>
          </cell>
          <cell r="AL1055" t="str">
            <v>2</v>
          </cell>
          <cell r="AM1055" t="str">
            <v>Q</v>
          </cell>
          <cell r="AN1055" t="str">
            <v>M0</v>
          </cell>
          <cell r="AO1055" t="str">
            <v>Active(Model)</v>
          </cell>
          <cell r="AP1055" t="str">
            <v/>
          </cell>
          <cell r="AQ1055" t="str">
            <v/>
          </cell>
          <cell r="AR1055" t="str">
            <v>Y</v>
          </cell>
          <cell r="AS1055" t="str">
            <v/>
          </cell>
          <cell r="AT1055" t="str">
            <v>WM</v>
          </cell>
          <cell r="AU1055" t="str">
            <v>Washing Machine</v>
          </cell>
          <cell r="AV1055" t="str">
            <v>WMWL</v>
          </cell>
          <cell r="AW1055" t="str">
            <v>Clothes Washer</v>
          </cell>
          <cell r="AX1055" t="str">
            <v>WMWLFC</v>
          </cell>
          <cell r="AY1055" t="str">
            <v>Clothes Washer_Front Loader_Commercial</v>
          </cell>
          <cell r="AZ1055" t="str">
            <v>WMWLFCHA</v>
          </cell>
          <cell r="BA1055" t="str">
            <v>Clothes Washer_Front Loader_Commercial</v>
          </cell>
        </row>
        <row r="1056">
          <cell r="E1056" t="str">
            <v>CWT29MDORS.ASSPEVN</v>
          </cell>
          <cell r="F1056">
            <v>13</v>
          </cell>
          <cell r="G1056">
            <v>0</v>
          </cell>
          <cell r="H1056">
            <v>0</v>
          </cell>
          <cell r="I1056">
            <v>16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1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1</v>
          </cell>
          <cell r="AF1056">
            <v>0</v>
          </cell>
          <cell r="AG1056" t="str">
            <v>WMPREPLUS</v>
          </cell>
          <cell r="AH1056" t="str">
            <v>WM_Premium_Plus</v>
          </cell>
          <cell r="AI1056" t="str">
            <v/>
          </cell>
          <cell r="AJ1056" t="str">
            <v/>
          </cell>
          <cell r="AK1056" t="str">
            <v>0.794165</v>
          </cell>
          <cell r="AL1056" t="str">
            <v>0</v>
          </cell>
          <cell r="AM1056" t="str">
            <v>Q</v>
          </cell>
          <cell r="AN1056" t="str">
            <v>M0</v>
          </cell>
          <cell r="AO1056" t="str">
            <v>Active(Model)</v>
          </cell>
          <cell r="AP1056" t="str">
            <v/>
          </cell>
          <cell r="AQ1056" t="str">
            <v/>
          </cell>
          <cell r="AR1056" t="str">
            <v>Y</v>
          </cell>
          <cell r="AS1056" t="str">
            <v/>
          </cell>
          <cell r="AT1056" t="str">
            <v>WM</v>
          </cell>
          <cell r="AU1056" t="str">
            <v>Washing Machine</v>
          </cell>
          <cell r="AV1056" t="str">
            <v>WMWL</v>
          </cell>
          <cell r="AW1056" t="str">
            <v>Clothes Washer</v>
          </cell>
          <cell r="AX1056" t="str">
            <v>WMWLFC</v>
          </cell>
          <cell r="AY1056" t="str">
            <v>Clothes Washer_Front Loader_Commercial</v>
          </cell>
          <cell r="AZ1056" t="str">
            <v>WMWLFCHA</v>
          </cell>
          <cell r="BA1056" t="str">
            <v>Clothes Washer_Front Loader_Commercial</v>
          </cell>
        </row>
        <row r="1057">
          <cell r="E1057" t="str">
            <v>CWT29MDQRS.ASSQEML</v>
          </cell>
          <cell r="F1057">
            <v>3</v>
          </cell>
          <cell r="G1057">
            <v>0</v>
          </cell>
          <cell r="H1057">
            <v>0</v>
          </cell>
          <cell r="I1057">
            <v>9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 t="str">
            <v>WMPREPLUS</v>
          </cell>
          <cell r="AH1057" t="str">
            <v>WM_Premium_Plus</v>
          </cell>
          <cell r="AI1057" t="str">
            <v/>
          </cell>
          <cell r="AJ1057" t="str">
            <v/>
          </cell>
          <cell r="AK1057" t="str">
            <v>0.794165</v>
          </cell>
          <cell r="AL1057" t="str">
            <v>2</v>
          </cell>
          <cell r="AM1057" t="str">
            <v>Q</v>
          </cell>
          <cell r="AN1057" t="str">
            <v>M0</v>
          </cell>
          <cell r="AO1057" t="str">
            <v>Active(Model)</v>
          </cell>
          <cell r="AP1057" t="str">
            <v/>
          </cell>
          <cell r="AQ1057" t="str">
            <v/>
          </cell>
          <cell r="AR1057" t="str">
            <v>Y</v>
          </cell>
          <cell r="AS1057" t="str">
            <v/>
          </cell>
          <cell r="AT1057" t="str">
            <v>WM</v>
          </cell>
          <cell r="AU1057" t="str">
            <v>Washing Machine</v>
          </cell>
          <cell r="AV1057" t="str">
            <v>WMWL</v>
          </cell>
          <cell r="AW1057" t="str">
            <v>Clothes Washer</v>
          </cell>
          <cell r="AX1057" t="str">
            <v>WMWLFC</v>
          </cell>
          <cell r="AY1057" t="str">
            <v>Clothes Washer_Front Loader_Commercial</v>
          </cell>
          <cell r="AZ1057" t="str">
            <v>WMWLFCHA</v>
          </cell>
          <cell r="BA1057" t="str">
            <v>Clothes Washer_Front Loader_Commercial</v>
          </cell>
        </row>
        <row r="1058">
          <cell r="E1058" t="str">
            <v>E-AVGD.A007801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 t="str">
            <v/>
          </cell>
          <cell r="AH1058" t="str">
            <v/>
          </cell>
          <cell r="AI1058" t="str">
            <v/>
          </cell>
          <cell r="AJ1058" t="str">
            <v/>
          </cell>
          <cell r="AK1058" t="str">
            <v>0.000000</v>
          </cell>
          <cell r="AL1058" t="str">
            <v>0</v>
          </cell>
          <cell r="AM1058" t="str">
            <v>Q</v>
          </cell>
          <cell r="AN1058" t="str">
            <v>M0</v>
          </cell>
          <cell r="AO1058" t="str">
            <v>Active(Model)</v>
          </cell>
          <cell r="AP1058" t="str">
            <v/>
          </cell>
          <cell r="AQ1058" t="str">
            <v/>
          </cell>
          <cell r="AR1058" t="str">
            <v>Y</v>
          </cell>
          <cell r="AS1058" t="str">
            <v/>
          </cell>
          <cell r="AT1058" t="str">
            <v>AC</v>
          </cell>
          <cell r="AU1058" t="str">
            <v>Airconditioner</v>
          </cell>
          <cell r="AV1058" t="str">
            <v>ACMV</v>
          </cell>
          <cell r="AW1058" t="str">
            <v>Multi V</v>
          </cell>
          <cell r="AX1058" t="str">
            <v>ACMVID</v>
          </cell>
          <cell r="AY1058" t="str">
            <v>Multi V I/D</v>
          </cell>
          <cell r="AZ1058" t="str">
            <v>ACMVIDAL</v>
          </cell>
          <cell r="BA1058" t="str">
            <v>Multi V_Air Handling Unit_DX(Outsourcing)</v>
          </cell>
        </row>
        <row r="1059">
          <cell r="E1059" t="str">
            <v>E-AVGD.A007802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 t="str">
            <v/>
          </cell>
          <cell r="AH1059" t="str">
            <v/>
          </cell>
          <cell r="AI1059" t="str">
            <v/>
          </cell>
          <cell r="AJ1059" t="str">
            <v/>
          </cell>
          <cell r="AK1059" t="str">
            <v>0.000000</v>
          </cell>
          <cell r="AL1059" t="str">
            <v>0</v>
          </cell>
          <cell r="AM1059" t="str">
            <v>Q</v>
          </cell>
          <cell r="AN1059" t="str">
            <v>M0</v>
          </cell>
          <cell r="AO1059" t="str">
            <v>Active(Model)</v>
          </cell>
          <cell r="AP1059" t="str">
            <v/>
          </cell>
          <cell r="AQ1059" t="str">
            <v/>
          </cell>
          <cell r="AR1059" t="str">
            <v>Y</v>
          </cell>
          <cell r="AS1059" t="str">
            <v/>
          </cell>
          <cell r="AT1059" t="str">
            <v>AC</v>
          </cell>
          <cell r="AU1059" t="str">
            <v>Airconditioner</v>
          </cell>
          <cell r="AV1059" t="str">
            <v>ACMV</v>
          </cell>
          <cell r="AW1059" t="str">
            <v>Multi V</v>
          </cell>
          <cell r="AX1059" t="str">
            <v>ACMVID</v>
          </cell>
          <cell r="AY1059" t="str">
            <v>Multi V I/D</v>
          </cell>
          <cell r="AZ1059" t="str">
            <v>ACMVIDAL</v>
          </cell>
          <cell r="BA1059" t="str">
            <v>Multi V_Air Handling Unit_DX(Outsourcing)</v>
          </cell>
        </row>
        <row r="1060">
          <cell r="E1060" t="str">
            <v>F2515RNTG.AEGPEVN</v>
          </cell>
          <cell r="F1060">
            <v>0</v>
          </cell>
          <cell r="G1060">
            <v>0</v>
          </cell>
          <cell r="H1060">
            <v>0</v>
          </cell>
          <cell r="I1060">
            <v>21</v>
          </cell>
          <cell r="J1060">
            <v>0</v>
          </cell>
          <cell r="K1060">
            <v>5</v>
          </cell>
          <cell r="L1060">
            <v>0</v>
          </cell>
          <cell r="M1060">
            <v>10</v>
          </cell>
          <cell r="N1060">
            <v>0</v>
          </cell>
          <cell r="O1060">
            <v>3</v>
          </cell>
          <cell r="P1060">
            <v>10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 t="str">
            <v>WMPREMIUM</v>
          </cell>
          <cell r="AH1060" t="str">
            <v>WM_Premium</v>
          </cell>
          <cell r="AI1060" t="str">
            <v/>
          </cell>
          <cell r="AJ1060" t="str">
            <v/>
          </cell>
          <cell r="AK1060" t="str">
            <v>0.485214</v>
          </cell>
          <cell r="AL1060" t="str">
            <v>2</v>
          </cell>
          <cell r="AM1060" t="str">
            <v>Q</v>
          </cell>
          <cell r="AN1060" t="str">
            <v>M0</v>
          </cell>
          <cell r="AO1060" t="str">
            <v>Active(Model)</v>
          </cell>
          <cell r="AP1060" t="str">
            <v/>
          </cell>
          <cell r="AQ1060" t="str">
            <v/>
          </cell>
          <cell r="AR1060" t="str">
            <v>Y</v>
          </cell>
          <cell r="AS1060" t="str">
            <v/>
          </cell>
          <cell r="AT1060" t="str">
            <v>WM</v>
          </cell>
          <cell r="AU1060" t="str">
            <v>Washing Machine</v>
          </cell>
          <cell r="AV1060" t="str">
            <v>WMWL</v>
          </cell>
          <cell r="AW1060" t="str">
            <v>Clothes Washer</v>
          </cell>
          <cell r="AX1060" t="str">
            <v>WMWLFL</v>
          </cell>
          <cell r="AY1060" t="str">
            <v>Clothes Washer_Front Loader</v>
          </cell>
          <cell r="AZ1060" t="str">
            <v>WMWLFLDB</v>
          </cell>
          <cell r="BA1060" t="str">
            <v>Clothes Washer_Drum_25</v>
          </cell>
        </row>
        <row r="1061">
          <cell r="E1061" t="str">
            <v>F2515SNTG.AEGPEVN</v>
          </cell>
          <cell r="F1061">
            <v>126</v>
          </cell>
          <cell r="G1061">
            <v>0</v>
          </cell>
          <cell r="H1061">
            <v>0</v>
          </cell>
          <cell r="I1061">
            <v>282</v>
          </cell>
          <cell r="J1061">
            <v>5</v>
          </cell>
          <cell r="K1061">
            <v>130</v>
          </cell>
          <cell r="L1061">
            <v>0</v>
          </cell>
          <cell r="M1061">
            <v>115</v>
          </cell>
          <cell r="N1061">
            <v>12</v>
          </cell>
          <cell r="O1061">
            <v>69</v>
          </cell>
          <cell r="P1061">
            <v>127</v>
          </cell>
          <cell r="Q1061">
            <v>7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10</v>
          </cell>
          <cell r="AF1061">
            <v>0</v>
          </cell>
          <cell r="AG1061" t="str">
            <v>WMPREMIUM</v>
          </cell>
          <cell r="AH1061" t="str">
            <v>WM_Premium</v>
          </cell>
          <cell r="AI1061" t="str">
            <v/>
          </cell>
          <cell r="AJ1061" t="str">
            <v/>
          </cell>
          <cell r="AK1061" t="str">
            <v>0.485214</v>
          </cell>
          <cell r="AL1061" t="str">
            <v>2</v>
          </cell>
          <cell r="AM1061" t="str">
            <v>Q</v>
          </cell>
          <cell r="AN1061" t="str">
            <v>M0</v>
          </cell>
          <cell r="AO1061" t="str">
            <v>Active(Model)</v>
          </cell>
          <cell r="AP1061" t="str">
            <v/>
          </cell>
          <cell r="AQ1061" t="str">
            <v/>
          </cell>
          <cell r="AR1061" t="str">
            <v>Y</v>
          </cell>
          <cell r="AS1061" t="str">
            <v/>
          </cell>
          <cell r="AT1061" t="str">
            <v>WM</v>
          </cell>
          <cell r="AU1061" t="str">
            <v>Washing Machine</v>
          </cell>
          <cell r="AV1061" t="str">
            <v>WMWL</v>
          </cell>
          <cell r="AW1061" t="str">
            <v>Clothes Washer</v>
          </cell>
          <cell r="AX1061" t="str">
            <v>WMWLFL</v>
          </cell>
          <cell r="AY1061" t="str">
            <v>Clothes Washer_Front Loader</v>
          </cell>
          <cell r="AZ1061" t="str">
            <v>WMWLFLDB</v>
          </cell>
          <cell r="BA1061" t="str">
            <v>Clothes Washer_Drum_25</v>
          </cell>
        </row>
        <row r="1062">
          <cell r="E1062" t="str">
            <v>F2517RNTG.AEGPEVN</v>
          </cell>
          <cell r="F1062">
            <v>15</v>
          </cell>
          <cell r="G1062">
            <v>0</v>
          </cell>
          <cell r="H1062">
            <v>0</v>
          </cell>
          <cell r="I1062">
            <v>38</v>
          </cell>
          <cell r="J1062">
            <v>2</v>
          </cell>
          <cell r="K1062">
            <v>0</v>
          </cell>
          <cell r="L1062">
            <v>0</v>
          </cell>
          <cell r="M1062">
            <v>11</v>
          </cell>
          <cell r="N1062">
            <v>0</v>
          </cell>
          <cell r="O1062">
            <v>9</v>
          </cell>
          <cell r="P1062">
            <v>11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2</v>
          </cell>
          <cell r="AF1062">
            <v>0</v>
          </cell>
          <cell r="AG1062" t="str">
            <v>WMPREMIUM</v>
          </cell>
          <cell r="AH1062" t="str">
            <v>WM_Premium</v>
          </cell>
          <cell r="AI1062" t="str">
            <v/>
          </cell>
          <cell r="AJ1062" t="str">
            <v/>
          </cell>
          <cell r="AK1062" t="str">
            <v>0.579360</v>
          </cell>
          <cell r="AL1062" t="str">
            <v>0</v>
          </cell>
          <cell r="AM1062" t="str">
            <v>Q</v>
          </cell>
          <cell r="AN1062" t="str">
            <v>M0</v>
          </cell>
          <cell r="AO1062" t="str">
            <v>Active(Model)</v>
          </cell>
          <cell r="AP1062" t="str">
            <v/>
          </cell>
          <cell r="AQ1062" t="str">
            <v/>
          </cell>
          <cell r="AR1062" t="str">
            <v>Y</v>
          </cell>
          <cell r="AS1062" t="str">
            <v/>
          </cell>
          <cell r="AT1062" t="str">
            <v>WM</v>
          </cell>
          <cell r="AU1062" t="str">
            <v>Washing Machine</v>
          </cell>
          <cell r="AV1062" t="str">
            <v>WMWL</v>
          </cell>
          <cell r="AW1062" t="str">
            <v>Clothes Washer</v>
          </cell>
          <cell r="AX1062" t="str">
            <v>WMWLFL</v>
          </cell>
          <cell r="AY1062" t="str">
            <v>Clothes Washer_Front Loader</v>
          </cell>
          <cell r="AZ1062" t="str">
            <v>WMWLFLDB</v>
          </cell>
          <cell r="BA1062" t="str">
            <v>Clothes Washer_Drum_25</v>
          </cell>
        </row>
        <row r="1063">
          <cell r="E1063" t="str">
            <v>F2517SNTG.AEGPEVN</v>
          </cell>
          <cell r="F1063">
            <v>0</v>
          </cell>
          <cell r="G1063">
            <v>0</v>
          </cell>
          <cell r="H1063">
            <v>0</v>
          </cell>
          <cell r="I1063">
            <v>10</v>
          </cell>
          <cell r="J1063">
            <v>2</v>
          </cell>
          <cell r="K1063">
            <v>308</v>
          </cell>
          <cell r="L1063">
            <v>0</v>
          </cell>
          <cell r="M1063">
            <v>1</v>
          </cell>
          <cell r="N1063">
            <v>0</v>
          </cell>
          <cell r="O1063">
            <v>51</v>
          </cell>
          <cell r="P1063">
            <v>1</v>
          </cell>
          <cell r="Q1063">
            <v>47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5</v>
          </cell>
          <cell r="AF1063">
            <v>0</v>
          </cell>
          <cell r="AG1063" t="str">
            <v>WMPREMIUM</v>
          </cell>
          <cell r="AH1063" t="str">
            <v>WM_Premium</v>
          </cell>
          <cell r="AI1063" t="str">
            <v/>
          </cell>
          <cell r="AJ1063" t="str">
            <v/>
          </cell>
          <cell r="AK1063" t="str">
            <v>0.579360</v>
          </cell>
          <cell r="AL1063" t="str">
            <v>2</v>
          </cell>
          <cell r="AM1063" t="str">
            <v>Q</v>
          </cell>
          <cell r="AN1063" t="str">
            <v>M0</v>
          </cell>
          <cell r="AO1063" t="str">
            <v>Active(Model)</v>
          </cell>
          <cell r="AP1063" t="str">
            <v/>
          </cell>
          <cell r="AQ1063" t="str">
            <v/>
          </cell>
          <cell r="AR1063" t="str">
            <v>Y</v>
          </cell>
          <cell r="AS1063" t="str">
            <v/>
          </cell>
          <cell r="AT1063" t="str">
            <v>WM</v>
          </cell>
          <cell r="AU1063" t="str">
            <v>Washing Machine</v>
          </cell>
          <cell r="AV1063" t="str">
            <v>WMWL</v>
          </cell>
          <cell r="AW1063" t="str">
            <v>Clothes Washer</v>
          </cell>
          <cell r="AX1063" t="str">
            <v>WMWLFL</v>
          </cell>
          <cell r="AY1063" t="str">
            <v>Clothes Washer_Front Loader</v>
          </cell>
          <cell r="AZ1063" t="str">
            <v>WMWLFLDB</v>
          </cell>
          <cell r="BA1063" t="str">
            <v>Clothes Washer_Drum_25</v>
          </cell>
        </row>
        <row r="1064">
          <cell r="E1064" t="str">
            <v>F2520SNTKA.AEBPEVN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1</v>
          </cell>
          <cell r="K1064">
            <v>4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 t="str">
            <v>WMPREMIUM</v>
          </cell>
          <cell r="AH1064" t="str">
            <v>WM_Premium</v>
          </cell>
          <cell r="AI1064" t="str">
            <v/>
          </cell>
          <cell r="AJ1064" t="str">
            <v/>
          </cell>
          <cell r="AK1064" t="str">
            <v>0.579360</v>
          </cell>
          <cell r="AL1064" t="str">
            <v>2</v>
          </cell>
          <cell r="AM1064" t="str">
            <v>Q</v>
          </cell>
          <cell r="AN1064" t="str">
            <v>M0</v>
          </cell>
          <cell r="AO1064" t="str">
            <v>Active(Model)</v>
          </cell>
          <cell r="AP1064" t="str">
            <v/>
          </cell>
          <cell r="AQ1064" t="str">
            <v/>
          </cell>
          <cell r="AR1064" t="str">
            <v>Y</v>
          </cell>
          <cell r="AS1064" t="str">
            <v/>
          </cell>
          <cell r="AT1064" t="str">
            <v>WM</v>
          </cell>
          <cell r="AU1064" t="str">
            <v>Washing Machine</v>
          </cell>
          <cell r="AV1064" t="str">
            <v>WMWL</v>
          </cell>
          <cell r="AW1064" t="str">
            <v>Clothes Washer</v>
          </cell>
          <cell r="AX1064" t="str">
            <v>WMWLFL</v>
          </cell>
          <cell r="AY1064" t="str">
            <v>Clothes Washer_Front Loader</v>
          </cell>
          <cell r="AZ1064" t="str">
            <v>WMWLFLDB</v>
          </cell>
          <cell r="BA1064" t="str">
            <v>Clothes Washer_Drum_25</v>
          </cell>
        </row>
        <row r="1065">
          <cell r="E1065" t="str">
            <v>F40BG.ADBPEVN</v>
          </cell>
          <cell r="F1065">
            <v>1285</v>
          </cell>
          <cell r="G1065">
            <v>0</v>
          </cell>
          <cell r="H1065">
            <v>0</v>
          </cell>
          <cell r="I1065">
            <v>1311</v>
          </cell>
          <cell r="J1065">
            <v>6</v>
          </cell>
          <cell r="K1065">
            <v>400</v>
          </cell>
          <cell r="L1065">
            <v>0</v>
          </cell>
          <cell r="M1065">
            <v>1</v>
          </cell>
          <cell r="N1065">
            <v>7</v>
          </cell>
          <cell r="O1065">
            <v>121</v>
          </cell>
          <cell r="P1065">
            <v>8</v>
          </cell>
          <cell r="Q1065">
            <v>1003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150</v>
          </cell>
          <cell r="AF1065">
            <v>0</v>
          </cell>
          <cell r="AG1065" t="str">
            <v>REFBASIC</v>
          </cell>
          <cell r="AH1065" t="str">
            <v>REF_Basic</v>
          </cell>
          <cell r="AI1065" t="str">
            <v/>
          </cell>
          <cell r="AJ1065" t="str">
            <v/>
          </cell>
          <cell r="AK1065" t="str">
            <v>1.093913</v>
          </cell>
          <cell r="AL1065" t="str">
            <v>2</v>
          </cell>
          <cell r="AM1065" t="str">
            <v>Q</v>
          </cell>
          <cell r="AN1065" t="str">
            <v>M0</v>
          </cell>
          <cell r="AO1065" t="str">
            <v>Active(Model)</v>
          </cell>
          <cell r="AP1065" t="str">
            <v/>
          </cell>
          <cell r="AQ1065" t="str">
            <v/>
          </cell>
          <cell r="AR1065" t="str">
            <v>Y</v>
          </cell>
          <cell r="AS1065" t="str">
            <v/>
          </cell>
          <cell r="AT1065" t="str">
            <v>RF</v>
          </cell>
          <cell r="AU1065" t="str">
            <v>Refrigerator</v>
          </cell>
          <cell r="AV1065" t="str">
            <v>RFBF</v>
          </cell>
          <cell r="AW1065" t="str">
            <v>Bottom Freezer</v>
          </cell>
          <cell r="AX1065" t="str">
            <v>RFBFMD</v>
          </cell>
          <cell r="AY1065" t="str">
            <v>French Door Swing</v>
          </cell>
          <cell r="AZ1065" t="str">
            <v>RFBFMD4D</v>
          </cell>
          <cell r="BA1065" t="str">
            <v>4D F/D Swing</v>
          </cell>
        </row>
        <row r="1066">
          <cell r="E1066" t="str">
            <v>F50BG.ADBPEVN</v>
          </cell>
          <cell r="F1066">
            <v>381</v>
          </cell>
          <cell r="G1066">
            <v>0</v>
          </cell>
          <cell r="H1066">
            <v>0</v>
          </cell>
          <cell r="I1066">
            <v>404</v>
          </cell>
          <cell r="J1066">
            <v>3</v>
          </cell>
          <cell r="K1066">
            <v>600</v>
          </cell>
          <cell r="L1066">
            <v>0</v>
          </cell>
          <cell r="M1066">
            <v>3</v>
          </cell>
          <cell r="N1066">
            <v>1</v>
          </cell>
          <cell r="O1066">
            <v>136</v>
          </cell>
          <cell r="P1066">
            <v>4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53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3</v>
          </cell>
          <cell r="AF1066">
            <v>0</v>
          </cell>
          <cell r="AG1066" t="str">
            <v>REFPREMIUM</v>
          </cell>
          <cell r="AH1066" t="str">
            <v>REF_Premium</v>
          </cell>
          <cell r="AI1066" t="str">
            <v/>
          </cell>
          <cell r="AJ1066" t="str">
            <v/>
          </cell>
          <cell r="AK1066" t="str">
            <v>1.307124</v>
          </cell>
          <cell r="AL1066" t="str">
            <v>2</v>
          </cell>
          <cell r="AM1066" t="str">
            <v>Q</v>
          </cell>
          <cell r="AN1066" t="str">
            <v>M0</v>
          </cell>
          <cell r="AO1066" t="str">
            <v>Active(Model)</v>
          </cell>
          <cell r="AP1066" t="str">
            <v/>
          </cell>
          <cell r="AQ1066" t="str">
            <v/>
          </cell>
          <cell r="AR1066" t="str">
            <v>Y</v>
          </cell>
          <cell r="AS1066" t="str">
            <v/>
          </cell>
          <cell r="AT1066" t="str">
            <v>RF</v>
          </cell>
          <cell r="AU1066" t="str">
            <v>Refrigerator</v>
          </cell>
          <cell r="AV1066" t="str">
            <v>RFBF</v>
          </cell>
          <cell r="AW1066" t="str">
            <v>Bottom Freezer</v>
          </cell>
          <cell r="AX1066" t="str">
            <v>RFBFMD</v>
          </cell>
          <cell r="AY1066" t="str">
            <v>French Door Swing</v>
          </cell>
          <cell r="AZ1066" t="str">
            <v>RFBFMD4D</v>
          </cell>
          <cell r="BA1066" t="str">
            <v>4D F/D Swing</v>
          </cell>
        </row>
        <row r="1067">
          <cell r="E1067" t="str">
            <v>F51EG.ADMPEVN</v>
          </cell>
          <cell r="F1067">
            <v>0</v>
          </cell>
          <cell r="G1067">
            <v>0</v>
          </cell>
          <cell r="H1067">
            <v>0</v>
          </cell>
          <cell r="I1067">
            <v>8</v>
          </cell>
          <cell r="J1067">
            <v>2</v>
          </cell>
          <cell r="K1067">
            <v>24</v>
          </cell>
          <cell r="L1067">
            <v>0</v>
          </cell>
          <cell r="M1067">
            <v>0</v>
          </cell>
          <cell r="N1067">
            <v>0</v>
          </cell>
          <cell r="O1067">
            <v>1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 t="str">
            <v>REFPREMIUM</v>
          </cell>
          <cell r="AH1067" t="str">
            <v>REF_Premium</v>
          </cell>
          <cell r="AI1067" t="str">
            <v/>
          </cell>
          <cell r="AJ1067" t="str">
            <v/>
          </cell>
          <cell r="AK1067" t="str">
            <v>1.266426</v>
          </cell>
          <cell r="AL1067" t="str">
            <v>2</v>
          </cell>
          <cell r="AM1067" t="str">
            <v>Q</v>
          </cell>
          <cell r="AN1067" t="str">
            <v>M0</v>
          </cell>
          <cell r="AO1067" t="str">
            <v>Active(Model)</v>
          </cell>
          <cell r="AP1067" t="str">
            <v/>
          </cell>
          <cell r="AQ1067" t="str">
            <v/>
          </cell>
          <cell r="AR1067" t="str">
            <v>Y</v>
          </cell>
          <cell r="AS1067" t="str">
            <v/>
          </cell>
          <cell r="AT1067" t="str">
            <v>RF</v>
          </cell>
          <cell r="AU1067" t="str">
            <v>Refrigerator</v>
          </cell>
          <cell r="AV1067" t="str">
            <v>RFBF</v>
          </cell>
          <cell r="AW1067" t="str">
            <v>Bottom Freezer</v>
          </cell>
          <cell r="AX1067" t="str">
            <v>RFBFMD</v>
          </cell>
          <cell r="AY1067" t="str">
            <v>French Door Swing</v>
          </cell>
          <cell r="AZ1067" t="str">
            <v>RFBFMD4D</v>
          </cell>
          <cell r="BA1067" t="str">
            <v>4D F/D Swing</v>
          </cell>
        </row>
        <row r="1068">
          <cell r="E1068" t="str">
            <v>F53EGR.ABBPEVN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68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 t="str">
            <v>REFPREPLUS</v>
          </cell>
          <cell r="AH1068" t="str">
            <v>REF_Premium_Plus</v>
          </cell>
          <cell r="AI1068" t="str">
            <v/>
          </cell>
          <cell r="AJ1068" t="str">
            <v/>
          </cell>
          <cell r="AK1068" t="str">
            <v>1.261887</v>
          </cell>
          <cell r="AL1068" t="str">
            <v>2</v>
          </cell>
          <cell r="AM1068" t="str">
            <v>Q</v>
          </cell>
          <cell r="AN1068" t="str">
            <v>M0</v>
          </cell>
          <cell r="AO1068" t="str">
            <v>Active(Model)</v>
          </cell>
          <cell r="AP1068" t="str">
            <v/>
          </cell>
          <cell r="AQ1068" t="str">
            <v/>
          </cell>
          <cell r="AR1068" t="str">
            <v>Y</v>
          </cell>
          <cell r="AS1068" t="str">
            <v/>
          </cell>
          <cell r="AT1068" t="str">
            <v>RF</v>
          </cell>
          <cell r="AU1068" t="str">
            <v>Refrigerator</v>
          </cell>
          <cell r="AV1068" t="str">
            <v>RFBF</v>
          </cell>
          <cell r="AW1068" t="str">
            <v>Bottom Freezer</v>
          </cell>
          <cell r="AX1068" t="str">
            <v>RFBFFD</v>
          </cell>
          <cell r="AY1068" t="str">
            <v>French Door Drawer</v>
          </cell>
          <cell r="AZ1068" t="str">
            <v>RFBFFD4D</v>
          </cell>
          <cell r="BA1068" t="str">
            <v>4D F/D Drawer</v>
          </cell>
        </row>
        <row r="1069">
          <cell r="E1069" t="str">
            <v>F56BG.ABMPEVN</v>
          </cell>
          <cell r="F1069">
            <v>0</v>
          </cell>
          <cell r="G1069">
            <v>0</v>
          </cell>
          <cell r="H1069">
            <v>0</v>
          </cell>
          <cell r="I1069">
            <v>36</v>
          </cell>
          <cell r="J1069">
            <v>0</v>
          </cell>
          <cell r="K1069">
            <v>62</v>
          </cell>
          <cell r="L1069">
            <v>0</v>
          </cell>
          <cell r="M1069">
            <v>2</v>
          </cell>
          <cell r="N1069">
            <v>3</v>
          </cell>
          <cell r="O1069">
            <v>1</v>
          </cell>
          <cell r="P1069">
            <v>5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11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 t="str">
            <v>REFPREMIUM</v>
          </cell>
          <cell r="AH1069" t="str">
            <v>REF_Premium</v>
          </cell>
          <cell r="AI1069" t="str">
            <v/>
          </cell>
          <cell r="AJ1069" t="str">
            <v/>
          </cell>
          <cell r="AK1069" t="str">
            <v>1.270720</v>
          </cell>
          <cell r="AL1069" t="str">
            <v>2</v>
          </cell>
          <cell r="AM1069" t="str">
            <v>Q</v>
          </cell>
          <cell r="AN1069" t="str">
            <v>M0</v>
          </cell>
          <cell r="AO1069" t="str">
            <v>Active(Model)</v>
          </cell>
          <cell r="AP1069" t="str">
            <v/>
          </cell>
          <cell r="AQ1069" t="str">
            <v/>
          </cell>
          <cell r="AR1069" t="str">
            <v>Y</v>
          </cell>
          <cell r="AS1069" t="str">
            <v/>
          </cell>
          <cell r="AT1069" t="str">
            <v>RF</v>
          </cell>
          <cell r="AU1069" t="str">
            <v>Refrigerator</v>
          </cell>
          <cell r="AV1069" t="str">
            <v>RFBF</v>
          </cell>
          <cell r="AW1069" t="str">
            <v>Bottom Freezer</v>
          </cell>
          <cell r="AX1069" t="str">
            <v>RFBFMD</v>
          </cell>
          <cell r="AY1069" t="str">
            <v>French Door Swing</v>
          </cell>
          <cell r="AZ1069" t="str">
            <v>RFBFMD4D</v>
          </cell>
          <cell r="BA1069" t="str">
            <v>4D F/D Swing</v>
          </cell>
        </row>
        <row r="1070">
          <cell r="E1070" t="str">
            <v>F56BGA.ABMPEVN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40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 t="str">
            <v>REFPREMIUM</v>
          </cell>
          <cell r="AH1070" t="str">
            <v>REF_Premium</v>
          </cell>
          <cell r="AI1070" t="str">
            <v/>
          </cell>
          <cell r="AJ1070" t="str">
            <v/>
          </cell>
          <cell r="AK1070" t="str">
            <v>1.270720</v>
          </cell>
          <cell r="AL1070" t="str">
            <v>2</v>
          </cell>
          <cell r="AM1070" t="str">
            <v>Q</v>
          </cell>
          <cell r="AN1070" t="str">
            <v>M0</v>
          </cell>
          <cell r="AO1070" t="str">
            <v>Active(Model)</v>
          </cell>
          <cell r="AP1070" t="str">
            <v/>
          </cell>
          <cell r="AQ1070" t="str">
            <v/>
          </cell>
          <cell r="AR1070" t="str">
            <v>Y</v>
          </cell>
          <cell r="AS1070" t="str">
            <v/>
          </cell>
          <cell r="AT1070" t="str">
            <v>RF</v>
          </cell>
          <cell r="AU1070" t="str">
            <v>Refrigerator</v>
          </cell>
          <cell r="AV1070" t="str">
            <v>RFBF</v>
          </cell>
          <cell r="AW1070" t="str">
            <v>Bottom Freezer</v>
          </cell>
          <cell r="AX1070" t="str">
            <v>RFBFMD</v>
          </cell>
          <cell r="AY1070" t="str">
            <v>French Door Swing</v>
          </cell>
          <cell r="AZ1070" t="str">
            <v>RFBFMD4D</v>
          </cell>
          <cell r="BA1070" t="str">
            <v>4D F/D Swing</v>
          </cell>
        </row>
        <row r="1071">
          <cell r="E1071" t="str">
            <v>F58BGA.ABMPEVN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 t="str">
            <v>REFPREMIUM</v>
          </cell>
          <cell r="AH1071" t="str">
            <v>REF_Premium</v>
          </cell>
          <cell r="AI1071" t="str">
            <v/>
          </cell>
          <cell r="AJ1071" t="str">
            <v/>
          </cell>
          <cell r="AK1071" t="str">
            <v>1.270720</v>
          </cell>
          <cell r="AL1071" t="str">
            <v>2</v>
          </cell>
          <cell r="AM1071" t="str">
            <v>Q</v>
          </cell>
          <cell r="AN1071" t="str">
            <v>M0</v>
          </cell>
          <cell r="AO1071" t="str">
            <v>Active(Model)</v>
          </cell>
          <cell r="AP1071" t="str">
            <v/>
          </cell>
          <cell r="AQ1071" t="str">
            <v/>
          </cell>
          <cell r="AR1071" t="str">
            <v>Y</v>
          </cell>
          <cell r="AS1071" t="str">
            <v/>
          </cell>
          <cell r="AT1071" t="str">
            <v>RF</v>
          </cell>
          <cell r="AU1071" t="str">
            <v>Refrigerator</v>
          </cell>
          <cell r="AV1071" t="str">
            <v>RFBF</v>
          </cell>
          <cell r="AW1071" t="str">
            <v>Bottom Freezer</v>
          </cell>
          <cell r="AX1071" t="str">
            <v>RFBFMD</v>
          </cell>
          <cell r="AY1071" t="str">
            <v>French Door Swing</v>
          </cell>
          <cell r="AZ1071" t="str">
            <v>RFBFMD4D</v>
          </cell>
          <cell r="BA1071" t="str">
            <v>4D F/D Swing</v>
          </cell>
        </row>
        <row r="1072">
          <cell r="E1072" t="str">
            <v>F58BGD.ABMPEVN</v>
          </cell>
          <cell r="F1072">
            <v>102</v>
          </cell>
          <cell r="G1072">
            <v>0</v>
          </cell>
          <cell r="H1072">
            <v>0</v>
          </cell>
          <cell r="I1072">
            <v>123</v>
          </cell>
          <cell r="J1072">
            <v>0</v>
          </cell>
          <cell r="K1072">
            <v>30</v>
          </cell>
          <cell r="L1072">
            <v>0</v>
          </cell>
          <cell r="M1072">
            <v>2</v>
          </cell>
          <cell r="N1072">
            <v>3</v>
          </cell>
          <cell r="O1072">
            <v>8</v>
          </cell>
          <cell r="P1072">
            <v>5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 t="str">
            <v>REFPREPLUS</v>
          </cell>
          <cell r="AH1072" t="str">
            <v>REF_Premium_Plus</v>
          </cell>
          <cell r="AI1072" t="str">
            <v/>
          </cell>
          <cell r="AJ1072" t="str">
            <v/>
          </cell>
          <cell r="AK1072" t="str">
            <v>1.289601</v>
          </cell>
          <cell r="AL1072" t="str">
            <v>2</v>
          </cell>
          <cell r="AM1072" t="str">
            <v>F</v>
          </cell>
          <cell r="AN1072" t="str">
            <v>M0</v>
          </cell>
          <cell r="AO1072" t="str">
            <v>Active(Model)</v>
          </cell>
          <cell r="AP1072" t="str">
            <v/>
          </cell>
          <cell r="AQ1072" t="str">
            <v/>
          </cell>
          <cell r="AR1072" t="str">
            <v>Y</v>
          </cell>
          <cell r="AS1072" t="str">
            <v/>
          </cell>
          <cell r="AT1072" t="str">
            <v>RF</v>
          </cell>
          <cell r="AU1072" t="str">
            <v>Refrigerator</v>
          </cell>
          <cell r="AV1072" t="str">
            <v>RFBF</v>
          </cell>
          <cell r="AW1072" t="str">
            <v>Bottom Freezer</v>
          </cell>
          <cell r="AX1072" t="str">
            <v>RFBFMD</v>
          </cell>
          <cell r="AY1072" t="str">
            <v>French Door Swing</v>
          </cell>
          <cell r="AZ1072" t="str">
            <v>RFBFMD4D</v>
          </cell>
          <cell r="BA1072" t="str">
            <v>4D F/D Swing</v>
          </cell>
        </row>
        <row r="1073">
          <cell r="E1073" t="str">
            <v>F61BMD.AEPPEVN</v>
          </cell>
          <cell r="F1073">
            <v>0</v>
          </cell>
          <cell r="G1073">
            <v>0</v>
          </cell>
          <cell r="H1073">
            <v>0</v>
          </cell>
          <cell r="I1073">
            <v>10</v>
          </cell>
          <cell r="J1073">
            <v>1</v>
          </cell>
          <cell r="K1073">
            <v>0</v>
          </cell>
          <cell r="L1073">
            <v>0</v>
          </cell>
          <cell r="M1073">
            <v>0</v>
          </cell>
          <cell r="N1073">
            <v>1</v>
          </cell>
          <cell r="O1073">
            <v>22</v>
          </cell>
          <cell r="P1073">
            <v>1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 t="str">
            <v>REFPREPLUS</v>
          </cell>
          <cell r="AH1073" t="str">
            <v>REF_Premium_Plus</v>
          </cell>
          <cell r="AI1073" t="str">
            <v/>
          </cell>
          <cell r="AJ1073" t="str">
            <v/>
          </cell>
          <cell r="AK1073" t="str">
            <v>1.347179</v>
          </cell>
          <cell r="AL1073" t="str">
            <v>2</v>
          </cell>
          <cell r="AM1073" t="str">
            <v>F</v>
          </cell>
          <cell r="AN1073" t="str">
            <v>M0</v>
          </cell>
          <cell r="AO1073" t="str">
            <v>Active(Model)</v>
          </cell>
          <cell r="AP1073" t="str">
            <v/>
          </cell>
          <cell r="AQ1073" t="str">
            <v/>
          </cell>
          <cell r="AR1073" t="str">
            <v>Y</v>
          </cell>
          <cell r="AS1073" t="str">
            <v/>
          </cell>
          <cell r="AT1073" t="str">
            <v>RF</v>
          </cell>
          <cell r="AU1073" t="str">
            <v>Refrigerator</v>
          </cell>
          <cell r="AV1073" t="str">
            <v>RFBF</v>
          </cell>
          <cell r="AW1073" t="str">
            <v>Bottom Freezer</v>
          </cell>
          <cell r="AX1073" t="str">
            <v>RFBFMD</v>
          </cell>
          <cell r="AY1073" t="str">
            <v>French Door Swing</v>
          </cell>
          <cell r="AZ1073" t="str">
            <v>RFBFMD4D</v>
          </cell>
          <cell r="BA1073" t="str">
            <v>4D F/D Swing</v>
          </cell>
        </row>
        <row r="1074">
          <cell r="E1074" t="str">
            <v>FB1209D5M.AMBPEVN</v>
          </cell>
          <cell r="F1074">
            <v>0</v>
          </cell>
          <cell r="G1074">
            <v>0</v>
          </cell>
          <cell r="H1074">
            <v>0</v>
          </cell>
          <cell r="I1074">
            <v>2</v>
          </cell>
          <cell r="J1074">
            <v>0</v>
          </cell>
          <cell r="K1074">
            <v>131</v>
          </cell>
          <cell r="L1074">
            <v>0</v>
          </cell>
          <cell r="M1074">
            <v>0</v>
          </cell>
          <cell r="N1074">
            <v>0</v>
          </cell>
          <cell r="O1074">
            <v>1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 t="str">
            <v>WMPREMIUM</v>
          </cell>
          <cell r="AH1074" t="str">
            <v>WM_Premium</v>
          </cell>
          <cell r="AI1074" t="str">
            <v/>
          </cell>
          <cell r="AJ1074" t="str">
            <v/>
          </cell>
          <cell r="AK1074" t="str">
            <v>0.387684</v>
          </cell>
          <cell r="AL1074" t="str">
            <v>0</v>
          </cell>
          <cell r="AM1074" t="str">
            <v>Q</v>
          </cell>
          <cell r="AN1074" t="str">
            <v>M0</v>
          </cell>
          <cell r="AO1074" t="str">
            <v>Active(Model)</v>
          </cell>
          <cell r="AP1074" t="str">
            <v/>
          </cell>
          <cell r="AQ1074" t="str">
            <v/>
          </cell>
          <cell r="AR1074" t="str">
            <v>Y</v>
          </cell>
          <cell r="AS1074" t="str">
            <v/>
          </cell>
          <cell r="AT1074" t="str">
            <v>WM</v>
          </cell>
          <cell r="AU1074" t="str">
            <v>Washing Machine</v>
          </cell>
          <cell r="AV1074" t="str">
            <v>WMWL</v>
          </cell>
          <cell r="AW1074" t="str">
            <v>Clothes Washer</v>
          </cell>
          <cell r="AX1074" t="str">
            <v>WMWLFL</v>
          </cell>
          <cell r="AY1074" t="str">
            <v>Clothes Washer_Front Loader</v>
          </cell>
          <cell r="AZ1074" t="str">
            <v>WMWLFLSC</v>
          </cell>
          <cell r="BA1074" t="str">
            <v>Clothes Washer_Drum(DD)_Steam_24</v>
          </cell>
        </row>
        <row r="1075">
          <cell r="E1075" t="str">
            <v>FB1209S5M.AMBPEVN</v>
          </cell>
          <cell r="F1075">
            <v>0</v>
          </cell>
          <cell r="G1075">
            <v>0</v>
          </cell>
          <cell r="H1075">
            <v>0</v>
          </cell>
          <cell r="I1075">
            <v>28</v>
          </cell>
          <cell r="J1075">
            <v>1</v>
          </cell>
          <cell r="K1075">
            <v>53</v>
          </cell>
          <cell r="L1075">
            <v>0</v>
          </cell>
          <cell r="M1075">
            <v>28</v>
          </cell>
          <cell r="N1075">
            <v>0</v>
          </cell>
          <cell r="O1075">
            <v>6</v>
          </cell>
          <cell r="P1075">
            <v>28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 t="str">
            <v>WMPREMIUM</v>
          </cell>
          <cell r="AH1075" t="str">
            <v>WM_Premium</v>
          </cell>
          <cell r="AI1075" t="str">
            <v/>
          </cell>
          <cell r="AJ1075" t="str">
            <v/>
          </cell>
          <cell r="AK1075" t="str">
            <v>0.387684</v>
          </cell>
          <cell r="AL1075" t="str">
            <v>0</v>
          </cell>
          <cell r="AM1075" t="str">
            <v>Q</v>
          </cell>
          <cell r="AN1075" t="str">
            <v>M0</v>
          </cell>
          <cell r="AO1075" t="str">
            <v>Active(Model)</v>
          </cell>
          <cell r="AP1075" t="str">
            <v/>
          </cell>
          <cell r="AQ1075" t="str">
            <v/>
          </cell>
          <cell r="AR1075" t="str">
            <v>Y</v>
          </cell>
          <cell r="AS1075" t="str">
            <v/>
          </cell>
          <cell r="AT1075" t="str">
            <v>WM</v>
          </cell>
          <cell r="AU1075" t="str">
            <v>Washing Machine</v>
          </cell>
          <cell r="AV1075" t="str">
            <v>WMWL</v>
          </cell>
          <cell r="AW1075" t="str">
            <v>Clothes Washer</v>
          </cell>
          <cell r="AX1075" t="str">
            <v>WMWLFL</v>
          </cell>
          <cell r="AY1075" t="str">
            <v>Clothes Washer_Front Loader</v>
          </cell>
          <cell r="AZ1075" t="str">
            <v>WMWLFLSC</v>
          </cell>
          <cell r="BA1075" t="str">
            <v>Clothes Washer_Drum(DD)_Steam_24</v>
          </cell>
        </row>
        <row r="1076">
          <cell r="E1076" t="str">
            <v>FB1209S5O.ANBPEVN</v>
          </cell>
          <cell r="F1076">
            <v>0</v>
          </cell>
          <cell r="G1076">
            <v>0</v>
          </cell>
          <cell r="H1076">
            <v>0</v>
          </cell>
          <cell r="I1076">
            <v>1</v>
          </cell>
          <cell r="J1076">
            <v>1</v>
          </cell>
          <cell r="K1076">
            <v>425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1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1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 t="str">
            <v>WMPREMIUM</v>
          </cell>
          <cell r="AH1076" t="str">
            <v>WM_Premium</v>
          </cell>
          <cell r="AI1076" t="str">
            <v/>
          </cell>
          <cell r="AJ1076" t="str">
            <v/>
          </cell>
          <cell r="AK1076" t="str">
            <v>0.387684</v>
          </cell>
          <cell r="AL1076" t="str">
            <v>2</v>
          </cell>
          <cell r="AM1076" t="str">
            <v>Q</v>
          </cell>
          <cell r="AN1076" t="str">
            <v>M0</v>
          </cell>
          <cell r="AO1076" t="str">
            <v>Active(Model)</v>
          </cell>
          <cell r="AP1076" t="str">
            <v/>
          </cell>
          <cell r="AQ1076" t="str">
            <v/>
          </cell>
          <cell r="AR1076" t="str">
            <v>Y</v>
          </cell>
          <cell r="AS1076" t="str">
            <v/>
          </cell>
          <cell r="AT1076" t="str">
            <v>WM</v>
          </cell>
          <cell r="AU1076" t="str">
            <v>Washing Machine</v>
          </cell>
          <cell r="AV1076" t="str">
            <v>WMWL</v>
          </cell>
          <cell r="AW1076" t="str">
            <v>Clothes Washer</v>
          </cell>
          <cell r="AX1076" t="str">
            <v>WMWLFL</v>
          </cell>
          <cell r="AY1076" t="str">
            <v>Clothes Washer_Front Loader</v>
          </cell>
          <cell r="AZ1076" t="str">
            <v>WMWLFLSC</v>
          </cell>
          <cell r="BA1076" t="str">
            <v>Clothes Washer_Drum(DD)_Steam_24</v>
          </cell>
        </row>
        <row r="1077">
          <cell r="E1077" t="str">
            <v>FB1209S5W.ABWPEVN</v>
          </cell>
          <cell r="F1077">
            <v>0</v>
          </cell>
          <cell r="G1077">
            <v>0</v>
          </cell>
          <cell r="H1077">
            <v>0</v>
          </cell>
          <cell r="I1077">
            <v>18</v>
          </cell>
          <cell r="J1077">
            <v>0</v>
          </cell>
          <cell r="K1077">
            <v>38</v>
          </cell>
          <cell r="L1077">
            <v>0</v>
          </cell>
          <cell r="M1077">
            <v>0</v>
          </cell>
          <cell r="N1077">
            <v>15</v>
          </cell>
          <cell r="O1077">
            <v>139</v>
          </cell>
          <cell r="P1077">
            <v>15</v>
          </cell>
          <cell r="Q1077">
            <v>1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 t="str">
            <v>WMPREMIUM</v>
          </cell>
          <cell r="AH1077" t="str">
            <v>WM_Premium</v>
          </cell>
          <cell r="AI1077" t="str">
            <v/>
          </cell>
          <cell r="AJ1077" t="str">
            <v/>
          </cell>
          <cell r="AK1077" t="str">
            <v>0.381810</v>
          </cell>
          <cell r="AL1077" t="str">
            <v>0</v>
          </cell>
          <cell r="AM1077" t="str">
            <v>Q</v>
          </cell>
          <cell r="AN1077" t="str">
            <v>M0</v>
          </cell>
          <cell r="AO1077" t="str">
            <v>Active(Model)</v>
          </cell>
          <cell r="AP1077" t="str">
            <v/>
          </cell>
          <cell r="AQ1077" t="str">
            <v/>
          </cell>
          <cell r="AR1077" t="str">
            <v>Y</v>
          </cell>
          <cell r="AS1077" t="str">
            <v/>
          </cell>
          <cell r="AT1077" t="str">
            <v>WM</v>
          </cell>
          <cell r="AU1077" t="str">
            <v>Washing Machine</v>
          </cell>
          <cell r="AV1077" t="str">
            <v>WMWL</v>
          </cell>
          <cell r="AW1077" t="str">
            <v>Clothes Washer</v>
          </cell>
          <cell r="AX1077" t="str">
            <v>WMWLFL</v>
          </cell>
          <cell r="AY1077" t="str">
            <v>Clothes Washer_Front Loader</v>
          </cell>
          <cell r="AZ1077" t="str">
            <v>WMWLFLSC</v>
          </cell>
          <cell r="BA1077" t="str">
            <v>Clothes Washer_Drum(DD)_Steam_24</v>
          </cell>
        </row>
        <row r="1078">
          <cell r="E1078" t="str">
            <v>FB1209S6M.AMBPEVN</v>
          </cell>
          <cell r="F1078">
            <v>1</v>
          </cell>
          <cell r="G1078">
            <v>0</v>
          </cell>
          <cell r="H1078">
            <v>0</v>
          </cell>
          <cell r="I1078">
            <v>1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 t="str">
            <v>WMBASIC</v>
          </cell>
          <cell r="AH1078" t="str">
            <v>WM_Basic</v>
          </cell>
          <cell r="AI1078" t="str">
            <v/>
          </cell>
          <cell r="AJ1078" t="str">
            <v/>
          </cell>
          <cell r="AK1078" t="str">
            <v>0.387684</v>
          </cell>
          <cell r="AL1078" t="str">
            <v>0</v>
          </cell>
          <cell r="AM1078" t="str">
            <v>Q</v>
          </cell>
          <cell r="AN1078" t="str">
            <v>M0</v>
          </cell>
          <cell r="AO1078" t="str">
            <v>Active(Model)</v>
          </cell>
          <cell r="AP1078" t="str">
            <v/>
          </cell>
          <cell r="AQ1078" t="str">
            <v/>
          </cell>
          <cell r="AR1078" t="str">
            <v>Y</v>
          </cell>
          <cell r="AS1078" t="str">
            <v/>
          </cell>
          <cell r="AT1078" t="str">
            <v>WM</v>
          </cell>
          <cell r="AU1078" t="str">
            <v>Washing Machine</v>
          </cell>
          <cell r="AV1078" t="str">
            <v>WMWL</v>
          </cell>
          <cell r="AW1078" t="str">
            <v>Clothes Washer</v>
          </cell>
          <cell r="AX1078" t="str">
            <v>WMWLFL</v>
          </cell>
          <cell r="AY1078" t="str">
            <v>Clothes Washer_Front Loader</v>
          </cell>
          <cell r="AZ1078" t="str">
            <v>WMWLFLSC</v>
          </cell>
          <cell r="BA1078" t="str">
            <v>Clothes Washer_Drum(DD)_Steam_24</v>
          </cell>
        </row>
        <row r="1079">
          <cell r="E1079" t="str">
            <v>FB1209S6O.ANBPEVN</v>
          </cell>
          <cell r="F1079">
            <v>37</v>
          </cell>
          <cell r="G1079">
            <v>0</v>
          </cell>
          <cell r="H1079">
            <v>0</v>
          </cell>
          <cell r="I1079">
            <v>43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1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 t="str">
            <v>WMBASIC</v>
          </cell>
          <cell r="AH1079" t="str">
            <v>WM_Basic</v>
          </cell>
          <cell r="AI1079" t="str">
            <v/>
          </cell>
          <cell r="AJ1079" t="str">
            <v/>
          </cell>
          <cell r="AK1079" t="str">
            <v>0.387684</v>
          </cell>
          <cell r="AL1079" t="str">
            <v>2</v>
          </cell>
          <cell r="AM1079" t="str">
            <v>Q</v>
          </cell>
          <cell r="AN1079" t="str">
            <v>M0</v>
          </cell>
          <cell r="AO1079" t="str">
            <v>Active(Model)</v>
          </cell>
          <cell r="AP1079" t="str">
            <v/>
          </cell>
          <cell r="AQ1079" t="str">
            <v/>
          </cell>
          <cell r="AR1079" t="str">
            <v>Y</v>
          </cell>
          <cell r="AS1079" t="str">
            <v/>
          </cell>
          <cell r="AT1079" t="str">
            <v>WM</v>
          </cell>
          <cell r="AU1079" t="str">
            <v>Washing Machine</v>
          </cell>
          <cell r="AV1079" t="str">
            <v>WMWL</v>
          </cell>
          <cell r="AW1079" t="str">
            <v>Clothes Washer</v>
          </cell>
          <cell r="AX1079" t="str">
            <v>WMWLFL</v>
          </cell>
          <cell r="AY1079" t="str">
            <v>Clothes Washer_Front Loader</v>
          </cell>
          <cell r="AZ1079" t="str">
            <v>WMWLFLSC</v>
          </cell>
          <cell r="BA1079" t="str">
            <v>Clothes Washer_Drum(DD)_Steam_24</v>
          </cell>
        </row>
        <row r="1080">
          <cell r="E1080" t="str">
            <v>FB1209S6W1.ABWPEVN</v>
          </cell>
          <cell r="F1080">
            <v>77</v>
          </cell>
          <cell r="G1080">
            <v>0</v>
          </cell>
          <cell r="H1080">
            <v>0</v>
          </cell>
          <cell r="I1080">
            <v>93</v>
          </cell>
          <cell r="J1080">
            <v>2</v>
          </cell>
          <cell r="K1080">
            <v>0</v>
          </cell>
          <cell r="L1080">
            <v>0</v>
          </cell>
          <cell r="M1080">
            <v>2</v>
          </cell>
          <cell r="N1080">
            <v>0</v>
          </cell>
          <cell r="O1080">
            <v>2</v>
          </cell>
          <cell r="P1080">
            <v>2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 t="str">
            <v>WMBASIC</v>
          </cell>
          <cell r="AH1080" t="str">
            <v>WM_Basic</v>
          </cell>
          <cell r="AI1080" t="str">
            <v/>
          </cell>
          <cell r="AJ1080" t="str">
            <v/>
          </cell>
          <cell r="AK1080" t="str">
            <v>0.387684</v>
          </cell>
          <cell r="AL1080" t="str">
            <v>0</v>
          </cell>
          <cell r="AM1080" t="str">
            <v>Q</v>
          </cell>
          <cell r="AN1080" t="str">
            <v>M0</v>
          </cell>
          <cell r="AO1080" t="str">
            <v>Active(Model)</v>
          </cell>
          <cell r="AP1080" t="str">
            <v/>
          </cell>
          <cell r="AQ1080" t="str">
            <v/>
          </cell>
          <cell r="AR1080" t="str">
            <v>Y</v>
          </cell>
          <cell r="AS1080" t="str">
            <v/>
          </cell>
          <cell r="AT1080" t="str">
            <v>WM</v>
          </cell>
          <cell r="AU1080" t="str">
            <v>Washing Machine</v>
          </cell>
          <cell r="AV1080" t="str">
            <v>WMWL</v>
          </cell>
          <cell r="AW1080" t="str">
            <v>Clothes Washer</v>
          </cell>
          <cell r="AX1080" t="str">
            <v>WMWLFL</v>
          </cell>
          <cell r="AY1080" t="str">
            <v>Clothes Washer_Front Loader</v>
          </cell>
          <cell r="AZ1080" t="str">
            <v>WMWLFLSC</v>
          </cell>
          <cell r="BA1080" t="str">
            <v>Clothes Washer_Drum(DD)_Steam_24</v>
          </cell>
        </row>
        <row r="1081">
          <cell r="E1081" t="str">
            <v>FS15GPBK0.ABAE</v>
          </cell>
          <cell r="F1081">
            <v>28</v>
          </cell>
          <cell r="G1081">
            <v>0</v>
          </cell>
          <cell r="H1081">
            <v>0</v>
          </cell>
          <cell r="I1081">
            <v>43</v>
          </cell>
          <cell r="J1081">
            <v>0</v>
          </cell>
          <cell r="K1081">
            <v>0</v>
          </cell>
          <cell r="L1081">
            <v>0</v>
          </cell>
          <cell r="M1081">
            <v>1</v>
          </cell>
          <cell r="N1081">
            <v>1</v>
          </cell>
          <cell r="O1081">
            <v>1</v>
          </cell>
          <cell r="P1081">
            <v>2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 t="str">
            <v/>
          </cell>
          <cell r="AH1081" t="str">
            <v/>
          </cell>
          <cell r="AI1081" t="str">
            <v/>
          </cell>
          <cell r="AJ1081" t="str">
            <v/>
          </cell>
          <cell r="AK1081" t="str">
            <v>0.122368</v>
          </cell>
          <cell r="AL1081" t="str">
            <v>0</v>
          </cell>
          <cell r="AM1081" t="str">
            <v>Q</v>
          </cell>
          <cell r="AN1081" t="str">
            <v>M0</v>
          </cell>
          <cell r="AO1081" t="str">
            <v>Active(Model)</v>
          </cell>
          <cell r="AP1081" t="str">
            <v/>
          </cell>
          <cell r="AQ1081" t="str">
            <v/>
          </cell>
          <cell r="AR1081" t="str">
            <v>Y</v>
          </cell>
          <cell r="AS1081" t="str">
            <v/>
          </cell>
          <cell r="AT1081" t="str">
            <v>HC</v>
          </cell>
          <cell r="AU1081" t="str">
            <v>Healthcare</v>
          </cell>
          <cell r="AV1081" t="str">
            <v>HCWC</v>
          </cell>
          <cell r="AW1081" t="str">
            <v>Wellness care</v>
          </cell>
          <cell r="AX1081" t="str">
            <v>HCWCAS</v>
          </cell>
          <cell r="AY1081" t="str">
            <v>Air Solution</v>
          </cell>
          <cell r="AZ1081" t="str">
            <v>HCWCASAC</v>
          </cell>
          <cell r="BA1081" t="str">
            <v>Air Cleaner</v>
          </cell>
        </row>
        <row r="1082">
          <cell r="E1082" t="str">
            <v>FS15GPCJ0.ABAE</v>
          </cell>
          <cell r="F1082">
            <v>0</v>
          </cell>
          <cell r="G1082">
            <v>0</v>
          </cell>
          <cell r="H1082">
            <v>0</v>
          </cell>
          <cell r="I1082">
            <v>2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 t="str">
            <v/>
          </cell>
          <cell r="AH1082" t="str">
            <v/>
          </cell>
          <cell r="AI1082" t="str">
            <v/>
          </cell>
          <cell r="AJ1082" t="str">
            <v/>
          </cell>
          <cell r="AK1082" t="str">
            <v>0.122368</v>
          </cell>
          <cell r="AL1082" t="str">
            <v>0</v>
          </cell>
          <cell r="AM1082" t="str">
            <v>Q</v>
          </cell>
          <cell r="AN1082" t="str">
            <v>M0</v>
          </cell>
          <cell r="AO1082" t="str">
            <v>Active(Model)</v>
          </cell>
          <cell r="AP1082" t="str">
            <v/>
          </cell>
          <cell r="AQ1082" t="str">
            <v/>
          </cell>
          <cell r="AR1082" t="str">
            <v>Y</v>
          </cell>
          <cell r="AS1082" t="str">
            <v/>
          </cell>
          <cell r="AT1082" t="str">
            <v>HC</v>
          </cell>
          <cell r="AU1082" t="str">
            <v>Healthcare</v>
          </cell>
          <cell r="AV1082" t="str">
            <v>HCWC</v>
          </cell>
          <cell r="AW1082" t="str">
            <v>Wellness care</v>
          </cell>
          <cell r="AX1082" t="str">
            <v>HCWCAS</v>
          </cell>
          <cell r="AY1082" t="str">
            <v>Air Solution</v>
          </cell>
          <cell r="AZ1082" t="str">
            <v>HCWCASAC</v>
          </cell>
          <cell r="BA1082" t="str">
            <v>Air Cleaner</v>
          </cell>
        </row>
        <row r="1083">
          <cell r="E1083" t="str">
            <v>FV1409S4M1.AMBPEVN</v>
          </cell>
          <cell r="F1083">
            <v>219</v>
          </cell>
          <cell r="G1083">
            <v>0</v>
          </cell>
          <cell r="H1083">
            <v>0</v>
          </cell>
          <cell r="I1083">
            <v>324</v>
          </cell>
          <cell r="J1083">
            <v>20</v>
          </cell>
          <cell r="K1083">
            <v>300</v>
          </cell>
          <cell r="L1083">
            <v>0</v>
          </cell>
          <cell r="M1083">
            <v>100</v>
          </cell>
          <cell r="N1083">
            <v>0</v>
          </cell>
          <cell r="O1083">
            <v>192</v>
          </cell>
          <cell r="P1083">
            <v>100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 t="str">
            <v>WMPREMIUM</v>
          </cell>
          <cell r="AH1083" t="str">
            <v>WM_Premium</v>
          </cell>
          <cell r="AI1083" t="str">
            <v/>
          </cell>
          <cell r="AJ1083" t="str">
            <v/>
          </cell>
          <cell r="AK1083" t="str">
            <v>0.383328</v>
          </cell>
          <cell r="AL1083" t="str">
            <v>2</v>
          </cell>
          <cell r="AM1083" t="str">
            <v>F</v>
          </cell>
          <cell r="AN1083" t="str">
            <v>M0</v>
          </cell>
          <cell r="AO1083" t="str">
            <v>Active(Model)</v>
          </cell>
          <cell r="AP1083" t="str">
            <v/>
          </cell>
          <cell r="AQ1083" t="str">
            <v/>
          </cell>
          <cell r="AR1083" t="str">
            <v>Y</v>
          </cell>
          <cell r="AS1083" t="str">
            <v/>
          </cell>
          <cell r="AT1083" t="str">
            <v>WM</v>
          </cell>
          <cell r="AU1083" t="str">
            <v>Washing Machine</v>
          </cell>
          <cell r="AV1083" t="str">
            <v>WMWL</v>
          </cell>
          <cell r="AW1083" t="str">
            <v>Clothes Washer</v>
          </cell>
          <cell r="AX1083" t="str">
            <v>WMWLFL</v>
          </cell>
          <cell r="AY1083" t="str">
            <v>Clothes Washer_Front Loader</v>
          </cell>
          <cell r="AZ1083" t="str">
            <v>WMWLFLSC</v>
          </cell>
          <cell r="BA1083" t="str">
            <v>Clothes Washer_Drum(DD)_Steam_24</v>
          </cell>
        </row>
        <row r="1084">
          <cell r="E1084" t="str">
            <v>FV1410S4M1.AMBPEVN</v>
          </cell>
          <cell r="F1084">
            <v>0</v>
          </cell>
          <cell r="G1084">
            <v>0</v>
          </cell>
          <cell r="H1084">
            <v>0</v>
          </cell>
          <cell r="I1084">
            <v>153</v>
          </cell>
          <cell r="J1084">
            <v>1</v>
          </cell>
          <cell r="K1084">
            <v>1192</v>
          </cell>
          <cell r="L1084">
            <v>0</v>
          </cell>
          <cell r="M1084">
            <v>153</v>
          </cell>
          <cell r="N1084">
            <v>0</v>
          </cell>
          <cell r="O1084">
            <v>200</v>
          </cell>
          <cell r="P1084">
            <v>153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 t="str">
            <v>WMPREMIUM</v>
          </cell>
          <cell r="AH1084" t="str">
            <v>WM_Premium</v>
          </cell>
          <cell r="AI1084" t="str">
            <v/>
          </cell>
          <cell r="AJ1084" t="str">
            <v/>
          </cell>
          <cell r="AK1084" t="str">
            <v>0.383328</v>
          </cell>
          <cell r="AL1084" t="str">
            <v>2</v>
          </cell>
          <cell r="AM1084" t="str">
            <v>F</v>
          </cell>
          <cell r="AN1084" t="str">
            <v>M0</v>
          </cell>
          <cell r="AO1084" t="str">
            <v>Active(Model)</v>
          </cell>
          <cell r="AP1084" t="str">
            <v/>
          </cell>
          <cell r="AQ1084" t="str">
            <v/>
          </cell>
          <cell r="AR1084" t="str">
            <v>Y</v>
          </cell>
          <cell r="AS1084" t="str">
            <v/>
          </cell>
          <cell r="AT1084" t="str">
            <v>WM</v>
          </cell>
          <cell r="AU1084" t="str">
            <v>Washing Machine</v>
          </cell>
          <cell r="AV1084" t="str">
            <v>WMWL</v>
          </cell>
          <cell r="AW1084" t="str">
            <v>Clothes Washer</v>
          </cell>
          <cell r="AX1084" t="str">
            <v>WMWLFL</v>
          </cell>
          <cell r="AY1084" t="str">
            <v>Clothes Washer_Front Loader</v>
          </cell>
          <cell r="AZ1084" t="str">
            <v>WMWLFLSC</v>
          </cell>
          <cell r="BA1084" t="str">
            <v>Clothes Washer_Drum(DD)_Steam_24</v>
          </cell>
        </row>
        <row r="1085">
          <cell r="E1085" t="str">
            <v>FV1410S4W1.ABWPEVN</v>
          </cell>
          <cell r="F1085">
            <v>9</v>
          </cell>
          <cell r="G1085">
            <v>0</v>
          </cell>
          <cell r="H1085">
            <v>0</v>
          </cell>
          <cell r="I1085">
            <v>87</v>
          </cell>
          <cell r="J1085">
            <v>1</v>
          </cell>
          <cell r="K1085">
            <v>0</v>
          </cell>
          <cell r="L1085">
            <v>0</v>
          </cell>
          <cell r="M1085">
            <v>2</v>
          </cell>
          <cell r="N1085">
            <v>0</v>
          </cell>
          <cell r="O1085">
            <v>7</v>
          </cell>
          <cell r="P1085">
            <v>2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 t="str">
            <v>WMPREMIUM</v>
          </cell>
          <cell r="AH1085" t="str">
            <v>WM_Premium</v>
          </cell>
          <cell r="AI1085" t="str">
            <v/>
          </cell>
          <cell r="AJ1085" t="str">
            <v/>
          </cell>
          <cell r="AK1085" t="str">
            <v>0.383328</v>
          </cell>
          <cell r="AL1085" t="str">
            <v>2</v>
          </cell>
          <cell r="AM1085" t="str">
            <v>F</v>
          </cell>
          <cell r="AN1085" t="str">
            <v>M0</v>
          </cell>
          <cell r="AO1085" t="str">
            <v>Active(Model)</v>
          </cell>
          <cell r="AP1085" t="str">
            <v/>
          </cell>
          <cell r="AQ1085" t="str">
            <v/>
          </cell>
          <cell r="AR1085" t="str">
            <v>Y</v>
          </cell>
          <cell r="AS1085" t="str">
            <v/>
          </cell>
          <cell r="AT1085" t="str">
            <v>WM</v>
          </cell>
          <cell r="AU1085" t="str">
            <v>Washing Machine</v>
          </cell>
          <cell r="AV1085" t="str">
            <v>WMWL</v>
          </cell>
          <cell r="AW1085" t="str">
            <v>Clothes Washer</v>
          </cell>
          <cell r="AX1085" t="str">
            <v>WMWLFL</v>
          </cell>
          <cell r="AY1085" t="str">
            <v>Clothes Washer_Front Loader</v>
          </cell>
          <cell r="AZ1085" t="str">
            <v>WMWLFLSC</v>
          </cell>
          <cell r="BA1085" t="str">
            <v>Clothes Washer_Drum(DD)_Steam_24</v>
          </cell>
        </row>
        <row r="1086">
          <cell r="E1086" t="str">
            <v>FV1412S3B.ABLPEVN</v>
          </cell>
          <cell r="F1086">
            <v>0</v>
          </cell>
          <cell r="G1086">
            <v>0</v>
          </cell>
          <cell r="H1086">
            <v>0</v>
          </cell>
          <cell r="I1086">
            <v>234</v>
          </cell>
          <cell r="J1086">
            <v>0</v>
          </cell>
          <cell r="K1086">
            <v>0</v>
          </cell>
          <cell r="L1086">
            <v>0</v>
          </cell>
          <cell r="M1086">
            <v>74</v>
          </cell>
          <cell r="N1086">
            <v>3</v>
          </cell>
          <cell r="O1086">
            <v>0</v>
          </cell>
          <cell r="P1086">
            <v>77</v>
          </cell>
          <cell r="Q1086">
            <v>0</v>
          </cell>
          <cell r="R1086">
            <v>161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 t="str">
            <v>WMPREMIUM</v>
          </cell>
          <cell r="AH1086" t="str">
            <v>WM_Premium</v>
          </cell>
          <cell r="AI1086" t="str">
            <v/>
          </cell>
          <cell r="AJ1086" t="str">
            <v/>
          </cell>
          <cell r="AK1086" t="str">
            <v>0.383328</v>
          </cell>
          <cell r="AL1086" t="str">
            <v>2</v>
          </cell>
          <cell r="AM1086" t="str">
            <v>F</v>
          </cell>
          <cell r="AN1086" t="str">
            <v>M0</v>
          </cell>
          <cell r="AO1086" t="str">
            <v>Active(Model)</v>
          </cell>
          <cell r="AP1086" t="str">
            <v/>
          </cell>
          <cell r="AQ1086" t="str">
            <v/>
          </cell>
          <cell r="AR1086" t="str">
            <v>Y</v>
          </cell>
          <cell r="AS1086" t="str">
            <v/>
          </cell>
          <cell r="AT1086" t="str">
            <v>WM</v>
          </cell>
          <cell r="AU1086" t="str">
            <v>Washing Machine</v>
          </cell>
          <cell r="AV1086" t="str">
            <v>WMWL</v>
          </cell>
          <cell r="AW1086" t="str">
            <v>Clothes Washer</v>
          </cell>
          <cell r="AX1086" t="str">
            <v>WMWLFL</v>
          </cell>
          <cell r="AY1086" t="str">
            <v>Clothes Washer_Front Loader</v>
          </cell>
          <cell r="AZ1086" t="str">
            <v>WMWLFLSC</v>
          </cell>
          <cell r="BA1086" t="str">
            <v>Clothes Washer_Drum(DD)_Steam_24</v>
          </cell>
        </row>
        <row r="1087">
          <cell r="E1087" t="str">
            <v>FX1410N5G.AEGPEVN</v>
          </cell>
          <cell r="F1087">
            <v>15</v>
          </cell>
          <cell r="G1087">
            <v>0</v>
          </cell>
          <cell r="H1087">
            <v>0</v>
          </cell>
          <cell r="I1087">
            <v>146</v>
          </cell>
          <cell r="J1087">
            <v>20</v>
          </cell>
          <cell r="K1087">
            <v>900</v>
          </cell>
          <cell r="L1087">
            <v>0</v>
          </cell>
          <cell r="M1087">
            <v>30</v>
          </cell>
          <cell r="N1087">
            <v>25</v>
          </cell>
          <cell r="O1087">
            <v>25</v>
          </cell>
          <cell r="P1087">
            <v>55</v>
          </cell>
          <cell r="Q1087">
            <v>0</v>
          </cell>
          <cell r="R1087">
            <v>161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20</v>
          </cell>
          <cell r="AF1087">
            <v>0</v>
          </cell>
          <cell r="AG1087" t="str">
            <v>WMPREMIUM</v>
          </cell>
          <cell r="AH1087" t="str">
            <v>WM_Premium</v>
          </cell>
          <cell r="AI1087" t="str">
            <v/>
          </cell>
          <cell r="AJ1087" t="str">
            <v/>
          </cell>
          <cell r="AK1087" t="str">
            <v>0.383328</v>
          </cell>
          <cell r="AL1087" t="str">
            <v>2</v>
          </cell>
          <cell r="AM1087" t="str">
            <v>F</v>
          </cell>
          <cell r="AN1087" t="str">
            <v>M0</v>
          </cell>
          <cell r="AO1087" t="str">
            <v>Active(Model)</v>
          </cell>
          <cell r="AP1087" t="str">
            <v/>
          </cell>
          <cell r="AQ1087" t="str">
            <v/>
          </cell>
          <cell r="AR1087" t="str">
            <v>Y</v>
          </cell>
          <cell r="AS1087" t="str">
            <v/>
          </cell>
          <cell r="AT1087" t="str">
            <v>WM</v>
          </cell>
          <cell r="AU1087" t="str">
            <v>Washing Machine</v>
          </cell>
          <cell r="AV1087" t="str">
            <v>WMWL</v>
          </cell>
          <cell r="AW1087" t="str">
            <v>Clothes Washer</v>
          </cell>
          <cell r="AX1087" t="str">
            <v>WMWLFL</v>
          </cell>
          <cell r="AY1087" t="str">
            <v>Clothes Washer_Front Loader</v>
          </cell>
          <cell r="AZ1087" t="str">
            <v>WMWLFLSC</v>
          </cell>
          <cell r="BA1087" t="str">
            <v>Clothes Washer_Drum(DD)_Steam_24</v>
          </cell>
        </row>
        <row r="1088">
          <cell r="E1088" t="str">
            <v>FX1410N5W.AGWPEVN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90</v>
          </cell>
          <cell r="L1088">
            <v>0</v>
          </cell>
          <cell r="M1088">
            <v>0</v>
          </cell>
          <cell r="N1088">
            <v>0</v>
          </cell>
          <cell r="O1088">
            <v>2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 t="str">
            <v>WMPREMIUM</v>
          </cell>
          <cell r="AH1088" t="str">
            <v>WM_Premium</v>
          </cell>
          <cell r="AI1088" t="str">
            <v/>
          </cell>
          <cell r="AJ1088" t="str">
            <v/>
          </cell>
          <cell r="AK1088" t="str">
            <v>0.383328</v>
          </cell>
          <cell r="AL1088" t="str">
            <v>2</v>
          </cell>
          <cell r="AM1088" t="str">
            <v>F</v>
          </cell>
          <cell r="AN1088" t="str">
            <v>M0</v>
          </cell>
          <cell r="AO1088" t="str">
            <v>Active(Model)</v>
          </cell>
          <cell r="AP1088" t="str">
            <v/>
          </cell>
          <cell r="AQ1088" t="str">
            <v/>
          </cell>
          <cell r="AR1088" t="str">
            <v>Y</v>
          </cell>
          <cell r="AS1088" t="str">
            <v/>
          </cell>
          <cell r="AT1088" t="str">
            <v>WM</v>
          </cell>
          <cell r="AU1088" t="str">
            <v>Washing Machine</v>
          </cell>
          <cell r="AV1088" t="str">
            <v>WMWL</v>
          </cell>
          <cell r="AW1088" t="str">
            <v>Clothes Washer</v>
          </cell>
          <cell r="AX1088" t="str">
            <v>WMWLFL</v>
          </cell>
          <cell r="AY1088" t="str">
            <v>Clothes Washer_Front Loader</v>
          </cell>
          <cell r="AZ1088" t="str">
            <v>WMWLFLSC</v>
          </cell>
          <cell r="BA1088" t="str">
            <v>Clothes Washer_Drum(DD)_Steam_24</v>
          </cell>
        </row>
        <row r="1089">
          <cell r="E1089" t="str">
            <v>FX1411D5G.AEGPEVN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 t="str">
            <v>WMPREMIUM</v>
          </cell>
          <cell r="AH1089" t="str">
            <v>WM_Premium</v>
          </cell>
          <cell r="AI1089" t="str">
            <v/>
          </cell>
          <cell r="AJ1089" t="str">
            <v/>
          </cell>
          <cell r="AK1089" t="str">
            <v>0.383328</v>
          </cell>
          <cell r="AL1089" t="str">
            <v>2</v>
          </cell>
          <cell r="AM1089" t="str">
            <v>F</v>
          </cell>
          <cell r="AN1089" t="str">
            <v>M0</v>
          </cell>
          <cell r="AO1089" t="str">
            <v>Active(Model)</v>
          </cell>
          <cell r="AP1089" t="str">
            <v/>
          </cell>
          <cell r="AQ1089" t="str">
            <v/>
          </cell>
          <cell r="AR1089" t="str">
            <v>Y</v>
          </cell>
          <cell r="AS1089" t="str">
            <v/>
          </cell>
          <cell r="AT1089" t="str">
            <v>WM</v>
          </cell>
          <cell r="AU1089" t="str">
            <v>Washing Machine</v>
          </cell>
          <cell r="AV1089" t="str">
            <v>WMWL</v>
          </cell>
          <cell r="AW1089" t="str">
            <v>Clothes Washer</v>
          </cell>
          <cell r="AX1089" t="str">
            <v>WMWLFL</v>
          </cell>
          <cell r="AY1089" t="str">
            <v>Clothes Washer_Front Loader</v>
          </cell>
          <cell r="AZ1089" t="str">
            <v>WMWLFLSC</v>
          </cell>
          <cell r="BA1089" t="str">
            <v>Clothes Washer_Drum(DD)_Steam_24</v>
          </cell>
        </row>
        <row r="1090">
          <cell r="E1090" t="str">
            <v>FX1411N5G.AEGPEVN</v>
          </cell>
          <cell r="F1090">
            <v>0</v>
          </cell>
          <cell r="G1090">
            <v>0</v>
          </cell>
          <cell r="H1090">
            <v>0</v>
          </cell>
          <cell r="I1090">
            <v>8</v>
          </cell>
          <cell r="J1090">
            <v>0</v>
          </cell>
          <cell r="K1090">
            <v>989</v>
          </cell>
          <cell r="L1090">
            <v>0</v>
          </cell>
          <cell r="M1090">
            <v>0</v>
          </cell>
          <cell r="N1090">
            <v>0</v>
          </cell>
          <cell r="O1090">
            <v>249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 t="str">
            <v>WMPREMIUM</v>
          </cell>
          <cell r="AH1090" t="str">
            <v>WM_Premium</v>
          </cell>
          <cell r="AI1090" t="str">
            <v/>
          </cell>
          <cell r="AJ1090" t="str">
            <v/>
          </cell>
          <cell r="AK1090" t="str">
            <v>0.383328</v>
          </cell>
          <cell r="AL1090" t="str">
            <v>2</v>
          </cell>
          <cell r="AM1090" t="str">
            <v>F</v>
          </cell>
          <cell r="AN1090" t="str">
            <v>M0</v>
          </cell>
          <cell r="AO1090" t="str">
            <v>Active(Model)</v>
          </cell>
          <cell r="AP1090" t="str">
            <v/>
          </cell>
          <cell r="AQ1090" t="str">
            <v/>
          </cell>
          <cell r="AR1090" t="str">
            <v>Y</v>
          </cell>
          <cell r="AS1090" t="str">
            <v/>
          </cell>
          <cell r="AT1090" t="str">
            <v>WM</v>
          </cell>
          <cell r="AU1090" t="str">
            <v>Washing Machine</v>
          </cell>
          <cell r="AV1090" t="str">
            <v>WMWL</v>
          </cell>
          <cell r="AW1090" t="str">
            <v>Clothes Washer</v>
          </cell>
          <cell r="AX1090" t="str">
            <v>WMWLFL</v>
          </cell>
          <cell r="AY1090" t="str">
            <v>Clothes Washer_Front Loader</v>
          </cell>
          <cell r="AZ1090" t="str">
            <v>WMWLFLSC</v>
          </cell>
          <cell r="BA1090" t="str">
            <v>Clothes Washer_Drum(DD)_Steam_24</v>
          </cell>
        </row>
        <row r="1091">
          <cell r="E1091" t="str">
            <v>FX1411N5S.AESPEVN</v>
          </cell>
          <cell r="F1091">
            <v>0</v>
          </cell>
          <cell r="G1091">
            <v>0</v>
          </cell>
          <cell r="H1091">
            <v>0</v>
          </cell>
          <cell r="I1091">
            <v>8</v>
          </cell>
          <cell r="J1091">
            <v>0</v>
          </cell>
          <cell r="K1091">
            <v>120</v>
          </cell>
          <cell r="L1091">
            <v>0</v>
          </cell>
          <cell r="M1091">
            <v>0</v>
          </cell>
          <cell r="N1091">
            <v>0</v>
          </cell>
          <cell r="O1091">
            <v>84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 t="str">
            <v>WMPREMIUM</v>
          </cell>
          <cell r="AH1091" t="str">
            <v>WM_Premium</v>
          </cell>
          <cell r="AI1091" t="str">
            <v/>
          </cell>
          <cell r="AJ1091" t="str">
            <v/>
          </cell>
          <cell r="AK1091" t="str">
            <v>0.383328</v>
          </cell>
          <cell r="AL1091" t="str">
            <v>2</v>
          </cell>
          <cell r="AM1091" t="str">
            <v>F</v>
          </cell>
          <cell r="AN1091" t="str">
            <v>M0</v>
          </cell>
          <cell r="AO1091" t="str">
            <v>Active(Model)</v>
          </cell>
          <cell r="AP1091" t="str">
            <v/>
          </cell>
          <cell r="AQ1091" t="str">
            <v/>
          </cell>
          <cell r="AR1091" t="str">
            <v>Y</v>
          </cell>
          <cell r="AS1091" t="str">
            <v/>
          </cell>
          <cell r="AT1091" t="str">
            <v>WM</v>
          </cell>
          <cell r="AU1091" t="str">
            <v>Washing Machine</v>
          </cell>
          <cell r="AV1091" t="str">
            <v>WMWL</v>
          </cell>
          <cell r="AW1091" t="str">
            <v>Clothes Washer</v>
          </cell>
          <cell r="AX1091" t="str">
            <v>WMWLFL</v>
          </cell>
          <cell r="AY1091" t="str">
            <v>Clothes Washer_Front Loader</v>
          </cell>
          <cell r="AZ1091" t="str">
            <v>WMWLFLSC</v>
          </cell>
          <cell r="BA1091" t="str">
            <v>Clothes Washer_Drum(DD)_Steam_24</v>
          </cell>
        </row>
        <row r="1092">
          <cell r="E1092" t="str">
            <v>FX1411N5W.AGWPEVN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45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 t="str">
            <v>WMPREMIUM</v>
          </cell>
          <cell r="AH1092" t="str">
            <v>WM_Premium</v>
          </cell>
          <cell r="AI1092" t="str">
            <v/>
          </cell>
          <cell r="AJ1092" t="str">
            <v/>
          </cell>
          <cell r="AK1092" t="str">
            <v>0.383328</v>
          </cell>
          <cell r="AL1092" t="str">
            <v>2</v>
          </cell>
          <cell r="AM1092" t="str">
            <v>F</v>
          </cell>
          <cell r="AN1092" t="str">
            <v>M0</v>
          </cell>
          <cell r="AO1092" t="str">
            <v>Active(Model)</v>
          </cell>
          <cell r="AP1092" t="str">
            <v/>
          </cell>
          <cell r="AQ1092" t="str">
            <v/>
          </cell>
          <cell r="AR1092" t="str">
            <v>Y</v>
          </cell>
          <cell r="AS1092" t="str">
            <v/>
          </cell>
          <cell r="AT1092" t="str">
            <v>WM</v>
          </cell>
          <cell r="AU1092" t="str">
            <v>Washing Machine</v>
          </cell>
          <cell r="AV1092" t="str">
            <v>WMWL</v>
          </cell>
          <cell r="AW1092" t="str">
            <v>Clothes Washer</v>
          </cell>
          <cell r="AX1092" t="str">
            <v>WMWLFL</v>
          </cell>
          <cell r="AY1092" t="str">
            <v>Clothes Washer_Front Loader</v>
          </cell>
          <cell r="AZ1092" t="str">
            <v>WMWLFLSC</v>
          </cell>
          <cell r="BA1092" t="str">
            <v>Clothes Washer_Drum(DD)_Steam_24</v>
          </cell>
        </row>
        <row r="1093">
          <cell r="E1093" t="str">
            <v>FX1412D5G.AEGPEVN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20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 t="str">
            <v>WMPREMIUM</v>
          </cell>
          <cell r="AH1093" t="str">
            <v>WM_Premium</v>
          </cell>
          <cell r="AI1093" t="str">
            <v/>
          </cell>
          <cell r="AJ1093" t="str">
            <v/>
          </cell>
          <cell r="AK1093" t="str">
            <v>0.383328</v>
          </cell>
          <cell r="AL1093" t="str">
            <v>2</v>
          </cell>
          <cell r="AM1093" t="str">
            <v>F</v>
          </cell>
          <cell r="AN1093" t="str">
            <v>M0</v>
          </cell>
          <cell r="AO1093" t="str">
            <v>Active(Model)</v>
          </cell>
          <cell r="AP1093" t="str">
            <v/>
          </cell>
          <cell r="AQ1093" t="str">
            <v/>
          </cell>
          <cell r="AR1093" t="str">
            <v>Y</v>
          </cell>
          <cell r="AS1093" t="str">
            <v/>
          </cell>
          <cell r="AT1093" t="str">
            <v>WM</v>
          </cell>
          <cell r="AU1093" t="str">
            <v>Washing Machine</v>
          </cell>
          <cell r="AV1093" t="str">
            <v>WMWL</v>
          </cell>
          <cell r="AW1093" t="str">
            <v>Clothes Washer</v>
          </cell>
          <cell r="AX1093" t="str">
            <v>WMWLFL</v>
          </cell>
          <cell r="AY1093" t="str">
            <v>Clothes Washer_Front Loader</v>
          </cell>
          <cell r="AZ1093" t="str">
            <v>WMWLFLSC</v>
          </cell>
          <cell r="BA1093" t="str">
            <v>Clothes Washer_Drum(DD)_Steam_24</v>
          </cell>
        </row>
        <row r="1094">
          <cell r="E1094" t="str">
            <v>FX1412N5G.AEGPEVN</v>
          </cell>
          <cell r="F1094">
            <v>1771</v>
          </cell>
          <cell r="G1094">
            <v>0</v>
          </cell>
          <cell r="H1094">
            <v>0</v>
          </cell>
          <cell r="I1094">
            <v>1876</v>
          </cell>
          <cell r="J1094">
            <v>13</v>
          </cell>
          <cell r="K1094">
            <v>3800</v>
          </cell>
          <cell r="L1094">
            <v>0</v>
          </cell>
          <cell r="M1094">
            <v>25</v>
          </cell>
          <cell r="N1094">
            <v>1</v>
          </cell>
          <cell r="O1094">
            <v>114</v>
          </cell>
          <cell r="P1094">
            <v>26</v>
          </cell>
          <cell r="Q1094">
            <v>0</v>
          </cell>
          <cell r="R1094">
            <v>483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 t="str">
            <v>WMPREMIUM</v>
          </cell>
          <cell r="AH1094" t="str">
            <v>WM_Premium</v>
          </cell>
          <cell r="AI1094" t="str">
            <v/>
          </cell>
          <cell r="AJ1094" t="str">
            <v/>
          </cell>
          <cell r="AK1094" t="str">
            <v>0.383328</v>
          </cell>
          <cell r="AL1094" t="str">
            <v>2</v>
          </cell>
          <cell r="AM1094" t="str">
            <v>F</v>
          </cell>
          <cell r="AN1094" t="str">
            <v>M0</v>
          </cell>
          <cell r="AO1094" t="str">
            <v>Active(Model)</v>
          </cell>
          <cell r="AP1094" t="str">
            <v/>
          </cell>
          <cell r="AQ1094" t="str">
            <v/>
          </cell>
          <cell r="AR1094" t="str">
            <v>Y</v>
          </cell>
          <cell r="AS1094" t="str">
            <v/>
          </cell>
          <cell r="AT1094" t="str">
            <v>WM</v>
          </cell>
          <cell r="AU1094" t="str">
            <v>Washing Machine</v>
          </cell>
          <cell r="AV1094" t="str">
            <v>WMWL</v>
          </cell>
          <cell r="AW1094" t="str">
            <v>Clothes Washer</v>
          </cell>
          <cell r="AX1094" t="str">
            <v>WMWLFL</v>
          </cell>
          <cell r="AY1094" t="str">
            <v>Clothes Washer_Front Loader</v>
          </cell>
          <cell r="AZ1094" t="str">
            <v>WMWLFLSC</v>
          </cell>
          <cell r="BA1094" t="str">
            <v>Clothes Washer_Drum(DD)_Steam_24</v>
          </cell>
        </row>
        <row r="1095">
          <cell r="E1095" t="str">
            <v>FX1412N5S.AESPEVN</v>
          </cell>
          <cell r="F1095">
            <v>0</v>
          </cell>
          <cell r="G1095">
            <v>0</v>
          </cell>
          <cell r="H1095">
            <v>0</v>
          </cell>
          <cell r="I1095">
            <v>7</v>
          </cell>
          <cell r="J1095">
            <v>0</v>
          </cell>
          <cell r="K1095">
            <v>743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 t="str">
            <v>WMPREMIUM</v>
          </cell>
          <cell r="AH1095" t="str">
            <v>WM_Premium</v>
          </cell>
          <cell r="AI1095" t="str">
            <v/>
          </cell>
          <cell r="AJ1095" t="str">
            <v/>
          </cell>
          <cell r="AK1095" t="str">
            <v>0.383328</v>
          </cell>
          <cell r="AL1095" t="str">
            <v>2</v>
          </cell>
          <cell r="AM1095" t="str">
            <v>F</v>
          </cell>
          <cell r="AN1095" t="str">
            <v>M0</v>
          </cell>
          <cell r="AO1095" t="str">
            <v>Active(Model)</v>
          </cell>
          <cell r="AP1095" t="str">
            <v/>
          </cell>
          <cell r="AQ1095" t="str">
            <v/>
          </cell>
          <cell r="AR1095" t="str">
            <v>Y</v>
          </cell>
          <cell r="AS1095" t="str">
            <v/>
          </cell>
          <cell r="AT1095" t="str">
            <v>WM</v>
          </cell>
          <cell r="AU1095" t="str">
            <v>Washing Machine</v>
          </cell>
          <cell r="AV1095" t="str">
            <v>WMWL</v>
          </cell>
          <cell r="AW1095" t="str">
            <v>Clothes Washer</v>
          </cell>
          <cell r="AX1095" t="str">
            <v>WMWLFL</v>
          </cell>
          <cell r="AY1095" t="str">
            <v>Clothes Washer_Front Loader</v>
          </cell>
          <cell r="AZ1095" t="str">
            <v>WMWLFLSC</v>
          </cell>
          <cell r="BA1095" t="str">
            <v>Clothes Washer_Drum(DD)_Steam_24</v>
          </cell>
        </row>
        <row r="1096">
          <cell r="E1096" t="str">
            <v>FX1412R3KA.AEBPEVN</v>
          </cell>
          <cell r="F1096">
            <v>2</v>
          </cell>
          <cell r="G1096">
            <v>0</v>
          </cell>
          <cell r="H1096">
            <v>0</v>
          </cell>
          <cell r="I1096">
            <v>3</v>
          </cell>
          <cell r="J1096">
            <v>0</v>
          </cell>
          <cell r="K1096">
            <v>50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1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 t="str">
            <v>WMPREMIUM</v>
          </cell>
          <cell r="AH1096" t="str">
            <v>WM_Premium</v>
          </cell>
          <cell r="AI1096" t="str">
            <v/>
          </cell>
          <cell r="AJ1096" t="str">
            <v/>
          </cell>
          <cell r="AK1096" t="str">
            <v>0.387684</v>
          </cell>
          <cell r="AL1096" t="str">
            <v>2</v>
          </cell>
          <cell r="AM1096" t="str">
            <v>F</v>
          </cell>
          <cell r="AN1096" t="str">
            <v>M0</v>
          </cell>
          <cell r="AO1096" t="str">
            <v>Active(Model)</v>
          </cell>
          <cell r="AP1096" t="str">
            <v/>
          </cell>
          <cell r="AQ1096" t="str">
            <v/>
          </cell>
          <cell r="AR1096" t="str">
            <v>Y</v>
          </cell>
          <cell r="AS1096" t="str">
            <v/>
          </cell>
          <cell r="AT1096" t="str">
            <v>WM</v>
          </cell>
          <cell r="AU1096" t="str">
            <v>Washing Machine</v>
          </cell>
          <cell r="AV1096" t="str">
            <v>WMWL</v>
          </cell>
          <cell r="AW1096" t="str">
            <v>Clothes Washer</v>
          </cell>
          <cell r="AX1096" t="str">
            <v>WMWLFL</v>
          </cell>
          <cell r="AY1096" t="str">
            <v>Clothes Washer_Front Loader</v>
          </cell>
          <cell r="AZ1096" t="str">
            <v>WMWLFLSC</v>
          </cell>
          <cell r="BA1096" t="str">
            <v>Clothes Washer_Drum(DD)_Steam_24</v>
          </cell>
        </row>
        <row r="1097">
          <cell r="E1097" t="str">
            <v>FX1412S3G.AEGPEVN</v>
          </cell>
          <cell r="F1097">
            <v>0</v>
          </cell>
          <cell r="G1097">
            <v>0</v>
          </cell>
          <cell r="H1097">
            <v>0</v>
          </cell>
          <cell r="I1097">
            <v>2</v>
          </cell>
          <cell r="J1097">
            <v>6</v>
          </cell>
          <cell r="K1097">
            <v>3</v>
          </cell>
          <cell r="L1097">
            <v>0</v>
          </cell>
          <cell r="M1097">
            <v>1</v>
          </cell>
          <cell r="N1097">
            <v>1</v>
          </cell>
          <cell r="O1097">
            <v>8</v>
          </cell>
          <cell r="P1097">
            <v>2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 t="str">
            <v/>
          </cell>
          <cell r="AH1097" t="str">
            <v/>
          </cell>
          <cell r="AI1097" t="str">
            <v/>
          </cell>
          <cell r="AJ1097" t="str">
            <v/>
          </cell>
          <cell r="AK1097" t="str">
            <v>0.387684</v>
          </cell>
          <cell r="AL1097" t="str">
            <v>2</v>
          </cell>
          <cell r="AM1097" t="str">
            <v>Q</v>
          </cell>
          <cell r="AN1097" t="str">
            <v>M0</v>
          </cell>
          <cell r="AO1097" t="str">
            <v>Active(Model)</v>
          </cell>
          <cell r="AP1097" t="str">
            <v/>
          </cell>
          <cell r="AQ1097" t="str">
            <v/>
          </cell>
          <cell r="AR1097" t="str">
            <v>Y</v>
          </cell>
          <cell r="AS1097" t="str">
            <v/>
          </cell>
          <cell r="AT1097" t="str">
            <v>WM</v>
          </cell>
          <cell r="AU1097" t="str">
            <v>Washing Machine</v>
          </cell>
          <cell r="AV1097" t="str">
            <v>WMWL</v>
          </cell>
          <cell r="AW1097" t="str">
            <v>Clothes Washer</v>
          </cell>
          <cell r="AX1097" t="str">
            <v>WMWLFL</v>
          </cell>
          <cell r="AY1097" t="str">
            <v>Clothes Washer_Front Loader</v>
          </cell>
          <cell r="AZ1097" t="str">
            <v>WMWLFLSC</v>
          </cell>
          <cell r="BA1097" t="str">
            <v>Clothes Washer_Drum(DD)_Steam_24</v>
          </cell>
        </row>
        <row r="1098">
          <cell r="E1098" t="str">
            <v>FX1412S3K.AEBPEVN</v>
          </cell>
          <cell r="F1098">
            <v>0</v>
          </cell>
          <cell r="G1098">
            <v>0</v>
          </cell>
          <cell r="H1098">
            <v>0</v>
          </cell>
          <cell r="I1098">
            <v>1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 t="str">
            <v>WMPREMIUM</v>
          </cell>
          <cell r="AH1098" t="str">
            <v>WM_Premium</v>
          </cell>
          <cell r="AI1098" t="str">
            <v/>
          </cell>
          <cell r="AJ1098" t="str">
            <v/>
          </cell>
          <cell r="AK1098" t="str">
            <v>0.387684</v>
          </cell>
          <cell r="AL1098" t="str">
            <v>2</v>
          </cell>
          <cell r="AM1098" t="str">
            <v>Q</v>
          </cell>
          <cell r="AN1098" t="str">
            <v>M0</v>
          </cell>
          <cell r="AO1098" t="str">
            <v>Active(Model)</v>
          </cell>
          <cell r="AP1098" t="str">
            <v/>
          </cell>
          <cell r="AQ1098" t="str">
            <v/>
          </cell>
          <cell r="AR1098" t="str">
            <v>Y</v>
          </cell>
          <cell r="AS1098" t="str">
            <v/>
          </cell>
          <cell r="AT1098" t="str">
            <v>WM</v>
          </cell>
          <cell r="AU1098" t="str">
            <v>Washing Machine</v>
          </cell>
          <cell r="AV1098" t="str">
            <v>WMWL</v>
          </cell>
          <cell r="AW1098" t="str">
            <v>Clothes Washer</v>
          </cell>
          <cell r="AX1098" t="str">
            <v>WMWLFL</v>
          </cell>
          <cell r="AY1098" t="str">
            <v>Clothes Washer_Front Loader</v>
          </cell>
          <cell r="AZ1098" t="str">
            <v>WMWLFLSC</v>
          </cell>
          <cell r="BA1098" t="str">
            <v>Clothes Washer_Drum(DD)_Steam_24</v>
          </cell>
        </row>
        <row r="1099">
          <cell r="E1099" t="str">
            <v>FX1412S3K.AEBPVVN</v>
          </cell>
          <cell r="F1099">
            <v>0</v>
          </cell>
          <cell r="G1099">
            <v>0</v>
          </cell>
          <cell r="H1099">
            <v>0</v>
          </cell>
          <cell r="I1099">
            <v>24</v>
          </cell>
          <cell r="J1099">
            <v>53</v>
          </cell>
          <cell r="K1099">
            <v>0</v>
          </cell>
          <cell r="L1099">
            <v>0</v>
          </cell>
          <cell r="M1099">
            <v>15</v>
          </cell>
          <cell r="N1099">
            <v>7</v>
          </cell>
          <cell r="O1099">
            <v>7</v>
          </cell>
          <cell r="P1099">
            <v>22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 t="str">
            <v>WMPREMIUM</v>
          </cell>
          <cell r="AH1099" t="str">
            <v>WM_Premium</v>
          </cell>
          <cell r="AI1099" t="str">
            <v/>
          </cell>
          <cell r="AJ1099" t="str">
            <v/>
          </cell>
          <cell r="AK1099" t="str">
            <v>0.387684</v>
          </cell>
          <cell r="AL1099" t="str">
            <v>2</v>
          </cell>
          <cell r="AM1099" t="str">
            <v>F</v>
          </cell>
          <cell r="AN1099" t="str">
            <v>M0</v>
          </cell>
          <cell r="AO1099" t="str">
            <v>Active(Model)</v>
          </cell>
          <cell r="AP1099" t="str">
            <v/>
          </cell>
          <cell r="AQ1099" t="str">
            <v/>
          </cell>
          <cell r="AR1099" t="str">
            <v>Y</v>
          </cell>
          <cell r="AS1099" t="str">
            <v/>
          </cell>
          <cell r="AT1099" t="str">
            <v>WM</v>
          </cell>
          <cell r="AU1099" t="str">
            <v>Washing Machine</v>
          </cell>
          <cell r="AV1099" t="str">
            <v>WMWL</v>
          </cell>
          <cell r="AW1099" t="str">
            <v>Clothes Washer</v>
          </cell>
          <cell r="AX1099" t="str">
            <v>WMWLFL</v>
          </cell>
          <cell r="AY1099" t="str">
            <v>Clothes Washer_Front Loader</v>
          </cell>
          <cell r="AZ1099" t="str">
            <v>WMWLFLSC</v>
          </cell>
          <cell r="BA1099" t="str">
            <v>Clothes Washer_Drum(DD)_Steam_24</v>
          </cell>
        </row>
        <row r="1100">
          <cell r="E1100" t="str">
            <v>FX1412S3KAV.AEBPEVN</v>
          </cell>
          <cell r="F1100">
            <v>0</v>
          </cell>
          <cell r="G1100">
            <v>0</v>
          </cell>
          <cell r="H1100">
            <v>0</v>
          </cell>
          <cell r="I1100">
            <v>45</v>
          </cell>
          <cell r="J1100">
            <v>6</v>
          </cell>
          <cell r="K1100">
            <v>27</v>
          </cell>
          <cell r="L1100">
            <v>0</v>
          </cell>
          <cell r="M1100">
            <v>3</v>
          </cell>
          <cell r="N1100">
            <v>2</v>
          </cell>
          <cell r="O1100">
            <v>39</v>
          </cell>
          <cell r="P1100">
            <v>5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 t="str">
            <v>WMPREMIUM</v>
          </cell>
          <cell r="AH1100" t="str">
            <v>WM_Premium</v>
          </cell>
          <cell r="AI1100" t="str">
            <v/>
          </cell>
          <cell r="AJ1100" t="str">
            <v/>
          </cell>
          <cell r="AK1100" t="str">
            <v>0.383328</v>
          </cell>
          <cell r="AL1100" t="str">
            <v>2</v>
          </cell>
          <cell r="AM1100" t="str">
            <v>F</v>
          </cell>
          <cell r="AN1100" t="str">
            <v>M0</v>
          </cell>
          <cell r="AO1100" t="str">
            <v>Active(Model)</v>
          </cell>
          <cell r="AP1100" t="str">
            <v/>
          </cell>
          <cell r="AQ1100" t="str">
            <v/>
          </cell>
          <cell r="AR1100" t="str">
            <v>Y</v>
          </cell>
          <cell r="AS1100" t="str">
            <v/>
          </cell>
          <cell r="AT1100" t="str">
            <v>WM</v>
          </cell>
          <cell r="AU1100" t="str">
            <v>Washing Machine</v>
          </cell>
          <cell r="AV1100" t="str">
            <v>WMWL</v>
          </cell>
          <cell r="AW1100" t="str">
            <v>Clothes Washer</v>
          </cell>
          <cell r="AX1100" t="str">
            <v>WMWLFL</v>
          </cell>
          <cell r="AY1100" t="str">
            <v>Clothes Washer_Front Loader</v>
          </cell>
          <cell r="AZ1100" t="str">
            <v>WMWLFLSC</v>
          </cell>
          <cell r="BA1100" t="str">
            <v>Clothes Washer_Drum(DD)_Steam_24</v>
          </cell>
        </row>
        <row r="1101">
          <cell r="E1101" t="str">
            <v>FX1413S3KA.AEBPEVN</v>
          </cell>
          <cell r="F1101">
            <v>0</v>
          </cell>
          <cell r="G1101">
            <v>0</v>
          </cell>
          <cell r="H1101">
            <v>0</v>
          </cell>
          <cell r="I1101">
            <v>1</v>
          </cell>
          <cell r="J1101">
            <v>0</v>
          </cell>
          <cell r="K1101">
            <v>66</v>
          </cell>
          <cell r="L1101">
            <v>0</v>
          </cell>
          <cell r="M1101">
            <v>0</v>
          </cell>
          <cell r="N1101">
            <v>1</v>
          </cell>
          <cell r="O1101">
            <v>115</v>
          </cell>
          <cell r="P1101">
            <v>1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 t="str">
            <v>WMPREMIUM</v>
          </cell>
          <cell r="AH1101" t="str">
            <v>WM_Premium</v>
          </cell>
          <cell r="AI1101" t="str">
            <v/>
          </cell>
          <cell r="AJ1101" t="str">
            <v/>
          </cell>
          <cell r="AK1101" t="str">
            <v>0.414117</v>
          </cell>
          <cell r="AL1101" t="str">
            <v>2</v>
          </cell>
          <cell r="AM1101" t="str">
            <v>Q</v>
          </cell>
          <cell r="AN1101" t="str">
            <v>M0</v>
          </cell>
          <cell r="AO1101" t="str">
            <v>Active(Model)</v>
          </cell>
          <cell r="AP1101" t="str">
            <v/>
          </cell>
          <cell r="AQ1101" t="str">
            <v/>
          </cell>
          <cell r="AR1101" t="str">
            <v>Y</v>
          </cell>
          <cell r="AS1101" t="str">
            <v/>
          </cell>
          <cell r="AT1101" t="str">
            <v>WM</v>
          </cell>
          <cell r="AU1101" t="str">
            <v>Washing Machine</v>
          </cell>
          <cell r="AV1101" t="str">
            <v>WMWL</v>
          </cell>
          <cell r="AW1101" t="str">
            <v>Clothes Washer</v>
          </cell>
          <cell r="AX1101" t="str">
            <v>WMWLFL</v>
          </cell>
          <cell r="AY1101" t="str">
            <v>Clothes Washer_Front Loader</v>
          </cell>
          <cell r="AZ1101" t="str">
            <v>WMWLFLSC</v>
          </cell>
          <cell r="BA1101" t="str">
            <v>Clothes Washer_Drum(DD)_Steam_24</v>
          </cell>
        </row>
        <row r="1102">
          <cell r="E1102" t="str">
            <v>FX1413S5G.AEGPEVN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46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1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 t="str">
            <v/>
          </cell>
          <cell r="AH1102" t="str">
            <v/>
          </cell>
          <cell r="AI1102" t="str">
            <v/>
          </cell>
          <cell r="AJ1102" t="str">
            <v/>
          </cell>
          <cell r="AK1102" t="str">
            <v>0.414117</v>
          </cell>
          <cell r="AL1102" t="str">
            <v>2</v>
          </cell>
          <cell r="AM1102" t="str">
            <v>Q</v>
          </cell>
          <cell r="AN1102" t="str">
            <v>M0</v>
          </cell>
          <cell r="AO1102" t="str">
            <v>Active(Model)</v>
          </cell>
          <cell r="AP1102" t="str">
            <v/>
          </cell>
          <cell r="AQ1102" t="str">
            <v/>
          </cell>
          <cell r="AR1102" t="str">
            <v>Y</v>
          </cell>
          <cell r="AS1102" t="str">
            <v/>
          </cell>
          <cell r="AT1102" t="str">
            <v>WM</v>
          </cell>
          <cell r="AU1102" t="str">
            <v>Washing Machine</v>
          </cell>
          <cell r="AV1102" t="str">
            <v>WMWL</v>
          </cell>
          <cell r="AW1102" t="str">
            <v>Clothes Washer</v>
          </cell>
          <cell r="AX1102" t="str">
            <v>WMWLFL</v>
          </cell>
          <cell r="AY1102" t="str">
            <v>Clothes Washer_Front Loader</v>
          </cell>
          <cell r="AZ1102" t="str">
            <v>WMWLFLSC</v>
          </cell>
          <cell r="BA1102" t="str">
            <v>Clothes Washer_Drum(DD)_Steam_24</v>
          </cell>
        </row>
        <row r="1103">
          <cell r="E1103" t="str">
            <v>FX1414R3KA.AEBPEVN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 t="str">
            <v>WMPREMIUM</v>
          </cell>
          <cell r="AH1103" t="str">
            <v>WM_Premium</v>
          </cell>
          <cell r="AI1103" t="str">
            <v/>
          </cell>
          <cell r="AJ1103" t="str">
            <v/>
          </cell>
          <cell r="AK1103" t="str">
            <v>0.414117</v>
          </cell>
          <cell r="AL1103" t="str">
            <v>2</v>
          </cell>
          <cell r="AM1103" t="str">
            <v>Q</v>
          </cell>
          <cell r="AN1103" t="str">
            <v>M0</v>
          </cell>
          <cell r="AO1103" t="str">
            <v>Active(Model)</v>
          </cell>
          <cell r="AP1103" t="str">
            <v/>
          </cell>
          <cell r="AQ1103" t="str">
            <v/>
          </cell>
          <cell r="AR1103" t="str">
            <v>Y</v>
          </cell>
          <cell r="AS1103" t="str">
            <v/>
          </cell>
          <cell r="AT1103" t="str">
            <v>WM</v>
          </cell>
          <cell r="AU1103" t="str">
            <v>Washing Machine</v>
          </cell>
          <cell r="AV1103" t="str">
            <v>WMWL</v>
          </cell>
          <cell r="AW1103" t="str">
            <v>Clothes Washer</v>
          </cell>
          <cell r="AX1103" t="str">
            <v>WMWLFL</v>
          </cell>
          <cell r="AY1103" t="str">
            <v>Clothes Washer_Front Loader</v>
          </cell>
          <cell r="AZ1103" t="str">
            <v>WMWLFLSC</v>
          </cell>
          <cell r="BA1103" t="str">
            <v>Clothes Washer_Drum(DD)_Steam_24</v>
          </cell>
        </row>
        <row r="1104">
          <cell r="E1104" t="str">
            <v>FX1414S3KA.AEBPEVN</v>
          </cell>
          <cell r="F1104">
            <v>0</v>
          </cell>
          <cell r="G1104">
            <v>0</v>
          </cell>
          <cell r="H1104">
            <v>0</v>
          </cell>
          <cell r="I1104">
            <v>7</v>
          </cell>
          <cell r="J1104">
            <v>0</v>
          </cell>
          <cell r="K1104">
            <v>61</v>
          </cell>
          <cell r="L1104">
            <v>0</v>
          </cell>
          <cell r="M1104">
            <v>1</v>
          </cell>
          <cell r="N1104">
            <v>5</v>
          </cell>
          <cell r="O1104">
            <v>0</v>
          </cell>
          <cell r="P1104">
            <v>6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 t="str">
            <v>WMPREMIUM</v>
          </cell>
          <cell r="AH1104" t="str">
            <v>WM_Premium</v>
          </cell>
          <cell r="AI1104" t="str">
            <v/>
          </cell>
          <cell r="AJ1104" t="str">
            <v/>
          </cell>
          <cell r="AK1104" t="str">
            <v>0.414117</v>
          </cell>
          <cell r="AL1104" t="str">
            <v>2</v>
          </cell>
          <cell r="AM1104" t="str">
            <v>Q</v>
          </cell>
          <cell r="AN1104" t="str">
            <v>M0</v>
          </cell>
          <cell r="AO1104" t="str">
            <v>Active(Model)</v>
          </cell>
          <cell r="AP1104" t="str">
            <v/>
          </cell>
          <cell r="AQ1104" t="str">
            <v/>
          </cell>
          <cell r="AR1104" t="str">
            <v>Y</v>
          </cell>
          <cell r="AS1104" t="str">
            <v/>
          </cell>
          <cell r="AT1104" t="str">
            <v>WM</v>
          </cell>
          <cell r="AU1104" t="str">
            <v>Washing Machine</v>
          </cell>
          <cell r="AV1104" t="str">
            <v>WMWL</v>
          </cell>
          <cell r="AW1104" t="str">
            <v>Clothes Washer</v>
          </cell>
          <cell r="AX1104" t="str">
            <v>WMWLFL</v>
          </cell>
          <cell r="AY1104" t="str">
            <v>Clothes Washer_Front Loader</v>
          </cell>
          <cell r="AZ1104" t="str">
            <v>WMWLFLSC</v>
          </cell>
          <cell r="BA1104" t="str">
            <v>Clothes Washer_Drum(DD)_Steam_24</v>
          </cell>
        </row>
        <row r="1105">
          <cell r="E1105" t="str">
            <v>GN-B332BG.ABNPEVN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1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 t="str">
            <v>REFBASIC</v>
          </cell>
          <cell r="AH1105" t="str">
            <v>REF_Basic</v>
          </cell>
          <cell r="AI1105" t="str">
            <v/>
          </cell>
          <cell r="AJ1105" t="str">
            <v/>
          </cell>
          <cell r="AK1105" t="str">
            <v>0.872636</v>
          </cell>
          <cell r="AL1105" t="str">
            <v>2</v>
          </cell>
          <cell r="AM1105" t="str">
            <v>Q</v>
          </cell>
          <cell r="AN1105" t="str">
            <v>M0</v>
          </cell>
          <cell r="AO1105" t="str">
            <v>Active(Model)</v>
          </cell>
          <cell r="AP1105" t="str">
            <v/>
          </cell>
          <cell r="AQ1105" t="str">
            <v/>
          </cell>
          <cell r="AR1105" t="str">
            <v>Y</v>
          </cell>
          <cell r="AS1105" t="str">
            <v/>
          </cell>
          <cell r="AT1105" t="str">
            <v>RF</v>
          </cell>
          <cell r="AU1105" t="str">
            <v>Refrigerator</v>
          </cell>
          <cell r="AV1105" t="str">
            <v>RFTM</v>
          </cell>
          <cell r="AW1105" t="str">
            <v>TMNF</v>
          </cell>
          <cell r="AX1105" t="str">
            <v>RFTMTM</v>
          </cell>
          <cell r="AY1105" t="str">
            <v>TMNF</v>
          </cell>
          <cell r="AZ1105" t="str">
            <v>RFTMTMMA</v>
          </cell>
          <cell r="BA1105" t="str">
            <v>Medium REF</v>
          </cell>
        </row>
        <row r="1106">
          <cell r="E1106" t="str">
            <v>GN-D372BLA.ABLPEVN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1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 t="str">
            <v>REFPREMIUM</v>
          </cell>
          <cell r="AH1106" t="str">
            <v>REF_Premium</v>
          </cell>
          <cell r="AI1106" t="str">
            <v/>
          </cell>
          <cell r="AJ1106" t="str">
            <v/>
          </cell>
          <cell r="AK1106" t="str">
            <v>0.963295</v>
          </cell>
          <cell r="AL1106" t="str">
            <v>2</v>
          </cell>
          <cell r="AM1106" t="str">
            <v>Q</v>
          </cell>
          <cell r="AN1106" t="str">
            <v>M0</v>
          </cell>
          <cell r="AO1106" t="str">
            <v>Active(Model)</v>
          </cell>
          <cell r="AP1106" t="str">
            <v/>
          </cell>
          <cell r="AQ1106" t="str">
            <v/>
          </cell>
          <cell r="AR1106" t="str">
            <v>Y</v>
          </cell>
          <cell r="AS1106" t="str">
            <v/>
          </cell>
          <cell r="AT1106" t="str">
            <v>RF</v>
          </cell>
          <cell r="AU1106" t="str">
            <v>Refrigerator</v>
          </cell>
          <cell r="AV1106" t="str">
            <v>RFTM</v>
          </cell>
          <cell r="AW1106" t="str">
            <v>TMNF</v>
          </cell>
          <cell r="AX1106" t="str">
            <v>RFTMTM</v>
          </cell>
          <cell r="AY1106" t="str">
            <v>TMNF</v>
          </cell>
          <cell r="AZ1106" t="str">
            <v>RFTMTMLA</v>
          </cell>
          <cell r="BA1106" t="str">
            <v>Large REF</v>
          </cell>
        </row>
        <row r="1107">
          <cell r="E1107" t="str">
            <v>GR-G257SV.APYPEVN</v>
          </cell>
          <cell r="F1107">
            <v>0</v>
          </cell>
          <cell r="G1107">
            <v>0</v>
          </cell>
          <cell r="H1107">
            <v>0</v>
          </cell>
          <cell r="I1107">
            <v>1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1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 t="str">
            <v>REFPREPLUS</v>
          </cell>
          <cell r="AH1107" t="str">
            <v>REF_Premium_Plus</v>
          </cell>
          <cell r="AI1107" t="str">
            <v/>
          </cell>
          <cell r="AJ1107" t="str">
            <v/>
          </cell>
          <cell r="AK1107" t="str">
            <v>1.415300</v>
          </cell>
          <cell r="AL1107" t="str">
            <v>2</v>
          </cell>
          <cell r="AM1107" t="str">
            <v>Q</v>
          </cell>
          <cell r="AN1107" t="str">
            <v>M0</v>
          </cell>
          <cell r="AO1107" t="str">
            <v>Active(Model)</v>
          </cell>
          <cell r="AP1107" t="str">
            <v/>
          </cell>
          <cell r="AQ1107" t="str">
            <v/>
          </cell>
          <cell r="AR1107" t="str">
            <v>Y</v>
          </cell>
          <cell r="AS1107" t="str">
            <v/>
          </cell>
          <cell r="AT1107" t="str">
            <v>RF</v>
          </cell>
          <cell r="AU1107" t="str">
            <v>Refrigerator</v>
          </cell>
          <cell r="AV1107" t="str">
            <v>RFSS</v>
          </cell>
          <cell r="AW1107" t="str">
            <v>SxS</v>
          </cell>
          <cell r="AX1107" t="str">
            <v>RFSSSS</v>
          </cell>
          <cell r="AY1107" t="str">
            <v>SxS</v>
          </cell>
          <cell r="AZ1107" t="str">
            <v>RFSSSS25</v>
          </cell>
          <cell r="BA1107" t="str">
            <v>SxS 25CU</v>
          </cell>
        </row>
        <row r="1108">
          <cell r="E1108" t="str">
            <v>GR-X257BG.AEEPEVN</v>
          </cell>
          <cell r="F1108">
            <v>0</v>
          </cell>
          <cell r="G1108">
            <v>0</v>
          </cell>
          <cell r="H1108">
            <v>0</v>
          </cell>
          <cell r="I1108">
            <v>11</v>
          </cell>
          <cell r="J1108">
            <v>0</v>
          </cell>
          <cell r="K1108">
            <v>2</v>
          </cell>
          <cell r="L1108">
            <v>0</v>
          </cell>
          <cell r="M1108">
            <v>1</v>
          </cell>
          <cell r="N1108">
            <v>0</v>
          </cell>
          <cell r="O1108">
            <v>1</v>
          </cell>
          <cell r="P1108">
            <v>1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 t="str">
            <v>REFPREPLUS</v>
          </cell>
          <cell r="AH1108" t="str">
            <v>REF_Premium_Plus</v>
          </cell>
          <cell r="AI1108" t="str">
            <v/>
          </cell>
          <cell r="AJ1108" t="str">
            <v/>
          </cell>
          <cell r="AK1108" t="str">
            <v>1.415300</v>
          </cell>
          <cell r="AL1108" t="str">
            <v>2</v>
          </cell>
          <cell r="AM1108" t="str">
            <v>Q</v>
          </cell>
          <cell r="AN1108" t="str">
            <v>M0</v>
          </cell>
          <cell r="AO1108" t="str">
            <v>Active(Model)</v>
          </cell>
          <cell r="AP1108" t="str">
            <v/>
          </cell>
          <cell r="AQ1108" t="str">
            <v/>
          </cell>
          <cell r="AR1108" t="str">
            <v>Y</v>
          </cell>
          <cell r="AS1108" t="str">
            <v/>
          </cell>
          <cell r="AT1108" t="str">
            <v>RF</v>
          </cell>
          <cell r="AU1108" t="str">
            <v>Refrigerator</v>
          </cell>
          <cell r="AV1108" t="str">
            <v>RFSS</v>
          </cell>
          <cell r="AW1108" t="str">
            <v>SxS</v>
          </cell>
          <cell r="AX1108" t="str">
            <v>RFSSSS</v>
          </cell>
          <cell r="AY1108" t="str">
            <v>SxS</v>
          </cell>
          <cell r="AZ1108" t="str">
            <v>RFSSSS25</v>
          </cell>
          <cell r="BA1108" t="str">
            <v>SxS 25CU</v>
          </cell>
        </row>
        <row r="1109">
          <cell r="E1109" t="str">
            <v>GR-X257BL.AEPPEVN</v>
          </cell>
          <cell r="F1109">
            <v>6</v>
          </cell>
          <cell r="G1109">
            <v>0</v>
          </cell>
          <cell r="H1109">
            <v>0</v>
          </cell>
          <cell r="I1109">
            <v>29</v>
          </cell>
          <cell r="J1109">
            <v>0</v>
          </cell>
          <cell r="K1109">
            <v>0</v>
          </cell>
          <cell r="L1109">
            <v>0</v>
          </cell>
          <cell r="M1109">
            <v>3</v>
          </cell>
          <cell r="N1109">
            <v>0</v>
          </cell>
          <cell r="O1109">
            <v>11</v>
          </cell>
          <cell r="P1109">
            <v>3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 t="str">
            <v>REFPREPLUS</v>
          </cell>
          <cell r="AH1109" t="str">
            <v>REF_Premium_Plus</v>
          </cell>
          <cell r="AI1109" t="str">
            <v/>
          </cell>
          <cell r="AJ1109" t="str">
            <v/>
          </cell>
          <cell r="AK1109" t="str">
            <v>1.415300</v>
          </cell>
          <cell r="AL1109" t="str">
            <v>2</v>
          </cell>
          <cell r="AM1109" t="str">
            <v>Q</v>
          </cell>
          <cell r="AN1109" t="str">
            <v>M0</v>
          </cell>
          <cell r="AO1109" t="str">
            <v>Active(Model)</v>
          </cell>
          <cell r="AP1109" t="str">
            <v/>
          </cell>
          <cell r="AQ1109" t="str">
            <v/>
          </cell>
          <cell r="AR1109" t="str">
            <v>Y</v>
          </cell>
          <cell r="AS1109" t="str">
            <v/>
          </cell>
          <cell r="AT1109" t="str">
            <v>RF</v>
          </cell>
          <cell r="AU1109" t="str">
            <v>Refrigerator</v>
          </cell>
          <cell r="AV1109" t="str">
            <v>RFSS</v>
          </cell>
          <cell r="AW1109" t="str">
            <v>SxS</v>
          </cell>
          <cell r="AX1109" t="str">
            <v>RFSSSS</v>
          </cell>
          <cell r="AY1109" t="str">
            <v>SxS</v>
          </cell>
          <cell r="AZ1109" t="str">
            <v>RFSSSS25</v>
          </cell>
          <cell r="BA1109" t="str">
            <v>SxS 25CU</v>
          </cell>
        </row>
        <row r="1110">
          <cell r="E1110" t="str">
            <v>GR-XM.AGLBLRB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 t="str">
            <v/>
          </cell>
          <cell r="AH1110" t="str">
            <v/>
          </cell>
          <cell r="AI1110" t="str">
            <v/>
          </cell>
          <cell r="AJ1110" t="str">
            <v/>
          </cell>
          <cell r="AK1110" t="str">
            <v>0.000000</v>
          </cell>
          <cell r="AL1110" t="str">
            <v>0</v>
          </cell>
          <cell r="AM1110" t="str">
            <v>Q</v>
          </cell>
          <cell r="AN1110" t="str">
            <v>M0</v>
          </cell>
          <cell r="AO1110" t="str">
            <v>Active(Model)</v>
          </cell>
          <cell r="AP1110" t="str">
            <v/>
          </cell>
          <cell r="AQ1110" t="str">
            <v/>
          </cell>
          <cell r="AR1110" t="str">
            <v>Y</v>
          </cell>
          <cell r="AS1110" t="str">
            <v/>
          </cell>
          <cell r="AT1110" t="str">
            <v>AO</v>
          </cell>
          <cell r="AU1110" t="str">
            <v>AO</v>
          </cell>
          <cell r="AV1110" t="str">
            <v>AOAA</v>
          </cell>
          <cell r="AW1110" t="str">
            <v>Home Audio_OS</v>
          </cell>
          <cell r="AX1110" t="str">
            <v>AOAADS</v>
          </cell>
          <cell r="AY1110" t="str">
            <v>Wireless Speaker_OS</v>
          </cell>
          <cell r="AZ1110" t="str">
            <v>AOAADSPS</v>
          </cell>
          <cell r="BA1110" t="str">
            <v>Bluetooth Speaker_OS</v>
          </cell>
        </row>
        <row r="1111">
          <cell r="E1111" t="str">
            <v>GRAB.AVNMLBK</v>
          </cell>
          <cell r="F1111">
            <v>0</v>
          </cell>
          <cell r="G1111">
            <v>0</v>
          </cell>
          <cell r="H1111">
            <v>0</v>
          </cell>
          <cell r="I1111">
            <v>14</v>
          </cell>
          <cell r="J1111">
            <v>2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1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5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 t="str">
            <v/>
          </cell>
          <cell r="AH1111" t="str">
            <v/>
          </cell>
          <cell r="AI1111" t="str">
            <v/>
          </cell>
          <cell r="AJ1111" t="str">
            <v/>
          </cell>
          <cell r="AK1111" t="str">
            <v>0.002842</v>
          </cell>
          <cell r="AL1111" t="str">
            <v>0</v>
          </cell>
          <cell r="AM1111" t="str">
            <v>Q</v>
          </cell>
          <cell r="AN1111" t="str">
            <v>M0</v>
          </cell>
          <cell r="AO1111" t="str">
            <v>Active(Model)</v>
          </cell>
          <cell r="AP1111" t="str">
            <v/>
          </cell>
          <cell r="AQ1111" t="str">
            <v/>
          </cell>
          <cell r="AR1111" t="str">
            <v>Y</v>
          </cell>
          <cell r="AS1111" t="str">
            <v/>
          </cell>
          <cell r="AT1111" t="str">
            <v>AO</v>
          </cell>
          <cell r="AU1111" t="str">
            <v>AO</v>
          </cell>
          <cell r="AV1111" t="str">
            <v>AOAA</v>
          </cell>
          <cell r="AW1111" t="str">
            <v>Home Audio_OS</v>
          </cell>
          <cell r="AX1111" t="str">
            <v>AOAADS</v>
          </cell>
          <cell r="AY1111" t="str">
            <v>Wireless Speaker_OS</v>
          </cell>
          <cell r="AZ1111" t="str">
            <v>AOAADSPS</v>
          </cell>
          <cell r="BA1111" t="str">
            <v>Bluetooth Speaker_OS</v>
          </cell>
        </row>
        <row r="1112">
          <cell r="E1112" t="str">
            <v>HU925V.ATV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 t="str">
            <v>PRJ</v>
          </cell>
          <cell r="AH1112" t="str">
            <v>Projector</v>
          </cell>
          <cell r="AI1112" t="str">
            <v/>
          </cell>
          <cell r="AJ1112" t="str">
            <v/>
          </cell>
          <cell r="AK1112" t="str">
            <v>0.099954</v>
          </cell>
          <cell r="AL1112" t="str">
            <v>2</v>
          </cell>
          <cell r="AM1112" t="str">
            <v>Q</v>
          </cell>
          <cell r="AN1112" t="str">
            <v>M0</v>
          </cell>
          <cell r="AO1112" t="str">
            <v>Active(Model)</v>
          </cell>
          <cell r="AP1112" t="str">
            <v/>
          </cell>
          <cell r="AQ1112" t="str">
            <v/>
          </cell>
          <cell r="AR1112" t="str">
            <v>Y</v>
          </cell>
          <cell r="AS1112" t="str">
            <v/>
          </cell>
          <cell r="AT1112" t="str">
            <v>TV</v>
          </cell>
          <cell r="AU1112" t="str">
            <v>TV</v>
          </cell>
          <cell r="AV1112" t="str">
            <v>TVPR</v>
          </cell>
          <cell r="AW1112" t="str">
            <v>Projector</v>
          </cell>
          <cell r="AX1112" t="str">
            <v>TVPRPL</v>
          </cell>
          <cell r="AY1112" t="str">
            <v>PJTR Laser</v>
          </cell>
          <cell r="AZ1112" t="str">
            <v>TVPRPLNU</v>
          </cell>
          <cell r="BA1112" t="str">
            <v>PJTR Laser UHD</v>
          </cell>
        </row>
        <row r="1113">
          <cell r="E1113" t="str">
            <v>IDC09B2M.ATYGEVH</v>
          </cell>
          <cell r="F1113">
            <v>9</v>
          </cell>
          <cell r="G1113">
            <v>0</v>
          </cell>
          <cell r="H1113">
            <v>0</v>
          </cell>
          <cell r="I1113">
            <v>9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 t="str">
            <v>RACPREMIUM</v>
          </cell>
          <cell r="AH1113" t="str">
            <v>RAC_Premium</v>
          </cell>
          <cell r="AI1113" t="str">
            <v/>
          </cell>
          <cell r="AJ1113" t="str">
            <v/>
          </cell>
          <cell r="AK1113" t="str">
            <v>0.097743</v>
          </cell>
          <cell r="AL1113" t="str">
            <v>0</v>
          </cell>
          <cell r="AM1113" t="str">
            <v>Q</v>
          </cell>
          <cell r="AN1113" t="str">
            <v>M0</v>
          </cell>
          <cell r="AO1113" t="str">
            <v>Active(Model)</v>
          </cell>
          <cell r="AP1113" t="str">
            <v/>
          </cell>
          <cell r="AQ1113" t="str">
            <v/>
          </cell>
          <cell r="AR1113" t="str">
            <v>Y</v>
          </cell>
          <cell r="AS1113" t="str">
            <v/>
          </cell>
          <cell r="AT1113" t="str">
            <v>AC</v>
          </cell>
          <cell r="AU1113" t="str">
            <v>Airconditioner</v>
          </cell>
          <cell r="AV1113" t="str">
            <v>ACMU</v>
          </cell>
          <cell r="AW1113" t="str">
            <v>A/C Mock-up</v>
          </cell>
          <cell r="AX1113" t="str">
            <v>ACMUAM</v>
          </cell>
          <cell r="AY1113" t="str">
            <v>A/C Mock-up</v>
          </cell>
          <cell r="AZ1113" t="str">
            <v>ACMUAMMJ</v>
          </cell>
          <cell r="BA1113" t="str">
            <v>A/C Mock-up_Prod_RAC</v>
          </cell>
        </row>
        <row r="1114">
          <cell r="E1114" t="str">
            <v>IDC09B2N.ATYGEVH</v>
          </cell>
          <cell r="F1114">
            <v>54</v>
          </cell>
          <cell r="G1114">
            <v>0</v>
          </cell>
          <cell r="H1114">
            <v>0</v>
          </cell>
          <cell r="I1114">
            <v>99</v>
          </cell>
          <cell r="J1114">
            <v>0</v>
          </cell>
          <cell r="K1114">
            <v>0</v>
          </cell>
          <cell r="L1114">
            <v>0</v>
          </cell>
          <cell r="M1114">
            <v>8</v>
          </cell>
          <cell r="N1114">
            <v>0</v>
          </cell>
          <cell r="O1114">
            <v>0</v>
          </cell>
          <cell r="P1114">
            <v>8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 t="str">
            <v>RACPREMIUM</v>
          </cell>
          <cell r="AH1114" t="str">
            <v>RAC_Premium</v>
          </cell>
          <cell r="AI1114" t="str">
            <v/>
          </cell>
          <cell r="AJ1114" t="str">
            <v/>
          </cell>
          <cell r="AK1114" t="str">
            <v>0.097743</v>
          </cell>
          <cell r="AL1114" t="str">
            <v>0</v>
          </cell>
          <cell r="AM1114" t="str">
            <v>Q</v>
          </cell>
          <cell r="AN1114" t="str">
            <v>M0</v>
          </cell>
          <cell r="AO1114" t="str">
            <v>Active(Model)</v>
          </cell>
          <cell r="AP1114" t="str">
            <v/>
          </cell>
          <cell r="AQ1114" t="str">
            <v/>
          </cell>
          <cell r="AR1114" t="str">
            <v>Y</v>
          </cell>
          <cell r="AS1114" t="str">
            <v/>
          </cell>
          <cell r="AT1114" t="str">
            <v>AC</v>
          </cell>
          <cell r="AU1114" t="str">
            <v>Airconditioner</v>
          </cell>
          <cell r="AV1114" t="str">
            <v>ACSR</v>
          </cell>
          <cell r="AW1114" t="str">
            <v>SRAC</v>
          </cell>
          <cell r="AX1114" t="str">
            <v>ACSRIV</v>
          </cell>
          <cell r="AY1114" t="str">
            <v>Inverter</v>
          </cell>
          <cell r="AZ1114" t="str">
            <v>ACSRIVSN</v>
          </cell>
          <cell r="BA1114" t="str">
            <v>Inverter Single Split Wall_I/D</v>
          </cell>
        </row>
        <row r="1115">
          <cell r="E1115" t="str">
            <v>IDC09B2U.ATYGEVH</v>
          </cell>
          <cell r="F1115">
            <v>55</v>
          </cell>
          <cell r="G1115">
            <v>0</v>
          </cell>
          <cell r="H1115">
            <v>0</v>
          </cell>
          <cell r="I1115">
            <v>99</v>
          </cell>
          <cell r="J1115">
            <v>0</v>
          </cell>
          <cell r="K1115">
            <v>0</v>
          </cell>
          <cell r="L1115">
            <v>0</v>
          </cell>
          <cell r="M1115">
            <v>8</v>
          </cell>
          <cell r="N1115">
            <v>0</v>
          </cell>
          <cell r="O1115">
            <v>0</v>
          </cell>
          <cell r="P1115">
            <v>8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 t="str">
            <v>RACPREMIUM</v>
          </cell>
          <cell r="AH1115" t="str">
            <v>RAC_Premium</v>
          </cell>
          <cell r="AI1115" t="str">
            <v/>
          </cell>
          <cell r="AJ1115" t="str">
            <v/>
          </cell>
          <cell r="AK1115" t="str">
            <v>0.142216</v>
          </cell>
          <cell r="AL1115" t="str">
            <v>0</v>
          </cell>
          <cell r="AM1115" t="str">
            <v>Q</v>
          </cell>
          <cell r="AN1115" t="str">
            <v>M0</v>
          </cell>
          <cell r="AO1115" t="str">
            <v>Active(Model)</v>
          </cell>
          <cell r="AP1115" t="str">
            <v/>
          </cell>
          <cell r="AQ1115" t="str">
            <v/>
          </cell>
          <cell r="AR1115" t="str">
            <v>Y</v>
          </cell>
          <cell r="AS1115" t="str">
            <v/>
          </cell>
          <cell r="AT1115" t="str">
            <v>AC</v>
          </cell>
          <cell r="AU1115" t="str">
            <v>Airconditioner</v>
          </cell>
          <cell r="AV1115" t="str">
            <v>ACSR</v>
          </cell>
          <cell r="AW1115" t="str">
            <v>SRAC</v>
          </cell>
          <cell r="AX1115" t="str">
            <v>ACSRIV</v>
          </cell>
          <cell r="AY1115" t="str">
            <v>Inverter</v>
          </cell>
          <cell r="AZ1115" t="str">
            <v>ACSRIVSU</v>
          </cell>
          <cell r="BA1115" t="str">
            <v>Inverter Single Split Wall_O/D</v>
          </cell>
        </row>
        <row r="1116">
          <cell r="E1116" t="str">
            <v>IDC09M2N.ATYGEVH</v>
          </cell>
          <cell r="F1116">
            <v>18</v>
          </cell>
          <cell r="G1116">
            <v>0</v>
          </cell>
          <cell r="H1116">
            <v>0</v>
          </cell>
          <cell r="I1116">
            <v>46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3</v>
          </cell>
          <cell r="O1116">
            <v>0</v>
          </cell>
          <cell r="P1116">
            <v>3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 t="str">
            <v>RACPREMIUM</v>
          </cell>
          <cell r="AH1116" t="str">
            <v>RAC_Premium</v>
          </cell>
          <cell r="AI1116" t="str">
            <v/>
          </cell>
          <cell r="AJ1116" t="str">
            <v/>
          </cell>
          <cell r="AK1116" t="str">
            <v>0.097743</v>
          </cell>
          <cell r="AL1116" t="str">
            <v>0</v>
          </cell>
          <cell r="AM1116" t="str">
            <v>Q</v>
          </cell>
          <cell r="AN1116" t="str">
            <v>M0</v>
          </cell>
          <cell r="AO1116" t="str">
            <v>Active(Model)</v>
          </cell>
          <cell r="AP1116" t="str">
            <v/>
          </cell>
          <cell r="AQ1116" t="str">
            <v/>
          </cell>
          <cell r="AR1116" t="str">
            <v>Y</v>
          </cell>
          <cell r="AS1116" t="str">
            <v/>
          </cell>
          <cell r="AT1116" t="str">
            <v>AC</v>
          </cell>
          <cell r="AU1116" t="str">
            <v>Airconditioner</v>
          </cell>
          <cell r="AV1116" t="str">
            <v>ACSR</v>
          </cell>
          <cell r="AW1116" t="str">
            <v>SRAC</v>
          </cell>
          <cell r="AX1116" t="str">
            <v>ACSRIV</v>
          </cell>
          <cell r="AY1116" t="str">
            <v>Inverter</v>
          </cell>
          <cell r="AZ1116" t="str">
            <v>ACSRIVSN</v>
          </cell>
          <cell r="BA1116" t="str">
            <v>Inverter Single Split Wall_I/D</v>
          </cell>
        </row>
        <row r="1117">
          <cell r="E1117" t="str">
            <v>IDC09M2U.ATYGEVH</v>
          </cell>
          <cell r="F1117">
            <v>20</v>
          </cell>
          <cell r="G1117">
            <v>0</v>
          </cell>
          <cell r="H1117">
            <v>0</v>
          </cell>
          <cell r="I1117">
            <v>48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3</v>
          </cell>
          <cell r="O1117">
            <v>0</v>
          </cell>
          <cell r="P1117">
            <v>3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 t="str">
            <v>RACPREMIUM</v>
          </cell>
          <cell r="AH1117" t="str">
            <v>RAC_Premium</v>
          </cell>
          <cell r="AI1117" t="str">
            <v/>
          </cell>
          <cell r="AJ1117" t="str">
            <v/>
          </cell>
          <cell r="AK1117" t="str">
            <v>0.142216</v>
          </cell>
          <cell r="AL1117" t="str">
            <v>0</v>
          </cell>
          <cell r="AM1117" t="str">
            <v>Q</v>
          </cell>
          <cell r="AN1117" t="str">
            <v>M0</v>
          </cell>
          <cell r="AO1117" t="str">
            <v>Active(Model)</v>
          </cell>
          <cell r="AP1117" t="str">
            <v/>
          </cell>
          <cell r="AQ1117" t="str">
            <v/>
          </cell>
          <cell r="AR1117" t="str">
            <v>Y</v>
          </cell>
          <cell r="AS1117" t="str">
            <v/>
          </cell>
          <cell r="AT1117" t="str">
            <v>AC</v>
          </cell>
          <cell r="AU1117" t="str">
            <v>Airconditioner</v>
          </cell>
          <cell r="AV1117" t="str">
            <v>ACSR</v>
          </cell>
          <cell r="AW1117" t="str">
            <v>SRAC</v>
          </cell>
          <cell r="AX1117" t="str">
            <v>ACSRIV</v>
          </cell>
          <cell r="AY1117" t="str">
            <v>Inverter</v>
          </cell>
          <cell r="AZ1117" t="str">
            <v>ACSRIVSU</v>
          </cell>
          <cell r="BA1117" t="str">
            <v>Inverter Single Split Wall_O/D</v>
          </cell>
        </row>
        <row r="1118">
          <cell r="E1118" t="str">
            <v>IDC12B2N.ATYGEVH</v>
          </cell>
          <cell r="F1118">
            <v>0</v>
          </cell>
          <cell r="G1118">
            <v>0</v>
          </cell>
          <cell r="H1118">
            <v>0</v>
          </cell>
          <cell r="I1118">
            <v>2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 t="str">
            <v>RACPREMIUM</v>
          </cell>
          <cell r="AH1118" t="str">
            <v>RAC_Premium</v>
          </cell>
          <cell r="AI1118" t="str">
            <v/>
          </cell>
          <cell r="AJ1118" t="str">
            <v/>
          </cell>
          <cell r="AK1118" t="str">
            <v>0.097743</v>
          </cell>
          <cell r="AL1118" t="str">
            <v>0</v>
          </cell>
          <cell r="AM1118" t="str">
            <v>Q</v>
          </cell>
          <cell r="AN1118" t="str">
            <v>M0</v>
          </cell>
          <cell r="AO1118" t="str">
            <v>Active(Model)</v>
          </cell>
          <cell r="AP1118" t="str">
            <v/>
          </cell>
          <cell r="AQ1118" t="str">
            <v/>
          </cell>
          <cell r="AR1118" t="str">
            <v>Y</v>
          </cell>
          <cell r="AS1118" t="str">
            <v/>
          </cell>
          <cell r="AT1118" t="str">
            <v>AC</v>
          </cell>
          <cell r="AU1118" t="str">
            <v>Airconditioner</v>
          </cell>
          <cell r="AV1118" t="str">
            <v>ACSR</v>
          </cell>
          <cell r="AW1118" t="str">
            <v>SRAC</v>
          </cell>
          <cell r="AX1118" t="str">
            <v>ACSRIV</v>
          </cell>
          <cell r="AY1118" t="str">
            <v>Inverter</v>
          </cell>
          <cell r="AZ1118" t="str">
            <v>ACSRIVSN</v>
          </cell>
          <cell r="BA1118" t="str">
            <v>Inverter Single Split Wall_I/D</v>
          </cell>
        </row>
        <row r="1119">
          <cell r="E1119" t="str">
            <v>IDC12B2U.ATYGEVH</v>
          </cell>
          <cell r="F1119">
            <v>0</v>
          </cell>
          <cell r="G1119">
            <v>0</v>
          </cell>
          <cell r="H1119">
            <v>0</v>
          </cell>
          <cell r="I1119">
            <v>3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 t="str">
            <v>RACPREMIUM</v>
          </cell>
          <cell r="AH1119" t="str">
            <v>RAC_Premium</v>
          </cell>
          <cell r="AI1119" t="str">
            <v/>
          </cell>
          <cell r="AJ1119" t="str">
            <v/>
          </cell>
          <cell r="AK1119" t="str">
            <v>0.142216</v>
          </cell>
          <cell r="AL1119" t="str">
            <v>0</v>
          </cell>
          <cell r="AM1119" t="str">
            <v>Q</v>
          </cell>
          <cell r="AN1119" t="str">
            <v>M0</v>
          </cell>
          <cell r="AO1119" t="str">
            <v>Active(Model)</v>
          </cell>
          <cell r="AP1119" t="str">
            <v/>
          </cell>
          <cell r="AQ1119" t="str">
            <v/>
          </cell>
          <cell r="AR1119" t="str">
            <v>Y</v>
          </cell>
          <cell r="AS1119" t="str">
            <v/>
          </cell>
          <cell r="AT1119" t="str">
            <v>AC</v>
          </cell>
          <cell r="AU1119" t="str">
            <v>Airconditioner</v>
          </cell>
          <cell r="AV1119" t="str">
            <v>ACSR</v>
          </cell>
          <cell r="AW1119" t="str">
            <v>SRAC</v>
          </cell>
          <cell r="AX1119" t="str">
            <v>ACSRIV</v>
          </cell>
          <cell r="AY1119" t="str">
            <v>Inverter</v>
          </cell>
          <cell r="AZ1119" t="str">
            <v>ACSRIVSU</v>
          </cell>
          <cell r="BA1119" t="str">
            <v>Inverter Single Split Wall_O/D</v>
          </cell>
        </row>
        <row r="1120">
          <cell r="E1120" t="str">
            <v>IDC12M1U.ATYGEVH</v>
          </cell>
          <cell r="F1120">
            <v>1</v>
          </cell>
          <cell r="G1120">
            <v>0</v>
          </cell>
          <cell r="H1120">
            <v>0</v>
          </cell>
          <cell r="I1120">
            <v>1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 t="str">
            <v>RACPREMIUM</v>
          </cell>
          <cell r="AH1120" t="str">
            <v>RAC_Premium</v>
          </cell>
          <cell r="AI1120" t="str">
            <v/>
          </cell>
          <cell r="AJ1120" t="str">
            <v/>
          </cell>
          <cell r="AK1120" t="str">
            <v>0.142216</v>
          </cell>
          <cell r="AL1120" t="str">
            <v>0</v>
          </cell>
          <cell r="AM1120" t="str">
            <v>Q</v>
          </cell>
          <cell r="AN1120" t="str">
            <v>M0</v>
          </cell>
          <cell r="AO1120" t="str">
            <v>Active(Model)</v>
          </cell>
          <cell r="AP1120" t="str">
            <v/>
          </cell>
          <cell r="AQ1120" t="str">
            <v/>
          </cell>
          <cell r="AR1120" t="str">
            <v>Y</v>
          </cell>
          <cell r="AS1120" t="str">
            <v/>
          </cell>
          <cell r="AT1120" t="str">
            <v>AC</v>
          </cell>
          <cell r="AU1120" t="str">
            <v>Airconditioner</v>
          </cell>
          <cell r="AV1120" t="str">
            <v>ACSR</v>
          </cell>
          <cell r="AW1120" t="str">
            <v>SRAC</v>
          </cell>
          <cell r="AX1120" t="str">
            <v>ACSRIV</v>
          </cell>
          <cell r="AY1120" t="str">
            <v>Inverter</v>
          </cell>
          <cell r="AZ1120" t="str">
            <v>ACSRIVSU</v>
          </cell>
          <cell r="BA1120" t="str">
            <v>Inverter Single Split Wall_O/D</v>
          </cell>
        </row>
        <row r="1121">
          <cell r="E1121" t="str">
            <v>IDC12M2N.ATYGEVH</v>
          </cell>
          <cell r="F1121">
            <v>63</v>
          </cell>
          <cell r="G1121">
            <v>0</v>
          </cell>
          <cell r="H1121">
            <v>0</v>
          </cell>
          <cell r="I1121">
            <v>85</v>
          </cell>
          <cell r="J1121">
            <v>1</v>
          </cell>
          <cell r="K1121">
            <v>0</v>
          </cell>
          <cell r="L1121">
            <v>0</v>
          </cell>
          <cell r="M1121">
            <v>2</v>
          </cell>
          <cell r="N1121">
            <v>0</v>
          </cell>
          <cell r="O1121">
            <v>0</v>
          </cell>
          <cell r="P1121">
            <v>2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 t="str">
            <v>RACPREMIUM</v>
          </cell>
          <cell r="AH1121" t="str">
            <v>RAC_Premium</v>
          </cell>
          <cell r="AI1121" t="str">
            <v/>
          </cell>
          <cell r="AJ1121" t="str">
            <v/>
          </cell>
          <cell r="AK1121" t="str">
            <v>0.097743</v>
          </cell>
          <cell r="AL1121" t="str">
            <v>0</v>
          </cell>
          <cell r="AM1121" t="str">
            <v>Q</v>
          </cell>
          <cell r="AN1121" t="str">
            <v>M0</v>
          </cell>
          <cell r="AO1121" t="str">
            <v>Active(Model)</v>
          </cell>
          <cell r="AP1121" t="str">
            <v/>
          </cell>
          <cell r="AQ1121" t="str">
            <v/>
          </cell>
          <cell r="AR1121" t="str">
            <v>Y</v>
          </cell>
          <cell r="AS1121" t="str">
            <v/>
          </cell>
          <cell r="AT1121" t="str">
            <v>AC</v>
          </cell>
          <cell r="AU1121" t="str">
            <v>Airconditioner</v>
          </cell>
          <cell r="AV1121" t="str">
            <v>ACSR</v>
          </cell>
          <cell r="AW1121" t="str">
            <v>SRAC</v>
          </cell>
          <cell r="AX1121" t="str">
            <v>ACSRIV</v>
          </cell>
          <cell r="AY1121" t="str">
            <v>Inverter</v>
          </cell>
          <cell r="AZ1121" t="str">
            <v>ACSRIVSN</v>
          </cell>
          <cell r="BA1121" t="str">
            <v>Inverter Single Split Wall_I/D</v>
          </cell>
        </row>
        <row r="1122">
          <cell r="E1122" t="str">
            <v>IDC12M2U.ATYGEVH</v>
          </cell>
          <cell r="F1122">
            <v>64</v>
          </cell>
          <cell r="G1122">
            <v>0</v>
          </cell>
          <cell r="H1122">
            <v>0</v>
          </cell>
          <cell r="I1122">
            <v>86</v>
          </cell>
          <cell r="J1122">
            <v>1</v>
          </cell>
          <cell r="K1122">
            <v>0</v>
          </cell>
          <cell r="L1122">
            <v>0</v>
          </cell>
          <cell r="M1122">
            <v>2</v>
          </cell>
          <cell r="N1122">
            <v>0</v>
          </cell>
          <cell r="O1122">
            <v>0</v>
          </cell>
          <cell r="P1122">
            <v>2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 t="str">
            <v>RACPREMIUM</v>
          </cell>
          <cell r="AH1122" t="str">
            <v>RAC_Premium</v>
          </cell>
          <cell r="AI1122" t="str">
            <v/>
          </cell>
          <cell r="AJ1122" t="str">
            <v/>
          </cell>
          <cell r="AK1122" t="str">
            <v>0.142216</v>
          </cell>
          <cell r="AL1122" t="str">
            <v>0</v>
          </cell>
          <cell r="AM1122" t="str">
            <v>Q</v>
          </cell>
          <cell r="AN1122" t="str">
            <v>M0</v>
          </cell>
          <cell r="AO1122" t="str">
            <v>Active(Model)</v>
          </cell>
          <cell r="AP1122" t="str">
            <v/>
          </cell>
          <cell r="AQ1122" t="str">
            <v/>
          </cell>
          <cell r="AR1122" t="str">
            <v>Y</v>
          </cell>
          <cell r="AS1122" t="str">
            <v/>
          </cell>
          <cell r="AT1122" t="str">
            <v>AC</v>
          </cell>
          <cell r="AU1122" t="str">
            <v>Airconditioner</v>
          </cell>
          <cell r="AV1122" t="str">
            <v>ACSR</v>
          </cell>
          <cell r="AW1122" t="str">
            <v>SRAC</v>
          </cell>
          <cell r="AX1122" t="str">
            <v>ACSRIV</v>
          </cell>
          <cell r="AY1122" t="str">
            <v>Inverter</v>
          </cell>
          <cell r="AZ1122" t="str">
            <v>ACSRIVSU</v>
          </cell>
          <cell r="BA1122" t="str">
            <v>Inverter Single Split Wall_O/D</v>
          </cell>
        </row>
        <row r="1123">
          <cell r="E1123" t="str">
            <v>IDC18M2N.ATYGEVH</v>
          </cell>
          <cell r="F1123">
            <v>0</v>
          </cell>
          <cell r="G1123">
            <v>0</v>
          </cell>
          <cell r="H1123">
            <v>0</v>
          </cell>
          <cell r="I1123">
            <v>6</v>
          </cell>
          <cell r="J1123">
            <v>1</v>
          </cell>
          <cell r="K1123">
            <v>0</v>
          </cell>
          <cell r="L1123">
            <v>0</v>
          </cell>
          <cell r="M1123">
            <v>2</v>
          </cell>
          <cell r="N1123">
            <v>0</v>
          </cell>
          <cell r="O1123">
            <v>5</v>
          </cell>
          <cell r="P1123">
            <v>2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 t="str">
            <v>RACPREMIUM</v>
          </cell>
          <cell r="AH1123" t="str">
            <v>RAC_Premium</v>
          </cell>
          <cell r="AI1123" t="str">
            <v/>
          </cell>
          <cell r="AJ1123" t="str">
            <v/>
          </cell>
          <cell r="AK1123" t="str">
            <v>0.108516</v>
          </cell>
          <cell r="AL1123" t="str">
            <v>0</v>
          </cell>
          <cell r="AM1123" t="str">
            <v>Q</v>
          </cell>
          <cell r="AN1123" t="str">
            <v>M0</v>
          </cell>
          <cell r="AO1123" t="str">
            <v>Active(Model)</v>
          </cell>
          <cell r="AP1123" t="str">
            <v/>
          </cell>
          <cell r="AQ1123" t="str">
            <v/>
          </cell>
          <cell r="AR1123" t="str">
            <v>Y</v>
          </cell>
          <cell r="AS1123" t="str">
            <v/>
          </cell>
          <cell r="AT1123" t="str">
            <v>AC</v>
          </cell>
          <cell r="AU1123" t="str">
            <v>Airconditioner</v>
          </cell>
          <cell r="AV1123" t="str">
            <v>ACSR</v>
          </cell>
          <cell r="AW1123" t="str">
            <v>SRAC</v>
          </cell>
          <cell r="AX1123" t="str">
            <v>ACSRIV</v>
          </cell>
          <cell r="AY1123" t="str">
            <v>Inverter</v>
          </cell>
          <cell r="AZ1123" t="str">
            <v>ACSRIVSN</v>
          </cell>
          <cell r="BA1123" t="str">
            <v>Inverter Single Split Wall_I/D</v>
          </cell>
        </row>
        <row r="1124">
          <cell r="E1124" t="str">
            <v>IDC18M2U.ATYGEVH</v>
          </cell>
          <cell r="F1124">
            <v>0</v>
          </cell>
          <cell r="G1124">
            <v>0</v>
          </cell>
          <cell r="H1124">
            <v>0</v>
          </cell>
          <cell r="I1124">
            <v>6</v>
          </cell>
          <cell r="J1124">
            <v>1</v>
          </cell>
          <cell r="K1124">
            <v>0</v>
          </cell>
          <cell r="L1124">
            <v>0</v>
          </cell>
          <cell r="M1124">
            <v>2</v>
          </cell>
          <cell r="N1124">
            <v>0</v>
          </cell>
          <cell r="O1124">
            <v>5</v>
          </cell>
          <cell r="P1124">
            <v>2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 t="str">
            <v>RACPREMIUM</v>
          </cell>
          <cell r="AH1124" t="str">
            <v>RAC_Premium</v>
          </cell>
          <cell r="AI1124" t="str">
            <v/>
          </cell>
          <cell r="AJ1124" t="str">
            <v/>
          </cell>
          <cell r="AK1124" t="str">
            <v>0.211677</v>
          </cell>
          <cell r="AL1124" t="str">
            <v>0</v>
          </cell>
          <cell r="AM1124" t="str">
            <v>Q</v>
          </cell>
          <cell r="AN1124" t="str">
            <v>M0</v>
          </cell>
          <cell r="AO1124" t="str">
            <v>Active(Model)</v>
          </cell>
          <cell r="AP1124" t="str">
            <v/>
          </cell>
          <cell r="AQ1124" t="str">
            <v/>
          </cell>
          <cell r="AR1124" t="str">
            <v>Y</v>
          </cell>
          <cell r="AS1124" t="str">
            <v/>
          </cell>
          <cell r="AT1124" t="str">
            <v>AC</v>
          </cell>
          <cell r="AU1124" t="str">
            <v>Airconditioner</v>
          </cell>
          <cell r="AV1124" t="str">
            <v>ACSR</v>
          </cell>
          <cell r="AW1124" t="str">
            <v>SRAC</v>
          </cell>
          <cell r="AX1124" t="str">
            <v>ACSRIV</v>
          </cell>
          <cell r="AY1124" t="str">
            <v>Inverter</v>
          </cell>
          <cell r="AZ1124" t="str">
            <v>ACSRIVSU</v>
          </cell>
          <cell r="BA1124" t="str">
            <v>Inverter Single Split Wall_O/D</v>
          </cell>
        </row>
        <row r="1125">
          <cell r="E1125" t="str">
            <v>IDC24M1N.ATYGEVH</v>
          </cell>
          <cell r="F1125">
            <v>5</v>
          </cell>
          <cell r="G1125">
            <v>0</v>
          </cell>
          <cell r="H1125">
            <v>0</v>
          </cell>
          <cell r="I1125">
            <v>5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3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 t="str">
            <v>RACPREMIUM</v>
          </cell>
          <cell r="AH1125" t="str">
            <v>RAC_Premium</v>
          </cell>
          <cell r="AI1125" t="str">
            <v/>
          </cell>
          <cell r="AJ1125" t="str">
            <v/>
          </cell>
          <cell r="AK1125" t="str">
            <v>0.108516</v>
          </cell>
          <cell r="AL1125" t="str">
            <v>0</v>
          </cell>
          <cell r="AM1125" t="str">
            <v>Q</v>
          </cell>
          <cell r="AN1125" t="str">
            <v>M0</v>
          </cell>
          <cell r="AO1125" t="str">
            <v>Active(Model)</v>
          </cell>
          <cell r="AP1125" t="str">
            <v/>
          </cell>
          <cell r="AQ1125" t="str">
            <v/>
          </cell>
          <cell r="AR1125" t="str">
            <v>Y</v>
          </cell>
          <cell r="AS1125" t="str">
            <v/>
          </cell>
          <cell r="AT1125" t="str">
            <v>AC</v>
          </cell>
          <cell r="AU1125" t="str">
            <v>Airconditioner</v>
          </cell>
          <cell r="AV1125" t="str">
            <v>ACSR</v>
          </cell>
          <cell r="AW1125" t="str">
            <v>SRAC</v>
          </cell>
          <cell r="AX1125" t="str">
            <v>ACSRIV</v>
          </cell>
          <cell r="AY1125" t="str">
            <v>Inverter</v>
          </cell>
          <cell r="AZ1125" t="str">
            <v>ACSRIVSN</v>
          </cell>
          <cell r="BA1125" t="str">
            <v>Inverter Single Split Wall_I/D</v>
          </cell>
        </row>
        <row r="1126">
          <cell r="E1126" t="str">
            <v>IDC24M1U.ATYGEVH</v>
          </cell>
          <cell r="F1126">
            <v>5</v>
          </cell>
          <cell r="G1126">
            <v>0</v>
          </cell>
          <cell r="H1126">
            <v>0</v>
          </cell>
          <cell r="I1126">
            <v>5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3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 t="str">
            <v>RACPREMIUM</v>
          </cell>
          <cell r="AH1126" t="str">
            <v>RAC_Premium</v>
          </cell>
          <cell r="AI1126" t="str">
            <v/>
          </cell>
          <cell r="AJ1126" t="str">
            <v/>
          </cell>
          <cell r="AK1126" t="str">
            <v>0.335972</v>
          </cell>
          <cell r="AL1126" t="str">
            <v>0</v>
          </cell>
          <cell r="AM1126" t="str">
            <v>Q</v>
          </cell>
          <cell r="AN1126" t="str">
            <v>M0</v>
          </cell>
          <cell r="AO1126" t="str">
            <v>Active(Model)</v>
          </cell>
          <cell r="AP1126" t="str">
            <v/>
          </cell>
          <cell r="AQ1126" t="str">
            <v/>
          </cell>
          <cell r="AR1126" t="str">
            <v>Y</v>
          </cell>
          <cell r="AS1126" t="str">
            <v/>
          </cell>
          <cell r="AT1126" t="str">
            <v>AC</v>
          </cell>
          <cell r="AU1126" t="str">
            <v>Airconditioner</v>
          </cell>
          <cell r="AV1126" t="str">
            <v>ACSR</v>
          </cell>
          <cell r="AW1126" t="str">
            <v>SRAC</v>
          </cell>
          <cell r="AX1126" t="str">
            <v>ACSRIV</v>
          </cell>
          <cell r="AY1126" t="str">
            <v>Inverter</v>
          </cell>
          <cell r="AZ1126" t="str">
            <v>ACSRIVSU</v>
          </cell>
          <cell r="BA1126" t="str">
            <v>Inverter Single Split Wall_O/D</v>
          </cell>
        </row>
        <row r="1127">
          <cell r="E1127" t="str">
            <v>IDC24M2N.ATYGEVH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 t="str">
            <v>RACPREMIUM</v>
          </cell>
          <cell r="AH1127" t="str">
            <v>RAC_Premium</v>
          </cell>
          <cell r="AI1127" t="str">
            <v/>
          </cell>
          <cell r="AJ1127" t="str">
            <v/>
          </cell>
          <cell r="AK1127" t="str">
            <v>0.108516</v>
          </cell>
          <cell r="AL1127" t="str">
            <v>0</v>
          </cell>
          <cell r="AM1127" t="str">
            <v>Q</v>
          </cell>
          <cell r="AN1127" t="str">
            <v>M0</v>
          </cell>
          <cell r="AO1127" t="str">
            <v>Active(Model)</v>
          </cell>
          <cell r="AP1127" t="str">
            <v/>
          </cell>
          <cell r="AQ1127" t="str">
            <v/>
          </cell>
          <cell r="AR1127" t="str">
            <v>Y</v>
          </cell>
          <cell r="AS1127" t="str">
            <v/>
          </cell>
          <cell r="AT1127" t="str">
            <v>AC</v>
          </cell>
          <cell r="AU1127" t="str">
            <v>Airconditioner</v>
          </cell>
          <cell r="AV1127" t="str">
            <v>ACSR</v>
          </cell>
          <cell r="AW1127" t="str">
            <v>SRAC</v>
          </cell>
          <cell r="AX1127" t="str">
            <v>ACSRIV</v>
          </cell>
          <cell r="AY1127" t="str">
            <v>Inverter</v>
          </cell>
          <cell r="AZ1127" t="str">
            <v>ACSRIVSN</v>
          </cell>
          <cell r="BA1127" t="str">
            <v>Inverter Single Split Wall_I/D</v>
          </cell>
        </row>
        <row r="1128">
          <cell r="E1128" t="str">
            <v>IDC24M2U.ATYGEVH</v>
          </cell>
          <cell r="F1128">
            <v>0</v>
          </cell>
          <cell r="G1128">
            <v>0</v>
          </cell>
          <cell r="H1128">
            <v>0</v>
          </cell>
          <cell r="I1128">
            <v>1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 t="str">
            <v>RACPREMIUM</v>
          </cell>
          <cell r="AH1128" t="str">
            <v>RAC_Premium</v>
          </cell>
          <cell r="AI1128" t="str">
            <v/>
          </cell>
          <cell r="AJ1128" t="str">
            <v/>
          </cell>
          <cell r="AK1128" t="str">
            <v>0.335972</v>
          </cell>
          <cell r="AL1128" t="str">
            <v>0</v>
          </cell>
          <cell r="AM1128" t="str">
            <v>Q</v>
          </cell>
          <cell r="AN1128" t="str">
            <v>M0</v>
          </cell>
          <cell r="AO1128" t="str">
            <v>Active(Model)</v>
          </cell>
          <cell r="AP1128" t="str">
            <v/>
          </cell>
          <cell r="AQ1128" t="str">
            <v/>
          </cell>
          <cell r="AR1128" t="str">
            <v>Y</v>
          </cell>
          <cell r="AS1128" t="str">
            <v/>
          </cell>
          <cell r="AT1128" t="str">
            <v>AC</v>
          </cell>
          <cell r="AU1128" t="str">
            <v>Airconditioner</v>
          </cell>
          <cell r="AV1128" t="str">
            <v>ACSR</v>
          </cell>
          <cell r="AW1128" t="str">
            <v>SRAC</v>
          </cell>
          <cell r="AX1128" t="str">
            <v>ACSRIV</v>
          </cell>
          <cell r="AY1128" t="str">
            <v>Inverter</v>
          </cell>
          <cell r="AZ1128" t="str">
            <v>ACSRIVSU</v>
          </cell>
          <cell r="BA1128" t="str">
            <v>Inverter Single Split Wall_O/D</v>
          </cell>
        </row>
        <row r="1129">
          <cell r="E1129" t="str">
            <v>IDH09M1N.ATYGEVH</v>
          </cell>
          <cell r="F1129">
            <v>0</v>
          </cell>
          <cell r="G1129">
            <v>0</v>
          </cell>
          <cell r="H1129">
            <v>0</v>
          </cell>
          <cell r="I1129">
            <v>23</v>
          </cell>
          <cell r="J1129">
            <v>0</v>
          </cell>
          <cell r="K1129">
            <v>3</v>
          </cell>
          <cell r="L1129">
            <v>5</v>
          </cell>
          <cell r="M1129">
            <v>5</v>
          </cell>
          <cell r="N1129">
            <v>1</v>
          </cell>
          <cell r="O1129">
            <v>0</v>
          </cell>
          <cell r="P1129">
            <v>6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 t="str">
            <v>RACPREMIUM</v>
          </cell>
          <cell r="AH1129" t="str">
            <v>RAC_Premium</v>
          </cell>
          <cell r="AI1129" t="str">
            <v/>
          </cell>
          <cell r="AJ1129" t="str">
            <v/>
          </cell>
          <cell r="AK1129" t="str">
            <v>0.097743</v>
          </cell>
          <cell r="AL1129" t="str">
            <v>0</v>
          </cell>
          <cell r="AM1129" t="str">
            <v>Q</v>
          </cell>
          <cell r="AN1129" t="str">
            <v>M0</v>
          </cell>
          <cell r="AO1129" t="str">
            <v>Active(Model)</v>
          </cell>
          <cell r="AP1129" t="str">
            <v/>
          </cell>
          <cell r="AQ1129" t="str">
            <v/>
          </cell>
          <cell r="AR1129" t="str">
            <v>Y</v>
          </cell>
          <cell r="AS1129" t="str">
            <v/>
          </cell>
          <cell r="AT1129" t="str">
            <v>AC</v>
          </cell>
          <cell r="AU1129" t="str">
            <v>Airconditioner</v>
          </cell>
          <cell r="AV1129" t="str">
            <v>ACSR</v>
          </cell>
          <cell r="AW1129" t="str">
            <v>SRAC</v>
          </cell>
          <cell r="AX1129" t="str">
            <v>ACSRIV</v>
          </cell>
          <cell r="AY1129" t="str">
            <v>Inverter</v>
          </cell>
          <cell r="AZ1129" t="str">
            <v>ACSRIVSN</v>
          </cell>
          <cell r="BA1129" t="str">
            <v>Inverter Single Split Wall_I/D</v>
          </cell>
        </row>
        <row r="1130">
          <cell r="E1130" t="str">
            <v>IDH09M1U.ATYGEVH</v>
          </cell>
          <cell r="F1130">
            <v>0</v>
          </cell>
          <cell r="G1130">
            <v>0</v>
          </cell>
          <cell r="H1130">
            <v>0</v>
          </cell>
          <cell r="I1130">
            <v>23</v>
          </cell>
          <cell r="J1130">
            <v>0</v>
          </cell>
          <cell r="K1130">
            <v>3</v>
          </cell>
          <cell r="L1130">
            <v>5</v>
          </cell>
          <cell r="M1130">
            <v>5</v>
          </cell>
          <cell r="N1130">
            <v>1</v>
          </cell>
          <cell r="O1130">
            <v>0</v>
          </cell>
          <cell r="P1130">
            <v>6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 t="str">
            <v>RACPREMIUM</v>
          </cell>
          <cell r="AH1130" t="str">
            <v>RAC_Premium</v>
          </cell>
          <cell r="AI1130" t="str">
            <v/>
          </cell>
          <cell r="AJ1130" t="str">
            <v/>
          </cell>
          <cell r="AK1130" t="str">
            <v>0.142216</v>
          </cell>
          <cell r="AL1130" t="str">
            <v>0</v>
          </cell>
          <cell r="AM1130" t="str">
            <v>Q</v>
          </cell>
          <cell r="AN1130" t="str">
            <v>M0</v>
          </cell>
          <cell r="AO1130" t="str">
            <v>Active(Model)</v>
          </cell>
          <cell r="AP1130" t="str">
            <v/>
          </cell>
          <cell r="AQ1130" t="str">
            <v/>
          </cell>
          <cell r="AR1130" t="str">
            <v>Y</v>
          </cell>
          <cell r="AS1130" t="str">
            <v/>
          </cell>
          <cell r="AT1130" t="str">
            <v>AC</v>
          </cell>
          <cell r="AU1130" t="str">
            <v>Airconditioner</v>
          </cell>
          <cell r="AV1130" t="str">
            <v>ACSR</v>
          </cell>
          <cell r="AW1130" t="str">
            <v>SRAC</v>
          </cell>
          <cell r="AX1130" t="str">
            <v>ACSRIV</v>
          </cell>
          <cell r="AY1130" t="str">
            <v>Inverter</v>
          </cell>
          <cell r="AZ1130" t="str">
            <v>ACSRIVSU</v>
          </cell>
          <cell r="BA1130" t="str">
            <v>Inverter Single Split Wall_O/D</v>
          </cell>
        </row>
        <row r="1131">
          <cell r="E1131" t="str">
            <v>IDH12M1N.ATYGEVH</v>
          </cell>
          <cell r="F1131">
            <v>0</v>
          </cell>
          <cell r="G1131">
            <v>0</v>
          </cell>
          <cell r="H1131">
            <v>0</v>
          </cell>
          <cell r="I1131">
            <v>15</v>
          </cell>
          <cell r="J1131">
            <v>0</v>
          </cell>
          <cell r="K1131">
            <v>54</v>
          </cell>
          <cell r="L1131">
            <v>0</v>
          </cell>
          <cell r="M1131">
            <v>0</v>
          </cell>
          <cell r="N1131">
            <v>1</v>
          </cell>
          <cell r="O1131">
            <v>0</v>
          </cell>
          <cell r="P1131">
            <v>1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 t="str">
            <v>RACPREMIUM</v>
          </cell>
          <cell r="AH1131" t="str">
            <v>RAC_Premium</v>
          </cell>
          <cell r="AI1131" t="str">
            <v/>
          </cell>
          <cell r="AJ1131" t="str">
            <v/>
          </cell>
          <cell r="AK1131" t="str">
            <v>0.097743</v>
          </cell>
          <cell r="AL1131" t="str">
            <v>0</v>
          </cell>
          <cell r="AM1131" t="str">
            <v>Q</v>
          </cell>
          <cell r="AN1131" t="str">
            <v>M0</v>
          </cell>
          <cell r="AO1131" t="str">
            <v>Active(Model)</v>
          </cell>
          <cell r="AP1131" t="str">
            <v/>
          </cell>
          <cell r="AQ1131" t="str">
            <v/>
          </cell>
          <cell r="AR1131" t="str">
            <v>Y</v>
          </cell>
          <cell r="AS1131" t="str">
            <v/>
          </cell>
          <cell r="AT1131" t="str">
            <v>AC</v>
          </cell>
          <cell r="AU1131" t="str">
            <v>Airconditioner</v>
          </cell>
          <cell r="AV1131" t="str">
            <v>ACSR</v>
          </cell>
          <cell r="AW1131" t="str">
            <v>SRAC</v>
          </cell>
          <cell r="AX1131" t="str">
            <v>ACSRIV</v>
          </cell>
          <cell r="AY1131" t="str">
            <v>Inverter</v>
          </cell>
          <cell r="AZ1131" t="str">
            <v>ACSRIVSN</v>
          </cell>
          <cell r="BA1131" t="str">
            <v>Inverter Single Split Wall_I/D</v>
          </cell>
        </row>
        <row r="1132">
          <cell r="E1132" t="str">
            <v>IDH12M1U.ATYGEVH</v>
          </cell>
          <cell r="F1132">
            <v>0</v>
          </cell>
          <cell r="G1132">
            <v>0</v>
          </cell>
          <cell r="H1132">
            <v>0</v>
          </cell>
          <cell r="I1132">
            <v>15</v>
          </cell>
          <cell r="J1132">
            <v>0</v>
          </cell>
          <cell r="K1132">
            <v>54</v>
          </cell>
          <cell r="L1132">
            <v>0</v>
          </cell>
          <cell r="M1132">
            <v>0</v>
          </cell>
          <cell r="N1132">
            <v>1</v>
          </cell>
          <cell r="O1132">
            <v>0</v>
          </cell>
          <cell r="P1132">
            <v>1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 t="str">
            <v>RACPREMIUM</v>
          </cell>
          <cell r="AH1132" t="str">
            <v>RAC_Premium</v>
          </cell>
          <cell r="AI1132" t="str">
            <v/>
          </cell>
          <cell r="AJ1132" t="str">
            <v/>
          </cell>
          <cell r="AK1132" t="str">
            <v>0.142216</v>
          </cell>
          <cell r="AL1132" t="str">
            <v>0</v>
          </cell>
          <cell r="AM1132" t="str">
            <v>Q</v>
          </cell>
          <cell r="AN1132" t="str">
            <v>M0</v>
          </cell>
          <cell r="AO1132" t="str">
            <v>Active(Model)</v>
          </cell>
          <cell r="AP1132" t="str">
            <v/>
          </cell>
          <cell r="AQ1132" t="str">
            <v/>
          </cell>
          <cell r="AR1132" t="str">
            <v>Y</v>
          </cell>
          <cell r="AS1132" t="str">
            <v/>
          </cell>
          <cell r="AT1132" t="str">
            <v>AC</v>
          </cell>
          <cell r="AU1132" t="str">
            <v>Airconditioner</v>
          </cell>
          <cell r="AV1132" t="str">
            <v>ACSR</v>
          </cell>
          <cell r="AW1132" t="str">
            <v>SRAC</v>
          </cell>
          <cell r="AX1132" t="str">
            <v>ACSRIV</v>
          </cell>
          <cell r="AY1132" t="str">
            <v>Inverter</v>
          </cell>
          <cell r="AZ1132" t="str">
            <v>ACSRIVSU</v>
          </cell>
          <cell r="BA1132" t="str">
            <v>Inverter Single Split Wall_O/D</v>
          </cell>
        </row>
        <row r="1133">
          <cell r="E1133" t="str">
            <v>IDH18M1N.ATYGEVH</v>
          </cell>
          <cell r="F1133">
            <v>0</v>
          </cell>
          <cell r="G1133">
            <v>0</v>
          </cell>
          <cell r="H1133">
            <v>0</v>
          </cell>
          <cell r="I1133">
            <v>39</v>
          </cell>
          <cell r="J1133">
            <v>2</v>
          </cell>
          <cell r="K1133">
            <v>0</v>
          </cell>
          <cell r="L1133">
            <v>0</v>
          </cell>
          <cell r="M1133">
            <v>5</v>
          </cell>
          <cell r="N1133">
            <v>1</v>
          </cell>
          <cell r="O1133">
            <v>2</v>
          </cell>
          <cell r="P1133">
            <v>6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2</v>
          </cell>
          <cell r="AE1133">
            <v>2</v>
          </cell>
          <cell r="AF1133">
            <v>2</v>
          </cell>
          <cell r="AG1133" t="str">
            <v>RACPREMIUM</v>
          </cell>
          <cell r="AH1133" t="str">
            <v>RAC_Premium</v>
          </cell>
          <cell r="AI1133" t="str">
            <v/>
          </cell>
          <cell r="AJ1133" t="str">
            <v/>
          </cell>
          <cell r="AK1133" t="str">
            <v>0.108516</v>
          </cell>
          <cell r="AL1133" t="str">
            <v>0</v>
          </cell>
          <cell r="AM1133" t="str">
            <v>Q</v>
          </cell>
          <cell r="AN1133" t="str">
            <v>M0</v>
          </cell>
          <cell r="AO1133" t="str">
            <v>Active(Model)</v>
          </cell>
          <cell r="AP1133" t="str">
            <v/>
          </cell>
          <cell r="AQ1133" t="str">
            <v/>
          </cell>
          <cell r="AR1133" t="str">
            <v>Y</v>
          </cell>
          <cell r="AS1133" t="str">
            <v/>
          </cell>
          <cell r="AT1133" t="str">
            <v>AC</v>
          </cell>
          <cell r="AU1133" t="str">
            <v>Airconditioner</v>
          </cell>
          <cell r="AV1133" t="str">
            <v>ACSR</v>
          </cell>
          <cell r="AW1133" t="str">
            <v>SRAC</v>
          </cell>
          <cell r="AX1133" t="str">
            <v>ACSRIV</v>
          </cell>
          <cell r="AY1133" t="str">
            <v>Inverter</v>
          </cell>
          <cell r="AZ1133" t="str">
            <v>ACSRIVSN</v>
          </cell>
          <cell r="BA1133" t="str">
            <v>Inverter Single Split Wall_I/D</v>
          </cell>
        </row>
        <row r="1134">
          <cell r="E1134" t="str">
            <v>IDH18M1U.ATYGEVH</v>
          </cell>
          <cell r="F1134">
            <v>0</v>
          </cell>
          <cell r="G1134">
            <v>0</v>
          </cell>
          <cell r="H1134">
            <v>0</v>
          </cell>
          <cell r="I1134">
            <v>38</v>
          </cell>
          <cell r="J1134">
            <v>2</v>
          </cell>
          <cell r="K1134">
            <v>0</v>
          </cell>
          <cell r="L1134">
            <v>0</v>
          </cell>
          <cell r="M1134">
            <v>5</v>
          </cell>
          <cell r="N1134">
            <v>1</v>
          </cell>
          <cell r="O1134">
            <v>2</v>
          </cell>
          <cell r="P1134">
            <v>6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2</v>
          </cell>
          <cell r="AE1134">
            <v>2</v>
          </cell>
          <cell r="AF1134">
            <v>2</v>
          </cell>
          <cell r="AG1134" t="str">
            <v>RACPREMIUM</v>
          </cell>
          <cell r="AH1134" t="str">
            <v>RAC_Premium</v>
          </cell>
          <cell r="AI1134" t="str">
            <v/>
          </cell>
          <cell r="AJ1134" t="str">
            <v/>
          </cell>
          <cell r="AK1134" t="str">
            <v>0.335972</v>
          </cell>
          <cell r="AL1134" t="str">
            <v>0</v>
          </cell>
          <cell r="AM1134" t="str">
            <v>Q</v>
          </cell>
          <cell r="AN1134" t="str">
            <v>M0</v>
          </cell>
          <cell r="AO1134" t="str">
            <v>Active(Model)</v>
          </cell>
          <cell r="AP1134" t="str">
            <v/>
          </cell>
          <cell r="AQ1134" t="str">
            <v/>
          </cell>
          <cell r="AR1134" t="str">
            <v>Y</v>
          </cell>
          <cell r="AS1134" t="str">
            <v/>
          </cell>
          <cell r="AT1134" t="str">
            <v>AC</v>
          </cell>
          <cell r="AU1134" t="str">
            <v>Airconditioner</v>
          </cell>
          <cell r="AV1134" t="str">
            <v>ACSR</v>
          </cell>
          <cell r="AW1134" t="str">
            <v>SRAC</v>
          </cell>
          <cell r="AX1134" t="str">
            <v>ACSRIV</v>
          </cell>
          <cell r="AY1134" t="str">
            <v>Inverter</v>
          </cell>
          <cell r="AZ1134" t="str">
            <v>ACSRIVSU</v>
          </cell>
          <cell r="BA1134" t="str">
            <v>Inverter Single Split Wall_O/D</v>
          </cell>
        </row>
        <row r="1135">
          <cell r="E1135" t="str">
            <v>IDH24M1N.ATYGEVH</v>
          </cell>
          <cell r="F1135">
            <v>0</v>
          </cell>
          <cell r="G1135">
            <v>0</v>
          </cell>
          <cell r="H1135">
            <v>0</v>
          </cell>
          <cell r="I1135">
            <v>55</v>
          </cell>
          <cell r="J1135">
            <v>0</v>
          </cell>
          <cell r="K1135">
            <v>0</v>
          </cell>
          <cell r="L1135">
            <v>0</v>
          </cell>
          <cell r="M1135">
            <v>1</v>
          </cell>
          <cell r="N1135">
            <v>0</v>
          </cell>
          <cell r="O1135">
            <v>0</v>
          </cell>
          <cell r="P1135">
            <v>1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 t="str">
            <v>RACPREMIUM</v>
          </cell>
          <cell r="AH1135" t="str">
            <v>RAC_Premium</v>
          </cell>
          <cell r="AI1135" t="str">
            <v/>
          </cell>
          <cell r="AJ1135" t="str">
            <v/>
          </cell>
          <cell r="AK1135" t="str">
            <v>0.108516</v>
          </cell>
          <cell r="AL1135" t="str">
            <v>0</v>
          </cell>
          <cell r="AM1135" t="str">
            <v>Q</v>
          </cell>
          <cell r="AN1135" t="str">
            <v>M0</v>
          </cell>
          <cell r="AO1135" t="str">
            <v>Active(Model)</v>
          </cell>
          <cell r="AP1135" t="str">
            <v/>
          </cell>
          <cell r="AQ1135" t="str">
            <v/>
          </cell>
          <cell r="AR1135" t="str">
            <v>Y</v>
          </cell>
          <cell r="AS1135" t="str">
            <v/>
          </cell>
          <cell r="AT1135" t="str">
            <v>AC</v>
          </cell>
          <cell r="AU1135" t="str">
            <v>Airconditioner</v>
          </cell>
          <cell r="AV1135" t="str">
            <v>ACSR</v>
          </cell>
          <cell r="AW1135" t="str">
            <v>SRAC</v>
          </cell>
          <cell r="AX1135" t="str">
            <v>ACSRIV</v>
          </cell>
          <cell r="AY1135" t="str">
            <v>Inverter</v>
          </cell>
          <cell r="AZ1135" t="str">
            <v>ACSRIVSN</v>
          </cell>
          <cell r="BA1135" t="str">
            <v>Inverter Single Split Wall_I/D</v>
          </cell>
        </row>
        <row r="1136">
          <cell r="E1136" t="str">
            <v>IDH24M1U.ATYGEVH</v>
          </cell>
          <cell r="F1136">
            <v>0</v>
          </cell>
          <cell r="G1136">
            <v>0</v>
          </cell>
          <cell r="H1136">
            <v>0</v>
          </cell>
          <cell r="I1136">
            <v>54</v>
          </cell>
          <cell r="J1136">
            <v>0</v>
          </cell>
          <cell r="K1136">
            <v>0</v>
          </cell>
          <cell r="L1136">
            <v>0</v>
          </cell>
          <cell r="M1136">
            <v>1</v>
          </cell>
          <cell r="N1136">
            <v>0</v>
          </cell>
          <cell r="O1136">
            <v>0</v>
          </cell>
          <cell r="P1136">
            <v>1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 t="str">
            <v>RACPREMIUM</v>
          </cell>
          <cell r="AH1136" t="str">
            <v>RAC_Premium</v>
          </cell>
          <cell r="AI1136" t="str">
            <v/>
          </cell>
          <cell r="AJ1136" t="str">
            <v/>
          </cell>
          <cell r="AK1136" t="str">
            <v>0.335972</v>
          </cell>
          <cell r="AL1136" t="str">
            <v>0</v>
          </cell>
          <cell r="AM1136" t="str">
            <v>Q</v>
          </cell>
          <cell r="AN1136" t="str">
            <v>M0</v>
          </cell>
          <cell r="AO1136" t="str">
            <v>Active(Model)</v>
          </cell>
          <cell r="AP1136" t="str">
            <v/>
          </cell>
          <cell r="AQ1136" t="str">
            <v/>
          </cell>
          <cell r="AR1136" t="str">
            <v>Y</v>
          </cell>
          <cell r="AS1136" t="str">
            <v/>
          </cell>
          <cell r="AT1136" t="str">
            <v>AC</v>
          </cell>
          <cell r="AU1136" t="str">
            <v>Airconditioner</v>
          </cell>
          <cell r="AV1136" t="str">
            <v>ACSR</v>
          </cell>
          <cell r="AW1136" t="str">
            <v>SRAC</v>
          </cell>
          <cell r="AX1136" t="str">
            <v>ACSRIV</v>
          </cell>
          <cell r="AY1136" t="str">
            <v>Inverter</v>
          </cell>
          <cell r="AZ1136" t="str">
            <v>ACSRIVSU</v>
          </cell>
          <cell r="BA1136" t="str">
            <v>Inverter Single Split Wall_O/D</v>
          </cell>
        </row>
        <row r="1137">
          <cell r="E1137" t="str">
            <v>IEC09G2N.ATYGEVH</v>
          </cell>
          <cell r="F1137">
            <v>4</v>
          </cell>
          <cell r="G1137">
            <v>0</v>
          </cell>
          <cell r="H1137">
            <v>0</v>
          </cell>
          <cell r="I1137">
            <v>4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 t="str">
            <v>RACPREMIUM</v>
          </cell>
          <cell r="AH1137" t="str">
            <v>RAC_Premium</v>
          </cell>
          <cell r="AI1137" t="str">
            <v/>
          </cell>
          <cell r="AJ1137" t="str">
            <v/>
          </cell>
          <cell r="AK1137" t="str">
            <v>0.088857</v>
          </cell>
          <cell r="AL1137" t="str">
            <v>0</v>
          </cell>
          <cell r="AM1137" t="str">
            <v>Q</v>
          </cell>
          <cell r="AN1137" t="str">
            <v>M0</v>
          </cell>
          <cell r="AO1137" t="str">
            <v>Active(Model)</v>
          </cell>
          <cell r="AP1137" t="str">
            <v/>
          </cell>
          <cell r="AQ1137" t="str">
            <v/>
          </cell>
          <cell r="AR1137" t="str">
            <v>Y</v>
          </cell>
          <cell r="AS1137" t="str">
            <v/>
          </cell>
          <cell r="AT1137" t="str">
            <v>AC</v>
          </cell>
          <cell r="AU1137" t="str">
            <v>Airconditioner</v>
          </cell>
          <cell r="AV1137" t="str">
            <v>ACSR</v>
          </cell>
          <cell r="AW1137" t="str">
            <v>SRAC</v>
          </cell>
          <cell r="AX1137" t="str">
            <v>ACSRIV</v>
          </cell>
          <cell r="AY1137" t="str">
            <v>Inverter</v>
          </cell>
          <cell r="AZ1137" t="str">
            <v>ACSRIVSN</v>
          </cell>
          <cell r="BA1137" t="str">
            <v>Inverter Single Split Wall_I/D</v>
          </cell>
        </row>
        <row r="1138">
          <cell r="E1138" t="str">
            <v>IEC09G2U.ATYGEVH</v>
          </cell>
          <cell r="F1138">
            <v>4</v>
          </cell>
          <cell r="G1138">
            <v>0</v>
          </cell>
          <cell r="H1138">
            <v>0</v>
          </cell>
          <cell r="I1138">
            <v>5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 t="str">
            <v>RACPREMIUM</v>
          </cell>
          <cell r="AH1138" t="str">
            <v>RAC_Premium</v>
          </cell>
          <cell r="AI1138" t="str">
            <v/>
          </cell>
          <cell r="AJ1138" t="str">
            <v/>
          </cell>
          <cell r="AK1138" t="str">
            <v>0.142216</v>
          </cell>
          <cell r="AL1138" t="str">
            <v>0</v>
          </cell>
          <cell r="AM1138" t="str">
            <v>Q</v>
          </cell>
          <cell r="AN1138" t="str">
            <v>M0</v>
          </cell>
          <cell r="AO1138" t="str">
            <v>Active(Model)</v>
          </cell>
          <cell r="AP1138" t="str">
            <v/>
          </cell>
          <cell r="AQ1138" t="str">
            <v/>
          </cell>
          <cell r="AR1138" t="str">
            <v>Y</v>
          </cell>
          <cell r="AS1138" t="str">
            <v/>
          </cell>
          <cell r="AT1138" t="str">
            <v>AC</v>
          </cell>
          <cell r="AU1138" t="str">
            <v>Airconditioner</v>
          </cell>
          <cell r="AV1138" t="str">
            <v>ACSR</v>
          </cell>
          <cell r="AW1138" t="str">
            <v>SRAC</v>
          </cell>
          <cell r="AX1138" t="str">
            <v>ACSRIV</v>
          </cell>
          <cell r="AY1138" t="str">
            <v>Inverter</v>
          </cell>
          <cell r="AZ1138" t="str">
            <v>ACSRIVSU</v>
          </cell>
          <cell r="BA1138" t="str">
            <v>Inverter Single Split Wall_O/D</v>
          </cell>
        </row>
        <row r="1139">
          <cell r="E1139" t="str">
            <v>IEC09M2N.ATYGEVH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 t="str">
            <v>RACPREMIUM</v>
          </cell>
          <cell r="AH1139" t="str">
            <v>RAC_Premium</v>
          </cell>
          <cell r="AI1139" t="str">
            <v/>
          </cell>
          <cell r="AJ1139" t="str">
            <v/>
          </cell>
          <cell r="AK1139" t="str">
            <v>0.088857</v>
          </cell>
          <cell r="AL1139" t="str">
            <v>0</v>
          </cell>
          <cell r="AM1139" t="str">
            <v>Q</v>
          </cell>
          <cell r="AN1139" t="str">
            <v>M0</v>
          </cell>
          <cell r="AO1139" t="str">
            <v>Active(Model)</v>
          </cell>
          <cell r="AP1139" t="str">
            <v/>
          </cell>
          <cell r="AQ1139" t="str">
            <v/>
          </cell>
          <cell r="AR1139" t="str">
            <v>Y</v>
          </cell>
          <cell r="AS1139" t="str">
            <v/>
          </cell>
          <cell r="AT1139" t="str">
            <v>AC</v>
          </cell>
          <cell r="AU1139" t="str">
            <v>Airconditioner</v>
          </cell>
          <cell r="AV1139" t="str">
            <v>ACSR</v>
          </cell>
          <cell r="AW1139" t="str">
            <v>SRAC</v>
          </cell>
          <cell r="AX1139" t="str">
            <v>ACSRIV</v>
          </cell>
          <cell r="AY1139" t="str">
            <v>Inverter</v>
          </cell>
          <cell r="AZ1139" t="str">
            <v>ACSRIVSN</v>
          </cell>
          <cell r="BA1139" t="str">
            <v>Inverter Single Split Wall_I/D</v>
          </cell>
        </row>
        <row r="1140">
          <cell r="E1140" t="str">
            <v>IEC09M2U.ATYGEVH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 t="str">
            <v>RACPREMIUM</v>
          </cell>
          <cell r="AH1140" t="str">
            <v>RAC_Premium</v>
          </cell>
          <cell r="AI1140" t="str">
            <v/>
          </cell>
          <cell r="AJ1140" t="str">
            <v/>
          </cell>
          <cell r="AK1140" t="str">
            <v>0.142216</v>
          </cell>
          <cell r="AL1140" t="str">
            <v>0</v>
          </cell>
          <cell r="AM1140" t="str">
            <v>Q</v>
          </cell>
          <cell r="AN1140" t="str">
            <v>M0</v>
          </cell>
          <cell r="AO1140" t="str">
            <v>Active(Model)</v>
          </cell>
          <cell r="AP1140" t="str">
            <v/>
          </cell>
          <cell r="AQ1140" t="str">
            <v/>
          </cell>
          <cell r="AR1140" t="str">
            <v>Y</v>
          </cell>
          <cell r="AS1140" t="str">
            <v/>
          </cell>
          <cell r="AT1140" t="str">
            <v>AC</v>
          </cell>
          <cell r="AU1140" t="str">
            <v>Airconditioner</v>
          </cell>
          <cell r="AV1140" t="str">
            <v>ACSR</v>
          </cell>
          <cell r="AW1140" t="str">
            <v>SRAC</v>
          </cell>
          <cell r="AX1140" t="str">
            <v>ACSRIV</v>
          </cell>
          <cell r="AY1140" t="str">
            <v>Inverter</v>
          </cell>
          <cell r="AZ1140" t="str">
            <v>ACSRIVSU</v>
          </cell>
          <cell r="BA1140" t="str">
            <v>Inverter Single Split Wall_O/D</v>
          </cell>
        </row>
        <row r="1141">
          <cell r="E1141" t="str">
            <v>IEC12G2N.ATYGEVH</v>
          </cell>
          <cell r="F1141">
            <v>10</v>
          </cell>
          <cell r="G1141">
            <v>0</v>
          </cell>
          <cell r="H1141">
            <v>0</v>
          </cell>
          <cell r="I1141">
            <v>10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40</v>
          </cell>
          <cell r="AF1141">
            <v>0</v>
          </cell>
          <cell r="AG1141" t="str">
            <v>RACPREMIUM</v>
          </cell>
          <cell r="AH1141" t="str">
            <v>RAC_Premium</v>
          </cell>
          <cell r="AI1141" t="str">
            <v/>
          </cell>
          <cell r="AJ1141" t="str">
            <v/>
          </cell>
          <cell r="AK1141" t="str">
            <v>0.088857</v>
          </cell>
          <cell r="AL1141" t="str">
            <v>0</v>
          </cell>
          <cell r="AM1141" t="str">
            <v>Q</v>
          </cell>
          <cell r="AN1141" t="str">
            <v>M0</v>
          </cell>
          <cell r="AO1141" t="str">
            <v>Active(Model)</v>
          </cell>
          <cell r="AP1141" t="str">
            <v/>
          </cell>
          <cell r="AQ1141" t="str">
            <v/>
          </cell>
          <cell r="AR1141" t="str">
            <v>Y</v>
          </cell>
          <cell r="AS1141" t="str">
            <v/>
          </cell>
          <cell r="AT1141" t="str">
            <v>AC</v>
          </cell>
          <cell r="AU1141" t="str">
            <v>Airconditioner</v>
          </cell>
          <cell r="AV1141" t="str">
            <v>ACSR</v>
          </cell>
          <cell r="AW1141" t="str">
            <v>SRAC</v>
          </cell>
          <cell r="AX1141" t="str">
            <v>ACSRIV</v>
          </cell>
          <cell r="AY1141" t="str">
            <v>Inverter</v>
          </cell>
          <cell r="AZ1141" t="str">
            <v>ACSRIVSN</v>
          </cell>
          <cell r="BA1141" t="str">
            <v>Inverter Single Split Wall_I/D</v>
          </cell>
        </row>
        <row r="1142">
          <cell r="E1142" t="str">
            <v>IEC12G2U.ATYGEVH</v>
          </cell>
          <cell r="F1142">
            <v>10</v>
          </cell>
          <cell r="G1142">
            <v>0</v>
          </cell>
          <cell r="H1142">
            <v>0</v>
          </cell>
          <cell r="I1142">
            <v>10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40</v>
          </cell>
          <cell r="AF1142">
            <v>0</v>
          </cell>
          <cell r="AG1142" t="str">
            <v>RACPREMIUM</v>
          </cell>
          <cell r="AH1142" t="str">
            <v>RAC_Premium</v>
          </cell>
          <cell r="AI1142" t="str">
            <v/>
          </cell>
          <cell r="AJ1142" t="str">
            <v/>
          </cell>
          <cell r="AK1142" t="str">
            <v>0.142216</v>
          </cell>
          <cell r="AL1142" t="str">
            <v>0</v>
          </cell>
          <cell r="AM1142" t="str">
            <v>Q</v>
          </cell>
          <cell r="AN1142" t="str">
            <v>M0</v>
          </cell>
          <cell r="AO1142" t="str">
            <v>Active(Model)</v>
          </cell>
          <cell r="AP1142" t="str">
            <v/>
          </cell>
          <cell r="AQ1142" t="str">
            <v/>
          </cell>
          <cell r="AR1142" t="str">
            <v>Y</v>
          </cell>
          <cell r="AS1142" t="str">
            <v/>
          </cell>
          <cell r="AT1142" t="str">
            <v>AC</v>
          </cell>
          <cell r="AU1142" t="str">
            <v>Airconditioner</v>
          </cell>
          <cell r="AV1142" t="str">
            <v>ACSR</v>
          </cell>
          <cell r="AW1142" t="str">
            <v>SRAC</v>
          </cell>
          <cell r="AX1142" t="str">
            <v>ACSRIV</v>
          </cell>
          <cell r="AY1142" t="str">
            <v>Inverter</v>
          </cell>
          <cell r="AZ1142" t="str">
            <v>ACSRIVSU</v>
          </cell>
          <cell r="BA1142" t="str">
            <v>Inverter Single Split Wall_O/D</v>
          </cell>
        </row>
        <row r="1143">
          <cell r="E1143" t="str">
            <v>IEC12M1N.ATYGEVH</v>
          </cell>
          <cell r="F1143">
            <v>5</v>
          </cell>
          <cell r="G1143">
            <v>0</v>
          </cell>
          <cell r="H1143">
            <v>0</v>
          </cell>
          <cell r="I1143">
            <v>5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 t="str">
            <v>RACPREMIUM</v>
          </cell>
          <cell r="AH1143" t="str">
            <v>RAC_Premium</v>
          </cell>
          <cell r="AI1143" t="str">
            <v/>
          </cell>
          <cell r="AJ1143" t="str">
            <v/>
          </cell>
          <cell r="AK1143" t="str">
            <v>0.088857</v>
          </cell>
          <cell r="AL1143" t="str">
            <v>0</v>
          </cell>
          <cell r="AM1143" t="str">
            <v>Q</v>
          </cell>
          <cell r="AN1143" t="str">
            <v>M0</v>
          </cell>
          <cell r="AO1143" t="str">
            <v>Active(Model)</v>
          </cell>
          <cell r="AP1143" t="str">
            <v/>
          </cell>
          <cell r="AQ1143" t="str">
            <v/>
          </cell>
          <cell r="AR1143" t="str">
            <v>Y</v>
          </cell>
          <cell r="AS1143" t="str">
            <v/>
          </cell>
          <cell r="AT1143" t="str">
            <v>AC</v>
          </cell>
          <cell r="AU1143" t="str">
            <v>Airconditioner</v>
          </cell>
          <cell r="AV1143" t="str">
            <v>ACSR</v>
          </cell>
          <cell r="AW1143" t="str">
            <v>SRAC</v>
          </cell>
          <cell r="AX1143" t="str">
            <v>ACSRIV</v>
          </cell>
          <cell r="AY1143" t="str">
            <v>Inverter</v>
          </cell>
          <cell r="AZ1143" t="str">
            <v>ACSRIVSN</v>
          </cell>
          <cell r="BA1143" t="str">
            <v>Inverter Single Split Wall_I/D</v>
          </cell>
        </row>
        <row r="1144">
          <cell r="E1144" t="str">
            <v>IEC12M1U.ATYGEVH</v>
          </cell>
          <cell r="F1144">
            <v>5</v>
          </cell>
          <cell r="G1144">
            <v>0</v>
          </cell>
          <cell r="H1144">
            <v>0</v>
          </cell>
          <cell r="I1144">
            <v>5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 t="str">
            <v>RACPREMIUM</v>
          </cell>
          <cell r="AH1144" t="str">
            <v>RAC_Premium</v>
          </cell>
          <cell r="AI1144" t="str">
            <v/>
          </cell>
          <cell r="AJ1144" t="str">
            <v/>
          </cell>
          <cell r="AK1144" t="str">
            <v>0.144617</v>
          </cell>
          <cell r="AL1144" t="str">
            <v>0</v>
          </cell>
          <cell r="AM1144" t="str">
            <v>Q</v>
          </cell>
          <cell r="AN1144" t="str">
            <v>M0</v>
          </cell>
          <cell r="AO1144" t="str">
            <v>Active(Model)</v>
          </cell>
          <cell r="AP1144" t="str">
            <v/>
          </cell>
          <cell r="AQ1144" t="str">
            <v/>
          </cell>
          <cell r="AR1144" t="str">
            <v>Y</v>
          </cell>
          <cell r="AS1144" t="str">
            <v/>
          </cell>
          <cell r="AT1144" t="str">
            <v>AC</v>
          </cell>
          <cell r="AU1144" t="str">
            <v>Airconditioner</v>
          </cell>
          <cell r="AV1144" t="str">
            <v>ACSR</v>
          </cell>
          <cell r="AW1144" t="str">
            <v>SRAC</v>
          </cell>
          <cell r="AX1144" t="str">
            <v>ACSRIV</v>
          </cell>
          <cell r="AY1144" t="str">
            <v>Inverter</v>
          </cell>
          <cell r="AZ1144" t="str">
            <v>ACSRIVSU</v>
          </cell>
          <cell r="BA1144" t="str">
            <v>Inverter Single Split Wall_O/D</v>
          </cell>
        </row>
        <row r="1145">
          <cell r="E1145" t="str">
            <v>IEC12M2N.ATYGEVH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20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 t="str">
            <v>RACPREMIUM</v>
          </cell>
          <cell r="AH1145" t="str">
            <v>RAC_Premium</v>
          </cell>
          <cell r="AI1145" t="str">
            <v/>
          </cell>
          <cell r="AJ1145" t="str">
            <v/>
          </cell>
          <cell r="AK1145" t="str">
            <v>0.088857</v>
          </cell>
          <cell r="AL1145" t="str">
            <v>0</v>
          </cell>
          <cell r="AM1145" t="str">
            <v>Q</v>
          </cell>
          <cell r="AN1145" t="str">
            <v>M0</v>
          </cell>
          <cell r="AO1145" t="str">
            <v>Active(Model)</v>
          </cell>
          <cell r="AP1145" t="str">
            <v/>
          </cell>
          <cell r="AQ1145" t="str">
            <v/>
          </cell>
          <cell r="AR1145" t="str">
            <v>Y</v>
          </cell>
          <cell r="AS1145" t="str">
            <v/>
          </cell>
          <cell r="AT1145" t="str">
            <v>AC</v>
          </cell>
          <cell r="AU1145" t="str">
            <v>Airconditioner</v>
          </cell>
          <cell r="AV1145" t="str">
            <v>ACSR</v>
          </cell>
          <cell r="AW1145" t="str">
            <v>SRAC</v>
          </cell>
          <cell r="AX1145" t="str">
            <v>ACSRIV</v>
          </cell>
          <cell r="AY1145" t="str">
            <v>Inverter</v>
          </cell>
          <cell r="AZ1145" t="str">
            <v>ACSRIVSN</v>
          </cell>
          <cell r="BA1145" t="str">
            <v>Inverter Single Split Wall_I/D</v>
          </cell>
        </row>
        <row r="1146">
          <cell r="E1146" t="str">
            <v>IEC12M2U.ATYGEVH</v>
          </cell>
          <cell r="F1146">
            <v>0</v>
          </cell>
          <cell r="G1146">
            <v>0</v>
          </cell>
          <cell r="H1146">
            <v>0</v>
          </cell>
          <cell r="I1146">
            <v>1</v>
          </cell>
          <cell r="J1146">
            <v>0</v>
          </cell>
          <cell r="K1146">
            <v>20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 t="str">
            <v>RACPREMIUM</v>
          </cell>
          <cell r="AH1146" t="str">
            <v>RAC_Premium</v>
          </cell>
          <cell r="AI1146" t="str">
            <v/>
          </cell>
          <cell r="AJ1146" t="str">
            <v/>
          </cell>
          <cell r="AK1146" t="str">
            <v>0.142216</v>
          </cell>
          <cell r="AL1146" t="str">
            <v>0</v>
          </cell>
          <cell r="AM1146" t="str">
            <v>Q</v>
          </cell>
          <cell r="AN1146" t="str">
            <v>M0</v>
          </cell>
          <cell r="AO1146" t="str">
            <v>Active(Model)</v>
          </cell>
          <cell r="AP1146" t="str">
            <v/>
          </cell>
          <cell r="AQ1146" t="str">
            <v/>
          </cell>
          <cell r="AR1146" t="str">
            <v>Y</v>
          </cell>
          <cell r="AS1146" t="str">
            <v/>
          </cell>
          <cell r="AT1146" t="str">
            <v>AC</v>
          </cell>
          <cell r="AU1146" t="str">
            <v>Airconditioner</v>
          </cell>
          <cell r="AV1146" t="str">
            <v>ACSR</v>
          </cell>
          <cell r="AW1146" t="str">
            <v>SRAC</v>
          </cell>
          <cell r="AX1146" t="str">
            <v>ACSRIV</v>
          </cell>
          <cell r="AY1146" t="str">
            <v>Inverter</v>
          </cell>
          <cell r="AZ1146" t="str">
            <v>ACSRIVSU</v>
          </cell>
          <cell r="BA1146" t="str">
            <v>Inverter Single Split Wall_O/D</v>
          </cell>
        </row>
        <row r="1147">
          <cell r="E1147" t="str">
            <v>IEC18M2N.ATYGEVH</v>
          </cell>
          <cell r="F1147">
            <v>0</v>
          </cell>
          <cell r="G1147">
            <v>0</v>
          </cell>
          <cell r="H1147">
            <v>0</v>
          </cell>
          <cell r="I1147">
            <v>8</v>
          </cell>
          <cell r="J1147">
            <v>0</v>
          </cell>
          <cell r="K1147">
            <v>30</v>
          </cell>
          <cell r="L1147">
            <v>0</v>
          </cell>
          <cell r="M1147">
            <v>0</v>
          </cell>
          <cell r="N1147">
            <v>5</v>
          </cell>
          <cell r="O1147">
            <v>0</v>
          </cell>
          <cell r="P1147">
            <v>5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 t="str">
            <v>RACPREMIUM</v>
          </cell>
          <cell r="AH1147" t="str">
            <v>RAC_Premium</v>
          </cell>
          <cell r="AI1147" t="str">
            <v/>
          </cell>
          <cell r="AJ1147" t="str">
            <v/>
          </cell>
          <cell r="AK1147" t="str">
            <v>0.126638</v>
          </cell>
          <cell r="AL1147" t="str">
            <v>0</v>
          </cell>
          <cell r="AM1147" t="str">
            <v>Q</v>
          </cell>
          <cell r="AN1147" t="str">
            <v>M0</v>
          </cell>
          <cell r="AO1147" t="str">
            <v>Active(Model)</v>
          </cell>
          <cell r="AP1147" t="str">
            <v/>
          </cell>
          <cell r="AQ1147" t="str">
            <v/>
          </cell>
          <cell r="AR1147" t="str">
            <v>Y</v>
          </cell>
          <cell r="AS1147" t="str">
            <v/>
          </cell>
          <cell r="AT1147" t="str">
            <v>AC</v>
          </cell>
          <cell r="AU1147" t="str">
            <v>Airconditioner</v>
          </cell>
          <cell r="AV1147" t="str">
            <v>ACSR</v>
          </cell>
          <cell r="AW1147" t="str">
            <v>SRAC</v>
          </cell>
          <cell r="AX1147" t="str">
            <v>ACSRIV</v>
          </cell>
          <cell r="AY1147" t="str">
            <v>Inverter</v>
          </cell>
          <cell r="AZ1147" t="str">
            <v>ACSRIVSN</v>
          </cell>
          <cell r="BA1147" t="str">
            <v>Inverter Single Split Wall_I/D</v>
          </cell>
        </row>
        <row r="1148">
          <cell r="E1148" t="str">
            <v>IEC18M2U.ATYGEVH</v>
          </cell>
          <cell r="F1148">
            <v>0</v>
          </cell>
          <cell r="G1148">
            <v>0</v>
          </cell>
          <cell r="H1148">
            <v>0</v>
          </cell>
          <cell r="I1148">
            <v>8</v>
          </cell>
          <cell r="J1148">
            <v>0</v>
          </cell>
          <cell r="K1148">
            <v>30</v>
          </cell>
          <cell r="L1148">
            <v>0</v>
          </cell>
          <cell r="M1148">
            <v>0</v>
          </cell>
          <cell r="N1148">
            <v>5</v>
          </cell>
          <cell r="O1148">
            <v>0</v>
          </cell>
          <cell r="P1148">
            <v>5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 t="str">
            <v>RACPREMIUM</v>
          </cell>
          <cell r="AH1148" t="str">
            <v>RAC_Premium</v>
          </cell>
          <cell r="AI1148" t="str">
            <v/>
          </cell>
          <cell r="AJ1148" t="str">
            <v/>
          </cell>
          <cell r="AK1148" t="str">
            <v>0.142216</v>
          </cell>
          <cell r="AL1148" t="str">
            <v>0</v>
          </cell>
          <cell r="AM1148" t="str">
            <v>Q</v>
          </cell>
          <cell r="AN1148" t="str">
            <v>M0</v>
          </cell>
          <cell r="AO1148" t="str">
            <v>Active(Model)</v>
          </cell>
          <cell r="AP1148" t="str">
            <v/>
          </cell>
          <cell r="AQ1148" t="str">
            <v/>
          </cell>
          <cell r="AR1148" t="str">
            <v>Y</v>
          </cell>
          <cell r="AS1148" t="str">
            <v/>
          </cell>
          <cell r="AT1148" t="str">
            <v>AC</v>
          </cell>
          <cell r="AU1148" t="str">
            <v>Airconditioner</v>
          </cell>
          <cell r="AV1148" t="str">
            <v>ACSR</v>
          </cell>
          <cell r="AW1148" t="str">
            <v>SRAC</v>
          </cell>
          <cell r="AX1148" t="str">
            <v>ACSRIV</v>
          </cell>
          <cell r="AY1148" t="str">
            <v>Inverter</v>
          </cell>
          <cell r="AZ1148" t="str">
            <v>ACSRIVSU</v>
          </cell>
          <cell r="BA1148" t="str">
            <v>Inverter Single Split Wall_O/D</v>
          </cell>
        </row>
        <row r="1149">
          <cell r="E1149" t="str">
            <v>IEC24M2N.ATYGEVH</v>
          </cell>
          <cell r="F1149">
            <v>0</v>
          </cell>
          <cell r="G1149">
            <v>0</v>
          </cell>
          <cell r="H1149">
            <v>0</v>
          </cell>
          <cell r="I1149">
            <v>3</v>
          </cell>
          <cell r="J1149">
            <v>0</v>
          </cell>
          <cell r="K1149">
            <v>0</v>
          </cell>
          <cell r="L1149">
            <v>0</v>
          </cell>
          <cell r="M1149">
            <v>1</v>
          </cell>
          <cell r="N1149">
            <v>0</v>
          </cell>
          <cell r="O1149">
            <v>0</v>
          </cell>
          <cell r="P1149">
            <v>1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 t="str">
            <v>RACPREMIUM</v>
          </cell>
          <cell r="AH1149" t="str">
            <v>RAC_Premium</v>
          </cell>
          <cell r="AI1149" t="str">
            <v/>
          </cell>
          <cell r="AJ1149" t="str">
            <v/>
          </cell>
          <cell r="AK1149" t="str">
            <v>0.126638</v>
          </cell>
          <cell r="AL1149" t="str">
            <v>0</v>
          </cell>
          <cell r="AM1149" t="str">
            <v>Q</v>
          </cell>
          <cell r="AN1149" t="str">
            <v>M0</v>
          </cell>
          <cell r="AO1149" t="str">
            <v>Active(Model)</v>
          </cell>
          <cell r="AP1149" t="str">
            <v/>
          </cell>
          <cell r="AQ1149" t="str">
            <v/>
          </cell>
          <cell r="AR1149" t="str">
            <v>Y</v>
          </cell>
          <cell r="AS1149" t="str">
            <v/>
          </cell>
          <cell r="AT1149" t="str">
            <v>AC</v>
          </cell>
          <cell r="AU1149" t="str">
            <v>Airconditioner</v>
          </cell>
          <cell r="AV1149" t="str">
            <v>ACSR</v>
          </cell>
          <cell r="AW1149" t="str">
            <v>SRAC</v>
          </cell>
          <cell r="AX1149" t="str">
            <v>ACSRIV</v>
          </cell>
          <cell r="AY1149" t="str">
            <v>Inverter</v>
          </cell>
          <cell r="AZ1149" t="str">
            <v>ACSRIVSN</v>
          </cell>
          <cell r="BA1149" t="str">
            <v>Inverter Single Split Wall_I/D</v>
          </cell>
        </row>
        <row r="1150">
          <cell r="E1150" t="str">
            <v>IEC24M2U.ATYGEVH</v>
          </cell>
          <cell r="F1150">
            <v>0</v>
          </cell>
          <cell r="G1150">
            <v>0</v>
          </cell>
          <cell r="H1150">
            <v>0</v>
          </cell>
          <cell r="I1150">
            <v>2</v>
          </cell>
          <cell r="J1150">
            <v>0</v>
          </cell>
          <cell r="K1150">
            <v>1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 t="str">
            <v>RACPREMIUM</v>
          </cell>
          <cell r="AH1150" t="str">
            <v>RAC_Premium</v>
          </cell>
          <cell r="AI1150" t="str">
            <v/>
          </cell>
          <cell r="AJ1150" t="str">
            <v/>
          </cell>
          <cell r="AK1150" t="str">
            <v>0.211677</v>
          </cell>
          <cell r="AL1150" t="str">
            <v>0</v>
          </cell>
          <cell r="AM1150" t="str">
            <v>Q</v>
          </cell>
          <cell r="AN1150" t="str">
            <v>M0</v>
          </cell>
          <cell r="AO1150" t="str">
            <v>Active(Model)</v>
          </cell>
          <cell r="AP1150" t="str">
            <v/>
          </cell>
          <cell r="AQ1150" t="str">
            <v/>
          </cell>
          <cell r="AR1150" t="str">
            <v>Y</v>
          </cell>
          <cell r="AS1150" t="str">
            <v/>
          </cell>
          <cell r="AT1150" t="str">
            <v>AC</v>
          </cell>
          <cell r="AU1150" t="str">
            <v>Airconditioner</v>
          </cell>
          <cell r="AV1150" t="str">
            <v>ACSR</v>
          </cell>
          <cell r="AW1150" t="str">
            <v>SRAC</v>
          </cell>
          <cell r="AX1150" t="str">
            <v>ACSRIV</v>
          </cell>
          <cell r="AY1150" t="str">
            <v>Inverter</v>
          </cell>
          <cell r="AZ1150" t="str">
            <v>ACSRIVSU</v>
          </cell>
          <cell r="BA1150" t="str">
            <v>Inverter Single Split Wall_O/D</v>
          </cell>
        </row>
        <row r="1151">
          <cell r="E1151" t="str">
            <v>IFC09M1N.DXWAEVH</v>
          </cell>
          <cell r="F1151">
            <v>0</v>
          </cell>
          <cell r="G1151">
            <v>0</v>
          </cell>
          <cell r="H1151">
            <v>0</v>
          </cell>
          <cell r="I1151">
            <v>1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1</v>
          </cell>
          <cell r="O1151">
            <v>17</v>
          </cell>
          <cell r="P1151">
            <v>1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 t="str">
            <v>RACPREMIUM</v>
          </cell>
          <cell r="AH1151" t="str">
            <v>RAC_Premium</v>
          </cell>
          <cell r="AI1151" t="str">
            <v/>
          </cell>
          <cell r="AJ1151" t="str">
            <v/>
          </cell>
          <cell r="AK1151" t="str">
            <v>0.063813</v>
          </cell>
          <cell r="AL1151" t="str">
            <v>0</v>
          </cell>
          <cell r="AM1151" t="str">
            <v>Q</v>
          </cell>
          <cell r="AN1151" t="str">
            <v>M0</v>
          </cell>
          <cell r="AO1151" t="str">
            <v>Active(Model)</v>
          </cell>
          <cell r="AP1151" t="str">
            <v/>
          </cell>
          <cell r="AQ1151" t="str">
            <v/>
          </cell>
          <cell r="AR1151" t="str">
            <v>Y</v>
          </cell>
          <cell r="AS1151" t="str">
            <v/>
          </cell>
          <cell r="AT1151" t="str">
            <v>AC</v>
          </cell>
          <cell r="AU1151" t="str">
            <v>Airconditioner</v>
          </cell>
          <cell r="AV1151" t="str">
            <v>ACSR</v>
          </cell>
          <cell r="AW1151" t="str">
            <v>SRAC</v>
          </cell>
          <cell r="AX1151" t="str">
            <v>ACSRIV</v>
          </cell>
          <cell r="AY1151" t="str">
            <v>Inverter</v>
          </cell>
          <cell r="AZ1151" t="str">
            <v>ACSRIVSN</v>
          </cell>
          <cell r="BA1151" t="str">
            <v>Inverter Single Split Wall_I/D</v>
          </cell>
        </row>
        <row r="1152">
          <cell r="E1152" t="str">
            <v>IFC09M1U.DXWAEVH</v>
          </cell>
          <cell r="F1152">
            <v>0</v>
          </cell>
          <cell r="G1152">
            <v>0</v>
          </cell>
          <cell r="H1152">
            <v>0</v>
          </cell>
          <cell r="I1152">
            <v>1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1</v>
          </cell>
          <cell r="O1152">
            <v>17</v>
          </cell>
          <cell r="P1152">
            <v>1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 t="str">
            <v>RACPREMIUM</v>
          </cell>
          <cell r="AH1152" t="str">
            <v>RAC_Premium</v>
          </cell>
          <cell r="AI1152" t="str">
            <v/>
          </cell>
          <cell r="AJ1152" t="str">
            <v/>
          </cell>
          <cell r="AK1152" t="str">
            <v>0.114069</v>
          </cell>
          <cell r="AL1152" t="str">
            <v>0</v>
          </cell>
          <cell r="AM1152" t="str">
            <v>Q</v>
          </cell>
          <cell r="AN1152" t="str">
            <v>M0</v>
          </cell>
          <cell r="AO1152" t="str">
            <v>Active(Model)</v>
          </cell>
          <cell r="AP1152" t="str">
            <v/>
          </cell>
          <cell r="AQ1152" t="str">
            <v/>
          </cell>
          <cell r="AR1152" t="str">
            <v>Y</v>
          </cell>
          <cell r="AS1152" t="str">
            <v/>
          </cell>
          <cell r="AT1152" t="str">
            <v>AC</v>
          </cell>
          <cell r="AU1152" t="str">
            <v>Airconditioner</v>
          </cell>
          <cell r="AV1152" t="str">
            <v>ACSR</v>
          </cell>
          <cell r="AW1152" t="str">
            <v>SRAC</v>
          </cell>
          <cell r="AX1152" t="str">
            <v>ACSRIV</v>
          </cell>
          <cell r="AY1152" t="str">
            <v>Inverter</v>
          </cell>
          <cell r="AZ1152" t="str">
            <v>ACSRIVSU</v>
          </cell>
          <cell r="BA1152" t="str">
            <v>Inverter Single Split Wall_O/D</v>
          </cell>
        </row>
        <row r="1153">
          <cell r="E1153" t="str">
            <v>IFC12M1N.DXWAEVH</v>
          </cell>
          <cell r="F1153">
            <v>5</v>
          </cell>
          <cell r="G1153">
            <v>0</v>
          </cell>
          <cell r="H1153">
            <v>0</v>
          </cell>
          <cell r="I1153">
            <v>22</v>
          </cell>
          <cell r="J1153">
            <v>0</v>
          </cell>
          <cell r="K1153">
            <v>0</v>
          </cell>
          <cell r="L1153">
            <v>0</v>
          </cell>
          <cell r="M1153">
            <v>17</v>
          </cell>
          <cell r="N1153">
            <v>0</v>
          </cell>
          <cell r="O1153">
            <v>0</v>
          </cell>
          <cell r="P1153">
            <v>17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 t="str">
            <v>RACPREMIUM</v>
          </cell>
          <cell r="AH1153" t="str">
            <v>RAC_Premium</v>
          </cell>
          <cell r="AI1153" t="str">
            <v/>
          </cell>
          <cell r="AJ1153" t="str">
            <v/>
          </cell>
          <cell r="AK1153" t="str">
            <v>0.068796</v>
          </cell>
          <cell r="AL1153" t="str">
            <v>0</v>
          </cell>
          <cell r="AM1153" t="str">
            <v>Q</v>
          </cell>
          <cell r="AN1153" t="str">
            <v>M0</v>
          </cell>
          <cell r="AO1153" t="str">
            <v>Active(Model)</v>
          </cell>
          <cell r="AP1153" t="str">
            <v/>
          </cell>
          <cell r="AQ1153" t="str">
            <v/>
          </cell>
          <cell r="AR1153" t="str">
            <v>Y</v>
          </cell>
          <cell r="AS1153" t="str">
            <v/>
          </cell>
          <cell r="AT1153" t="str">
            <v>AC</v>
          </cell>
          <cell r="AU1153" t="str">
            <v>Airconditioner</v>
          </cell>
          <cell r="AV1153" t="str">
            <v>ACSR</v>
          </cell>
          <cell r="AW1153" t="str">
            <v>SRAC</v>
          </cell>
          <cell r="AX1153" t="str">
            <v>ACSRIV</v>
          </cell>
          <cell r="AY1153" t="str">
            <v>Inverter</v>
          </cell>
          <cell r="AZ1153" t="str">
            <v>ACSRIVSN</v>
          </cell>
          <cell r="BA1153" t="str">
            <v>Inverter Single Split Wall_I/D</v>
          </cell>
        </row>
        <row r="1154">
          <cell r="E1154" t="str">
            <v>IFC12M1U.DXWAEVH</v>
          </cell>
          <cell r="F1154">
            <v>0</v>
          </cell>
          <cell r="G1154">
            <v>0</v>
          </cell>
          <cell r="H1154">
            <v>0</v>
          </cell>
          <cell r="I1154">
            <v>17</v>
          </cell>
          <cell r="J1154">
            <v>0</v>
          </cell>
          <cell r="K1154">
            <v>0</v>
          </cell>
          <cell r="L1154">
            <v>0</v>
          </cell>
          <cell r="M1154">
            <v>17</v>
          </cell>
          <cell r="N1154">
            <v>0</v>
          </cell>
          <cell r="O1154">
            <v>0</v>
          </cell>
          <cell r="P1154">
            <v>17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 t="str">
            <v>RACPREMIUM</v>
          </cell>
          <cell r="AH1154" t="str">
            <v>RAC_Premium</v>
          </cell>
          <cell r="AI1154" t="str">
            <v/>
          </cell>
          <cell r="AJ1154" t="str">
            <v/>
          </cell>
          <cell r="AK1154" t="str">
            <v>0.114069</v>
          </cell>
          <cell r="AL1154" t="str">
            <v>0</v>
          </cell>
          <cell r="AM1154" t="str">
            <v>Q</v>
          </cell>
          <cell r="AN1154" t="str">
            <v>M0</v>
          </cell>
          <cell r="AO1154" t="str">
            <v>Active(Model)</v>
          </cell>
          <cell r="AP1154" t="str">
            <v/>
          </cell>
          <cell r="AQ1154" t="str">
            <v/>
          </cell>
          <cell r="AR1154" t="str">
            <v>Y</v>
          </cell>
          <cell r="AS1154" t="str">
            <v/>
          </cell>
          <cell r="AT1154" t="str">
            <v>AC</v>
          </cell>
          <cell r="AU1154" t="str">
            <v>Airconditioner</v>
          </cell>
          <cell r="AV1154" t="str">
            <v>ACSR</v>
          </cell>
          <cell r="AW1154" t="str">
            <v>SRAC</v>
          </cell>
          <cell r="AX1154" t="str">
            <v>ACSRIV</v>
          </cell>
          <cell r="AY1154" t="str">
            <v>Inverter</v>
          </cell>
          <cell r="AZ1154" t="str">
            <v>ACSRIVSU</v>
          </cell>
          <cell r="BA1154" t="str">
            <v>Inverter Single Split Wall_O/D</v>
          </cell>
        </row>
        <row r="1155">
          <cell r="E1155" t="str">
            <v>IFC18M1N.DXWAEVH</v>
          </cell>
          <cell r="F1155">
            <v>1</v>
          </cell>
          <cell r="G1155">
            <v>0</v>
          </cell>
          <cell r="H1155">
            <v>0</v>
          </cell>
          <cell r="I1155">
            <v>1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 t="str">
            <v>RACPREMIUM</v>
          </cell>
          <cell r="AH1155" t="str">
            <v>RAC_Premium</v>
          </cell>
          <cell r="AI1155" t="str">
            <v/>
          </cell>
          <cell r="AJ1155" t="str">
            <v/>
          </cell>
          <cell r="AK1155" t="str">
            <v>0.100880</v>
          </cell>
          <cell r="AL1155" t="str">
            <v>0</v>
          </cell>
          <cell r="AM1155" t="str">
            <v>Q</v>
          </cell>
          <cell r="AN1155" t="str">
            <v>M0</v>
          </cell>
          <cell r="AO1155" t="str">
            <v>Active(Model)</v>
          </cell>
          <cell r="AP1155" t="str">
            <v/>
          </cell>
          <cell r="AQ1155" t="str">
            <v/>
          </cell>
          <cell r="AR1155" t="str">
            <v>Y</v>
          </cell>
          <cell r="AS1155" t="str">
            <v/>
          </cell>
          <cell r="AT1155" t="str">
            <v>AC</v>
          </cell>
          <cell r="AU1155" t="str">
            <v>Airconditioner</v>
          </cell>
          <cell r="AV1155" t="str">
            <v>ACSR</v>
          </cell>
          <cell r="AW1155" t="str">
            <v>SRAC</v>
          </cell>
          <cell r="AX1155" t="str">
            <v>ACSRIV</v>
          </cell>
          <cell r="AY1155" t="str">
            <v>Inverter</v>
          </cell>
          <cell r="AZ1155" t="str">
            <v>ACSRIVSN</v>
          </cell>
          <cell r="BA1155" t="str">
            <v>Inverter Single Split Wall_I/D</v>
          </cell>
        </row>
        <row r="1156">
          <cell r="E1156" t="str">
            <v>IFC24M1N.DXWAEVH</v>
          </cell>
          <cell r="F1156">
            <v>25</v>
          </cell>
          <cell r="G1156">
            <v>0</v>
          </cell>
          <cell r="H1156">
            <v>0</v>
          </cell>
          <cell r="I1156">
            <v>25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 t="str">
            <v>RACPREMIUM</v>
          </cell>
          <cell r="AH1156" t="str">
            <v>RAC_Premium</v>
          </cell>
          <cell r="AI1156" t="str">
            <v/>
          </cell>
          <cell r="AJ1156" t="str">
            <v/>
          </cell>
          <cell r="AK1156" t="str">
            <v>0.126950</v>
          </cell>
          <cell r="AL1156" t="str">
            <v>0</v>
          </cell>
          <cell r="AM1156" t="str">
            <v>Q</v>
          </cell>
          <cell r="AN1156" t="str">
            <v>M0</v>
          </cell>
          <cell r="AO1156" t="str">
            <v>Active(Model)</v>
          </cell>
          <cell r="AP1156" t="str">
            <v/>
          </cell>
          <cell r="AQ1156" t="str">
            <v/>
          </cell>
          <cell r="AR1156" t="str">
            <v>Y</v>
          </cell>
          <cell r="AS1156" t="str">
            <v/>
          </cell>
          <cell r="AT1156" t="str">
            <v>AC</v>
          </cell>
          <cell r="AU1156" t="str">
            <v>Airconditioner</v>
          </cell>
          <cell r="AV1156" t="str">
            <v>ACSR</v>
          </cell>
          <cell r="AW1156" t="str">
            <v>SRAC</v>
          </cell>
          <cell r="AX1156" t="str">
            <v>ACSRIV</v>
          </cell>
          <cell r="AY1156" t="str">
            <v>Inverter</v>
          </cell>
          <cell r="AZ1156" t="str">
            <v>ACSRIVSN</v>
          </cell>
          <cell r="BA1156" t="str">
            <v>Inverter Single Split Wall_I/D</v>
          </cell>
        </row>
        <row r="1157">
          <cell r="E1157" t="str">
            <v>IOC09S1N.ATYGEVH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 t="str">
            <v>RACPREMIUM</v>
          </cell>
          <cell r="AH1157" t="str">
            <v>RAC_Premium</v>
          </cell>
          <cell r="AI1157" t="str">
            <v/>
          </cell>
          <cell r="AJ1157" t="str">
            <v/>
          </cell>
          <cell r="AK1157" t="str">
            <v>0.088857</v>
          </cell>
          <cell r="AL1157" t="str">
            <v>0</v>
          </cell>
          <cell r="AM1157" t="str">
            <v>Q</v>
          </cell>
          <cell r="AN1157" t="str">
            <v>M0</v>
          </cell>
          <cell r="AO1157" t="str">
            <v>Active(Model)</v>
          </cell>
          <cell r="AP1157" t="str">
            <v/>
          </cell>
          <cell r="AQ1157" t="str">
            <v/>
          </cell>
          <cell r="AR1157" t="str">
            <v>Y</v>
          </cell>
          <cell r="AS1157" t="str">
            <v/>
          </cell>
          <cell r="AT1157" t="str">
            <v>AC</v>
          </cell>
          <cell r="AU1157" t="str">
            <v>Airconditioner</v>
          </cell>
          <cell r="AV1157" t="str">
            <v>ACSR</v>
          </cell>
          <cell r="AW1157" t="str">
            <v>SRAC</v>
          </cell>
          <cell r="AX1157" t="str">
            <v>ACSRIV</v>
          </cell>
          <cell r="AY1157" t="str">
            <v>Inverter</v>
          </cell>
          <cell r="AZ1157" t="str">
            <v>ACSRIVSN</v>
          </cell>
          <cell r="BA1157" t="str">
            <v>Inverter Single Split Wall_I/D</v>
          </cell>
        </row>
        <row r="1158">
          <cell r="E1158" t="str">
            <v>IOC09S1U.ATYGEVH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 t="str">
            <v>RACPREMIUM</v>
          </cell>
          <cell r="AH1158" t="str">
            <v>RAC_Premium</v>
          </cell>
          <cell r="AI1158" t="str">
            <v/>
          </cell>
          <cell r="AJ1158" t="str">
            <v/>
          </cell>
          <cell r="AK1158" t="str">
            <v>0.142216</v>
          </cell>
          <cell r="AL1158" t="str">
            <v>0</v>
          </cell>
          <cell r="AM1158" t="str">
            <v>Q</v>
          </cell>
          <cell r="AN1158" t="str">
            <v>M0</v>
          </cell>
          <cell r="AO1158" t="str">
            <v>Active(Model)</v>
          </cell>
          <cell r="AP1158" t="str">
            <v/>
          </cell>
          <cell r="AQ1158" t="str">
            <v/>
          </cell>
          <cell r="AR1158" t="str">
            <v>Y</v>
          </cell>
          <cell r="AS1158" t="str">
            <v/>
          </cell>
          <cell r="AT1158" t="str">
            <v>AC</v>
          </cell>
          <cell r="AU1158" t="str">
            <v>Airconditioner</v>
          </cell>
          <cell r="AV1158" t="str">
            <v>ACSR</v>
          </cell>
          <cell r="AW1158" t="str">
            <v>SRAC</v>
          </cell>
          <cell r="AX1158" t="str">
            <v>ACSRIV</v>
          </cell>
          <cell r="AY1158" t="str">
            <v>Inverter</v>
          </cell>
          <cell r="AZ1158" t="str">
            <v>ACSRIVSU</v>
          </cell>
          <cell r="BA1158" t="str">
            <v>Inverter Single Split Wall_O/D</v>
          </cell>
        </row>
        <row r="1159">
          <cell r="E1159" t="str">
            <v>IOC12S1N.ATYGEVH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1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 t="str">
            <v>RACPREMIUM</v>
          </cell>
          <cell r="AH1159" t="str">
            <v>RAC_Premium</v>
          </cell>
          <cell r="AI1159" t="str">
            <v/>
          </cell>
          <cell r="AJ1159" t="str">
            <v/>
          </cell>
          <cell r="AK1159" t="str">
            <v>0.088857</v>
          </cell>
          <cell r="AL1159" t="str">
            <v>0</v>
          </cell>
          <cell r="AM1159" t="str">
            <v>Q</v>
          </cell>
          <cell r="AN1159" t="str">
            <v>M0</v>
          </cell>
          <cell r="AO1159" t="str">
            <v>Active(Model)</v>
          </cell>
          <cell r="AP1159" t="str">
            <v/>
          </cell>
          <cell r="AQ1159" t="str">
            <v/>
          </cell>
          <cell r="AR1159" t="str">
            <v>Y</v>
          </cell>
          <cell r="AS1159" t="str">
            <v/>
          </cell>
          <cell r="AT1159" t="str">
            <v>AC</v>
          </cell>
          <cell r="AU1159" t="str">
            <v>Airconditioner</v>
          </cell>
          <cell r="AV1159" t="str">
            <v>ACSR</v>
          </cell>
          <cell r="AW1159" t="str">
            <v>SRAC</v>
          </cell>
          <cell r="AX1159" t="str">
            <v>ACSRIV</v>
          </cell>
          <cell r="AY1159" t="str">
            <v>Inverter</v>
          </cell>
          <cell r="AZ1159" t="str">
            <v>ACSRIVSN</v>
          </cell>
          <cell r="BA1159" t="str">
            <v>Inverter Single Split Wall_I/D</v>
          </cell>
        </row>
        <row r="1160">
          <cell r="E1160" t="str">
            <v>IOC12S1U.ATYGEVH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1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 t="str">
            <v>RACPREMIUM</v>
          </cell>
          <cell r="AH1160" t="str">
            <v>RAC_Premium</v>
          </cell>
          <cell r="AI1160" t="str">
            <v/>
          </cell>
          <cell r="AJ1160" t="str">
            <v/>
          </cell>
          <cell r="AK1160" t="str">
            <v>0.142216</v>
          </cell>
          <cell r="AL1160" t="str">
            <v>0</v>
          </cell>
          <cell r="AM1160" t="str">
            <v>Q</v>
          </cell>
          <cell r="AN1160" t="str">
            <v>M0</v>
          </cell>
          <cell r="AO1160" t="str">
            <v>Active(Model)</v>
          </cell>
          <cell r="AP1160" t="str">
            <v/>
          </cell>
          <cell r="AQ1160" t="str">
            <v/>
          </cell>
          <cell r="AR1160" t="str">
            <v>Y</v>
          </cell>
          <cell r="AS1160" t="str">
            <v/>
          </cell>
          <cell r="AT1160" t="str">
            <v>AC</v>
          </cell>
          <cell r="AU1160" t="str">
            <v>Airconditioner</v>
          </cell>
          <cell r="AV1160" t="str">
            <v>ACSR</v>
          </cell>
          <cell r="AW1160" t="str">
            <v>SRAC</v>
          </cell>
          <cell r="AX1160" t="str">
            <v>ACSRIV</v>
          </cell>
          <cell r="AY1160" t="str">
            <v>Inverter</v>
          </cell>
          <cell r="AZ1160" t="str">
            <v>ACSRIVSU</v>
          </cell>
          <cell r="BA1160" t="str">
            <v>Inverter Single Split Wall_O/D</v>
          </cell>
        </row>
        <row r="1161">
          <cell r="E1161" t="str">
            <v>IPC09M1N.ATYGEVH</v>
          </cell>
          <cell r="F1161">
            <v>0</v>
          </cell>
          <cell r="G1161">
            <v>0</v>
          </cell>
          <cell r="H1161">
            <v>0</v>
          </cell>
          <cell r="I1161">
            <v>2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 t="str">
            <v>RACPREMIUM</v>
          </cell>
          <cell r="AH1161" t="str">
            <v>RAC_Premium</v>
          </cell>
          <cell r="AI1161" t="str">
            <v/>
          </cell>
          <cell r="AJ1161" t="str">
            <v/>
          </cell>
          <cell r="AK1161" t="str">
            <v>0.108516</v>
          </cell>
          <cell r="AL1161" t="str">
            <v>0</v>
          </cell>
          <cell r="AM1161" t="str">
            <v>Q</v>
          </cell>
          <cell r="AN1161" t="str">
            <v>M0</v>
          </cell>
          <cell r="AO1161" t="str">
            <v>Active(Model)</v>
          </cell>
          <cell r="AP1161" t="str">
            <v/>
          </cell>
          <cell r="AQ1161" t="str">
            <v/>
          </cell>
          <cell r="AR1161" t="str">
            <v>Y</v>
          </cell>
          <cell r="AS1161" t="str">
            <v/>
          </cell>
          <cell r="AT1161" t="str">
            <v>AC</v>
          </cell>
          <cell r="AU1161" t="str">
            <v>Airconditioner</v>
          </cell>
          <cell r="AV1161" t="str">
            <v>ACSR</v>
          </cell>
          <cell r="AW1161" t="str">
            <v>SRAC</v>
          </cell>
          <cell r="AX1161" t="str">
            <v>ACSRIV</v>
          </cell>
          <cell r="AY1161" t="str">
            <v>Inverter</v>
          </cell>
          <cell r="AZ1161" t="str">
            <v>ACSRIVSN</v>
          </cell>
          <cell r="BA1161" t="str">
            <v>Inverter Single Split Wall_I/D</v>
          </cell>
        </row>
        <row r="1162">
          <cell r="E1162" t="str">
            <v>IPC09M1U.ATYGEVH</v>
          </cell>
          <cell r="F1162">
            <v>0</v>
          </cell>
          <cell r="G1162">
            <v>0</v>
          </cell>
          <cell r="H1162">
            <v>0</v>
          </cell>
          <cell r="I1162">
            <v>2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 t="str">
            <v>RACPREMIUM</v>
          </cell>
          <cell r="AH1162" t="str">
            <v>RAC_Premium</v>
          </cell>
          <cell r="AI1162" t="str">
            <v/>
          </cell>
          <cell r="AJ1162" t="str">
            <v/>
          </cell>
          <cell r="AK1162" t="str">
            <v>0.211677</v>
          </cell>
          <cell r="AL1162" t="str">
            <v>0</v>
          </cell>
          <cell r="AM1162" t="str">
            <v>Q</v>
          </cell>
          <cell r="AN1162" t="str">
            <v>M0</v>
          </cell>
          <cell r="AO1162" t="str">
            <v>Active(Model)</v>
          </cell>
          <cell r="AP1162" t="str">
            <v/>
          </cell>
          <cell r="AQ1162" t="str">
            <v/>
          </cell>
          <cell r="AR1162" t="str">
            <v>Y</v>
          </cell>
          <cell r="AS1162" t="str">
            <v/>
          </cell>
          <cell r="AT1162" t="str">
            <v>AC</v>
          </cell>
          <cell r="AU1162" t="str">
            <v>Airconditioner</v>
          </cell>
          <cell r="AV1162" t="str">
            <v>ACSR</v>
          </cell>
          <cell r="AW1162" t="str">
            <v>SRAC</v>
          </cell>
          <cell r="AX1162" t="str">
            <v>ACSRIV</v>
          </cell>
          <cell r="AY1162" t="str">
            <v>Inverter</v>
          </cell>
          <cell r="AZ1162" t="str">
            <v>ACSRIVSU</v>
          </cell>
          <cell r="BA1162" t="str">
            <v>Inverter Single Split Wall_O/D</v>
          </cell>
        </row>
        <row r="1163">
          <cell r="E1163" t="str">
            <v>IPC12M1N.ATYGEVH</v>
          </cell>
          <cell r="F1163">
            <v>0</v>
          </cell>
          <cell r="G1163">
            <v>0</v>
          </cell>
          <cell r="H1163">
            <v>0</v>
          </cell>
          <cell r="I1163">
            <v>5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 t="str">
            <v>RACPREMIUM</v>
          </cell>
          <cell r="AH1163" t="str">
            <v>RAC_Premium</v>
          </cell>
          <cell r="AI1163" t="str">
            <v/>
          </cell>
          <cell r="AJ1163" t="str">
            <v/>
          </cell>
          <cell r="AK1163" t="str">
            <v>0.108516</v>
          </cell>
          <cell r="AL1163" t="str">
            <v>0</v>
          </cell>
          <cell r="AM1163" t="str">
            <v>Q</v>
          </cell>
          <cell r="AN1163" t="str">
            <v>M0</v>
          </cell>
          <cell r="AO1163" t="str">
            <v>Active(Model)</v>
          </cell>
          <cell r="AP1163" t="str">
            <v/>
          </cell>
          <cell r="AQ1163" t="str">
            <v/>
          </cell>
          <cell r="AR1163" t="str">
            <v>Y</v>
          </cell>
          <cell r="AS1163" t="str">
            <v/>
          </cell>
          <cell r="AT1163" t="str">
            <v>AC</v>
          </cell>
          <cell r="AU1163" t="str">
            <v>Airconditioner</v>
          </cell>
          <cell r="AV1163" t="str">
            <v>ACSR</v>
          </cell>
          <cell r="AW1163" t="str">
            <v>SRAC</v>
          </cell>
          <cell r="AX1163" t="str">
            <v>ACSRIV</v>
          </cell>
          <cell r="AY1163" t="str">
            <v>Inverter</v>
          </cell>
          <cell r="AZ1163" t="str">
            <v>ACSRIVSN</v>
          </cell>
          <cell r="BA1163" t="str">
            <v>Inverter Single Split Wall_I/D</v>
          </cell>
        </row>
        <row r="1164">
          <cell r="E1164" t="str">
            <v>IPC12M1U.ATYGEVH</v>
          </cell>
          <cell r="F1164">
            <v>0</v>
          </cell>
          <cell r="G1164">
            <v>0</v>
          </cell>
          <cell r="H1164">
            <v>0</v>
          </cell>
          <cell r="I1164">
            <v>5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 t="str">
            <v>RACPREMIUM</v>
          </cell>
          <cell r="AH1164" t="str">
            <v>RAC_Premium</v>
          </cell>
          <cell r="AI1164" t="str">
            <v/>
          </cell>
          <cell r="AJ1164" t="str">
            <v/>
          </cell>
          <cell r="AK1164" t="str">
            <v>0.211677</v>
          </cell>
          <cell r="AL1164" t="str">
            <v>0</v>
          </cell>
          <cell r="AM1164" t="str">
            <v>Q</v>
          </cell>
          <cell r="AN1164" t="str">
            <v>M0</v>
          </cell>
          <cell r="AO1164" t="str">
            <v>Active(Model)</v>
          </cell>
          <cell r="AP1164" t="str">
            <v/>
          </cell>
          <cell r="AQ1164" t="str">
            <v/>
          </cell>
          <cell r="AR1164" t="str">
            <v>Y</v>
          </cell>
          <cell r="AS1164" t="str">
            <v/>
          </cell>
          <cell r="AT1164" t="str">
            <v>AC</v>
          </cell>
          <cell r="AU1164" t="str">
            <v>Airconditioner</v>
          </cell>
          <cell r="AV1164" t="str">
            <v>ACSR</v>
          </cell>
          <cell r="AW1164" t="str">
            <v>SRAC</v>
          </cell>
          <cell r="AX1164" t="str">
            <v>ACSRIV</v>
          </cell>
          <cell r="AY1164" t="str">
            <v>Inverter</v>
          </cell>
          <cell r="AZ1164" t="str">
            <v>ACSRIVSU</v>
          </cell>
          <cell r="BA1164" t="str">
            <v>Inverter Single Split Wall_O/D</v>
          </cell>
        </row>
        <row r="1165">
          <cell r="E1165" t="str">
            <v>LBB33BGMAI.ABEPEVN</v>
          </cell>
          <cell r="F1165">
            <v>0</v>
          </cell>
          <cell r="G1165">
            <v>0</v>
          </cell>
          <cell r="H1165">
            <v>0</v>
          </cell>
          <cell r="I1165">
            <v>1</v>
          </cell>
          <cell r="J1165">
            <v>0</v>
          </cell>
          <cell r="K1165">
            <v>10</v>
          </cell>
          <cell r="L1165">
            <v>0</v>
          </cell>
          <cell r="M1165">
            <v>1</v>
          </cell>
          <cell r="N1165">
            <v>0</v>
          </cell>
          <cell r="O1165">
            <v>0</v>
          </cell>
          <cell r="P1165">
            <v>1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 t="str">
            <v>REFPREMIUM</v>
          </cell>
          <cell r="AH1165" t="str">
            <v>REF_Premium</v>
          </cell>
          <cell r="AI1165" t="str">
            <v/>
          </cell>
          <cell r="AJ1165" t="str">
            <v/>
          </cell>
          <cell r="AK1165" t="str">
            <v>0.872636</v>
          </cell>
          <cell r="AL1165" t="str">
            <v>2</v>
          </cell>
          <cell r="AM1165" t="str">
            <v>Q</v>
          </cell>
          <cell r="AN1165" t="str">
            <v>M0</v>
          </cell>
          <cell r="AO1165" t="str">
            <v>Active(Model)</v>
          </cell>
          <cell r="AP1165" t="str">
            <v/>
          </cell>
          <cell r="AQ1165" t="str">
            <v/>
          </cell>
          <cell r="AR1165" t="str">
            <v>Y</v>
          </cell>
          <cell r="AS1165" t="str">
            <v/>
          </cell>
          <cell r="AT1165" t="str">
            <v>RF</v>
          </cell>
          <cell r="AU1165" t="str">
            <v>Refrigerator</v>
          </cell>
          <cell r="AV1165" t="str">
            <v>RFBF</v>
          </cell>
          <cell r="AW1165" t="str">
            <v>Bottom Freezer</v>
          </cell>
          <cell r="AX1165" t="str">
            <v>RFBFBF</v>
          </cell>
          <cell r="AY1165" t="str">
            <v>Bottom Freezer</v>
          </cell>
          <cell r="AZ1165" t="str">
            <v>RFBFBF2D</v>
          </cell>
          <cell r="BA1165" t="str">
            <v>2D Bottom Freezer</v>
          </cell>
        </row>
        <row r="1166">
          <cell r="E1166" t="str">
            <v>LBB33BLGA.ABMPEVN</v>
          </cell>
          <cell r="F1166">
            <v>0</v>
          </cell>
          <cell r="G1166">
            <v>0</v>
          </cell>
          <cell r="H1166">
            <v>0</v>
          </cell>
          <cell r="I1166">
            <v>2</v>
          </cell>
          <cell r="J1166">
            <v>0</v>
          </cell>
          <cell r="K1166">
            <v>17</v>
          </cell>
          <cell r="L1166">
            <v>0</v>
          </cell>
          <cell r="M1166">
            <v>0</v>
          </cell>
          <cell r="N1166">
            <v>0</v>
          </cell>
          <cell r="O1166">
            <v>1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1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 t="str">
            <v>REFPREMIUM</v>
          </cell>
          <cell r="AH1166" t="str">
            <v>REF_Premium</v>
          </cell>
          <cell r="AI1166" t="str">
            <v/>
          </cell>
          <cell r="AJ1166" t="str">
            <v/>
          </cell>
          <cell r="AK1166" t="str">
            <v>0.837040</v>
          </cell>
          <cell r="AL1166" t="str">
            <v>2</v>
          </cell>
          <cell r="AM1166" t="str">
            <v>Q</v>
          </cell>
          <cell r="AN1166" t="str">
            <v>M0</v>
          </cell>
          <cell r="AO1166" t="str">
            <v>Active(Model)</v>
          </cell>
          <cell r="AP1166" t="str">
            <v/>
          </cell>
          <cell r="AQ1166" t="str">
            <v/>
          </cell>
          <cell r="AR1166" t="str">
            <v>Y</v>
          </cell>
          <cell r="AS1166" t="str">
            <v/>
          </cell>
          <cell r="AT1166" t="str">
            <v>RF</v>
          </cell>
          <cell r="AU1166" t="str">
            <v>Refrigerator</v>
          </cell>
          <cell r="AV1166" t="str">
            <v>RFBF</v>
          </cell>
          <cell r="AW1166" t="str">
            <v>Bottom Freezer</v>
          </cell>
          <cell r="AX1166" t="str">
            <v>RFBFBF</v>
          </cell>
          <cell r="AY1166" t="str">
            <v>Bottom Freezer</v>
          </cell>
          <cell r="AZ1166" t="str">
            <v>RFBFBF2D</v>
          </cell>
          <cell r="BA1166" t="str">
            <v>2D Bottom Freezer</v>
          </cell>
        </row>
        <row r="1167">
          <cell r="E1167" t="str">
            <v>LBB33BLM.AEPPEVN</v>
          </cell>
          <cell r="F1167">
            <v>0</v>
          </cell>
          <cell r="G1167">
            <v>0</v>
          </cell>
          <cell r="H1167">
            <v>0</v>
          </cell>
          <cell r="I1167">
            <v>3</v>
          </cell>
          <cell r="J1167">
            <v>2</v>
          </cell>
          <cell r="K1167">
            <v>0</v>
          </cell>
          <cell r="L1167">
            <v>0</v>
          </cell>
          <cell r="M1167">
            <v>1</v>
          </cell>
          <cell r="N1167">
            <v>0</v>
          </cell>
          <cell r="O1167">
            <v>1</v>
          </cell>
          <cell r="P1167">
            <v>1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1</v>
          </cell>
          <cell r="AE1167">
            <v>0</v>
          </cell>
          <cell r="AF1167">
            <v>1</v>
          </cell>
          <cell r="AG1167" t="str">
            <v>REFPREMIUM</v>
          </cell>
          <cell r="AH1167" t="str">
            <v>REF_Premium</v>
          </cell>
          <cell r="AI1167" t="str">
            <v/>
          </cell>
          <cell r="AJ1167" t="str">
            <v/>
          </cell>
          <cell r="AK1167" t="str">
            <v>0.872636</v>
          </cell>
          <cell r="AL1167" t="str">
            <v>2</v>
          </cell>
          <cell r="AM1167" t="str">
            <v>Q</v>
          </cell>
          <cell r="AN1167" t="str">
            <v>M0</v>
          </cell>
          <cell r="AO1167" t="str">
            <v>Active(Model)</v>
          </cell>
          <cell r="AP1167" t="str">
            <v/>
          </cell>
          <cell r="AQ1167" t="str">
            <v/>
          </cell>
          <cell r="AR1167" t="str">
            <v>Y</v>
          </cell>
          <cell r="AS1167" t="str">
            <v/>
          </cell>
          <cell r="AT1167" t="str">
            <v>RF</v>
          </cell>
          <cell r="AU1167" t="str">
            <v>Refrigerator</v>
          </cell>
          <cell r="AV1167" t="str">
            <v>RFBF</v>
          </cell>
          <cell r="AW1167" t="str">
            <v>Bottom Freezer</v>
          </cell>
          <cell r="AX1167" t="str">
            <v>RFBFBF</v>
          </cell>
          <cell r="AY1167" t="str">
            <v>Bottom Freezer</v>
          </cell>
          <cell r="AZ1167" t="str">
            <v>RFBFBF2D</v>
          </cell>
          <cell r="BA1167" t="str">
            <v>2D Bottom Freezer</v>
          </cell>
        </row>
        <row r="1168">
          <cell r="E1168" t="str">
            <v>LBB33BLMAI.AEPPEVN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1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 t="str">
            <v>REFPREMIUM</v>
          </cell>
          <cell r="AH1168" t="str">
            <v>REF_Premium</v>
          </cell>
          <cell r="AI1168" t="str">
            <v/>
          </cell>
          <cell r="AJ1168" t="str">
            <v/>
          </cell>
          <cell r="AK1168" t="str">
            <v>0.872636</v>
          </cell>
          <cell r="AL1168" t="str">
            <v>2</v>
          </cell>
          <cell r="AM1168" t="str">
            <v>Q</v>
          </cell>
          <cell r="AN1168" t="str">
            <v>M0</v>
          </cell>
          <cell r="AO1168" t="str">
            <v>Active(Model)</v>
          </cell>
          <cell r="AP1168" t="str">
            <v/>
          </cell>
          <cell r="AQ1168" t="str">
            <v/>
          </cell>
          <cell r="AR1168" t="str">
            <v>Y</v>
          </cell>
          <cell r="AS1168" t="str">
            <v/>
          </cell>
          <cell r="AT1168" t="str">
            <v>RF</v>
          </cell>
          <cell r="AU1168" t="str">
            <v>Refrigerator</v>
          </cell>
          <cell r="AV1168" t="str">
            <v>RFBF</v>
          </cell>
          <cell r="AW1168" t="str">
            <v>Bottom Freezer</v>
          </cell>
          <cell r="AX1168" t="str">
            <v>RFBFBF</v>
          </cell>
          <cell r="AY1168" t="str">
            <v>Bottom Freezer</v>
          </cell>
          <cell r="AZ1168" t="str">
            <v>RFBFBF2D</v>
          </cell>
          <cell r="BA1168" t="str">
            <v>2D Bottom Freezer</v>
          </cell>
        </row>
        <row r="1169">
          <cell r="E1169" t="str">
            <v>LBD33BLM.AEPPEVN</v>
          </cell>
          <cell r="F1169">
            <v>21</v>
          </cell>
          <cell r="G1169">
            <v>0</v>
          </cell>
          <cell r="H1169">
            <v>0</v>
          </cell>
          <cell r="I1169">
            <v>33</v>
          </cell>
          <cell r="J1169">
            <v>1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10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 t="str">
            <v>REFPREMIUM</v>
          </cell>
          <cell r="AH1169" t="str">
            <v>REF_Premium</v>
          </cell>
          <cell r="AI1169" t="str">
            <v/>
          </cell>
          <cell r="AJ1169" t="str">
            <v/>
          </cell>
          <cell r="AK1169" t="str">
            <v>0.872636</v>
          </cell>
          <cell r="AL1169" t="str">
            <v>2</v>
          </cell>
          <cell r="AM1169" t="str">
            <v>Q</v>
          </cell>
          <cell r="AN1169" t="str">
            <v>M0</v>
          </cell>
          <cell r="AO1169" t="str">
            <v>Active(Model)</v>
          </cell>
          <cell r="AP1169" t="str">
            <v/>
          </cell>
          <cell r="AQ1169" t="str">
            <v/>
          </cell>
          <cell r="AR1169" t="str">
            <v>Y</v>
          </cell>
          <cell r="AS1169" t="str">
            <v/>
          </cell>
          <cell r="AT1169" t="str">
            <v>RF</v>
          </cell>
          <cell r="AU1169" t="str">
            <v>Refrigerator</v>
          </cell>
          <cell r="AV1169" t="str">
            <v>RFBF</v>
          </cell>
          <cell r="AW1169" t="str">
            <v>Bottom Freezer</v>
          </cell>
          <cell r="AX1169" t="str">
            <v>RFBFBF</v>
          </cell>
          <cell r="AY1169" t="str">
            <v>Bottom Freezer</v>
          </cell>
          <cell r="AZ1169" t="str">
            <v>RFBFBF2D</v>
          </cell>
          <cell r="BA1169" t="str">
            <v>2D Bottom Freezer</v>
          </cell>
        </row>
        <row r="1170">
          <cell r="E1170" t="str">
            <v>LBD33BLMA.AEPPEVN</v>
          </cell>
          <cell r="F1170">
            <v>0</v>
          </cell>
          <cell r="G1170">
            <v>0</v>
          </cell>
          <cell r="H1170">
            <v>0</v>
          </cell>
          <cell r="I1170">
            <v>5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 t="str">
            <v>REFPREMIUM</v>
          </cell>
          <cell r="AH1170" t="str">
            <v>REF_Premium</v>
          </cell>
          <cell r="AI1170" t="str">
            <v/>
          </cell>
          <cell r="AJ1170" t="str">
            <v/>
          </cell>
          <cell r="AK1170" t="str">
            <v>0.872636</v>
          </cell>
          <cell r="AL1170" t="str">
            <v>2</v>
          </cell>
          <cell r="AM1170" t="str">
            <v>Q</v>
          </cell>
          <cell r="AN1170" t="str">
            <v>M0</v>
          </cell>
          <cell r="AO1170" t="str">
            <v>Active(Model)</v>
          </cell>
          <cell r="AP1170" t="str">
            <v/>
          </cell>
          <cell r="AQ1170" t="str">
            <v/>
          </cell>
          <cell r="AR1170" t="str">
            <v>Y</v>
          </cell>
          <cell r="AS1170" t="str">
            <v/>
          </cell>
          <cell r="AT1170" t="str">
            <v>RF</v>
          </cell>
          <cell r="AU1170" t="str">
            <v>Refrigerator</v>
          </cell>
          <cell r="AV1170" t="str">
            <v>RFBF</v>
          </cell>
          <cell r="AW1170" t="str">
            <v>Bottom Freezer</v>
          </cell>
          <cell r="AX1170" t="str">
            <v>RFBFBF</v>
          </cell>
          <cell r="AY1170" t="str">
            <v>Bottom Freezer</v>
          </cell>
          <cell r="AZ1170" t="str">
            <v>RFBFBF2D</v>
          </cell>
          <cell r="BA1170" t="str">
            <v>2D Bottom Freezer</v>
          </cell>
        </row>
        <row r="1171">
          <cell r="E1171" t="str">
            <v>LDN14BLA5.ABMPEVN</v>
          </cell>
          <cell r="F1171">
            <v>0</v>
          </cell>
          <cell r="G1171">
            <v>0</v>
          </cell>
          <cell r="H1171">
            <v>0</v>
          </cell>
          <cell r="I1171">
            <v>40</v>
          </cell>
          <cell r="J1171">
            <v>10</v>
          </cell>
          <cell r="K1171">
            <v>8</v>
          </cell>
          <cell r="L1171">
            <v>0</v>
          </cell>
          <cell r="M1171">
            <v>0</v>
          </cell>
          <cell r="N1171">
            <v>14</v>
          </cell>
          <cell r="O1171">
            <v>0</v>
          </cell>
          <cell r="P1171">
            <v>14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15</v>
          </cell>
          <cell r="AE1171">
            <v>12</v>
          </cell>
          <cell r="AF1171">
            <v>15</v>
          </cell>
          <cell r="AG1171" t="str">
            <v>WM</v>
          </cell>
          <cell r="AH1171" t="str">
            <v>WASHING MACHINE</v>
          </cell>
          <cell r="AI1171" t="str">
            <v/>
          </cell>
          <cell r="AJ1171" t="str">
            <v/>
          </cell>
          <cell r="AK1171" t="str">
            <v>0.402458</v>
          </cell>
          <cell r="AL1171" t="str">
            <v>2</v>
          </cell>
          <cell r="AM1171" t="str">
            <v>Q</v>
          </cell>
          <cell r="AN1171" t="str">
            <v>M0</v>
          </cell>
          <cell r="AO1171" t="str">
            <v>Active(Model)</v>
          </cell>
          <cell r="AP1171" t="str">
            <v/>
          </cell>
          <cell r="AQ1171" t="str">
            <v/>
          </cell>
          <cell r="AR1171" t="str">
            <v>Y</v>
          </cell>
          <cell r="AS1171" t="str">
            <v/>
          </cell>
          <cell r="AT1171" t="str">
            <v>WM</v>
          </cell>
          <cell r="AU1171" t="str">
            <v>Washing Machine</v>
          </cell>
          <cell r="AV1171" t="str">
            <v>WMWK</v>
          </cell>
          <cell r="AW1171" t="str">
            <v>Dishwasher</v>
          </cell>
          <cell r="AX1171" t="str">
            <v>WMWKWK</v>
          </cell>
          <cell r="AY1171" t="str">
            <v>Dishwasher</v>
          </cell>
          <cell r="AZ1171" t="str">
            <v>WMWKWKDA</v>
          </cell>
          <cell r="BA1171" t="str">
            <v>Dishwasher</v>
          </cell>
        </row>
        <row r="1172">
          <cell r="E1172" t="str">
            <v>LDT14BGA3.ANBPEVN</v>
          </cell>
          <cell r="F1172">
            <v>30</v>
          </cell>
          <cell r="G1172">
            <v>0</v>
          </cell>
          <cell r="H1172">
            <v>0</v>
          </cell>
          <cell r="I1172">
            <v>56</v>
          </cell>
          <cell r="J1172">
            <v>1</v>
          </cell>
          <cell r="K1172">
            <v>0</v>
          </cell>
          <cell r="L1172">
            <v>0</v>
          </cell>
          <cell r="M1172">
            <v>1</v>
          </cell>
          <cell r="N1172">
            <v>0</v>
          </cell>
          <cell r="O1172">
            <v>5</v>
          </cell>
          <cell r="P1172">
            <v>1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15</v>
          </cell>
          <cell r="AE1172">
            <v>17</v>
          </cell>
          <cell r="AF1172">
            <v>15</v>
          </cell>
          <cell r="AG1172" t="str">
            <v/>
          </cell>
          <cell r="AH1172" t="str">
            <v/>
          </cell>
          <cell r="AI1172" t="str">
            <v/>
          </cell>
          <cell r="AJ1172" t="str">
            <v/>
          </cell>
          <cell r="AK1172" t="str">
            <v>0.402458</v>
          </cell>
          <cell r="AL1172" t="str">
            <v>2</v>
          </cell>
          <cell r="AM1172" t="str">
            <v>Q</v>
          </cell>
          <cell r="AN1172" t="str">
            <v>M0</v>
          </cell>
          <cell r="AO1172" t="str">
            <v>Active(Model)</v>
          </cell>
          <cell r="AP1172" t="str">
            <v/>
          </cell>
          <cell r="AQ1172" t="str">
            <v/>
          </cell>
          <cell r="AR1172" t="str">
            <v>Y</v>
          </cell>
          <cell r="AS1172" t="str">
            <v/>
          </cell>
          <cell r="AT1172" t="str">
            <v>WM</v>
          </cell>
          <cell r="AU1172" t="str">
            <v>Washing Machine</v>
          </cell>
          <cell r="AV1172" t="str">
            <v>WMWK</v>
          </cell>
          <cell r="AW1172" t="str">
            <v>Dishwasher</v>
          </cell>
          <cell r="AX1172" t="str">
            <v>WMWKWK</v>
          </cell>
          <cell r="AY1172" t="str">
            <v>Dishwasher</v>
          </cell>
          <cell r="AZ1172" t="str">
            <v>WMWKWKDA</v>
          </cell>
          <cell r="BA1172" t="str">
            <v>Dishwasher</v>
          </cell>
        </row>
        <row r="1173">
          <cell r="E1173" t="str">
            <v>LDT14BLA4.ABMPEVN</v>
          </cell>
          <cell r="F1173">
            <v>133</v>
          </cell>
          <cell r="G1173">
            <v>0</v>
          </cell>
          <cell r="H1173">
            <v>0</v>
          </cell>
          <cell r="I1173">
            <v>144</v>
          </cell>
          <cell r="J1173">
            <v>0</v>
          </cell>
          <cell r="K1173">
            <v>0</v>
          </cell>
          <cell r="L1173">
            <v>0</v>
          </cell>
          <cell r="M1173">
            <v>2</v>
          </cell>
          <cell r="N1173">
            <v>0</v>
          </cell>
          <cell r="O1173">
            <v>23</v>
          </cell>
          <cell r="P1173">
            <v>2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 t="str">
            <v/>
          </cell>
          <cell r="AH1173" t="str">
            <v/>
          </cell>
          <cell r="AI1173" t="str">
            <v/>
          </cell>
          <cell r="AJ1173" t="str">
            <v/>
          </cell>
          <cell r="AK1173" t="str">
            <v>0.402458</v>
          </cell>
          <cell r="AL1173" t="str">
            <v>2</v>
          </cell>
          <cell r="AM1173" t="str">
            <v>Q</v>
          </cell>
          <cell r="AN1173" t="str">
            <v>M0</v>
          </cell>
          <cell r="AO1173" t="str">
            <v>Active(Model)</v>
          </cell>
          <cell r="AP1173" t="str">
            <v/>
          </cell>
          <cell r="AQ1173" t="str">
            <v/>
          </cell>
          <cell r="AR1173" t="str">
            <v>Y</v>
          </cell>
          <cell r="AS1173" t="str">
            <v/>
          </cell>
          <cell r="AT1173" t="str">
            <v>WM</v>
          </cell>
          <cell r="AU1173" t="str">
            <v>Washing Machine</v>
          </cell>
          <cell r="AV1173" t="str">
            <v>WMWK</v>
          </cell>
          <cell r="AW1173" t="str">
            <v>Dishwasher</v>
          </cell>
          <cell r="AX1173" t="str">
            <v>WMWKWK</v>
          </cell>
          <cell r="AY1173" t="str">
            <v>Dishwasher</v>
          </cell>
          <cell r="AZ1173" t="str">
            <v>WMWKWKDA</v>
          </cell>
          <cell r="BA1173" t="str">
            <v>Dishwasher</v>
          </cell>
        </row>
        <row r="1174">
          <cell r="E1174" t="str">
            <v>LDT14BSA4.ABDPEVN</v>
          </cell>
          <cell r="F1174">
            <v>33</v>
          </cell>
          <cell r="G1174">
            <v>0</v>
          </cell>
          <cell r="H1174">
            <v>0</v>
          </cell>
          <cell r="I1174">
            <v>54</v>
          </cell>
          <cell r="J1174">
            <v>0</v>
          </cell>
          <cell r="K1174">
            <v>0</v>
          </cell>
          <cell r="L1174">
            <v>0</v>
          </cell>
          <cell r="M1174">
            <v>3</v>
          </cell>
          <cell r="N1174">
            <v>0</v>
          </cell>
          <cell r="O1174">
            <v>4</v>
          </cell>
          <cell r="P1174">
            <v>3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1</v>
          </cell>
          <cell r="AF1174">
            <v>0</v>
          </cell>
          <cell r="AG1174" t="str">
            <v/>
          </cell>
          <cell r="AH1174" t="str">
            <v/>
          </cell>
          <cell r="AI1174" t="str">
            <v/>
          </cell>
          <cell r="AJ1174" t="str">
            <v/>
          </cell>
          <cell r="AK1174" t="str">
            <v>0.402458</v>
          </cell>
          <cell r="AL1174" t="str">
            <v>2</v>
          </cell>
          <cell r="AM1174" t="str">
            <v>Q</v>
          </cell>
          <cell r="AN1174" t="str">
            <v>M0</v>
          </cell>
          <cell r="AO1174" t="str">
            <v>Active(Model)</v>
          </cell>
          <cell r="AP1174" t="str">
            <v/>
          </cell>
          <cell r="AQ1174" t="str">
            <v/>
          </cell>
          <cell r="AR1174" t="str">
            <v>Y</v>
          </cell>
          <cell r="AS1174" t="str">
            <v/>
          </cell>
          <cell r="AT1174" t="str">
            <v>WM</v>
          </cell>
          <cell r="AU1174" t="str">
            <v>Washing Machine</v>
          </cell>
          <cell r="AV1174" t="str">
            <v>WMWK</v>
          </cell>
          <cell r="AW1174" t="str">
            <v>Dishwasher</v>
          </cell>
          <cell r="AX1174" t="str">
            <v>WMWKWK</v>
          </cell>
          <cell r="AY1174" t="str">
            <v>Dishwasher</v>
          </cell>
          <cell r="AZ1174" t="str">
            <v>WMWKWKDA</v>
          </cell>
          <cell r="BA1174" t="str">
            <v>Dishwasher</v>
          </cell>
        </row>
        <row r="1175">
          <cell r="E1175" t="str">
            <v>LDT14SVA4.APYPEVN</v>
          </cell>
          <cell r="F1175">
            <v>0</v>
          </cell>
          <cell r="G1175">
            <v>0</v>
          </cell>
          <cell r="H1175">
            <v>0</v>
          </cell>
          <cell r="I1175">
            <v>12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6</v>
          </cell>
          <cell r="AE1175">
            <v>1</v>
          </cell>
          <cell r="AF1175">
            <v>6</v>
          </cell>
          <cell r="AG1175" t="str">
            <v/>
          </cell>
          <cell r="AH1175" t="str">
            <v/>
          </cell>
          <cell r="AI1175" t="str">
            <v/>
          </cell>
          <cell r="AJ1175" t="str">
            <v/>
          </cell>
          <cell r="AK1175" t="str">
            <v>0.402458</v>
          </cell>
          <cell r="AL1175" t="str">
            <v>2</v>
          </cell>
          <cell r="AM1175" t="str">
            <v>Q</v>
          </cell>
          <cell r="AN1175" t="str">
            <v>M0</v>
          </cell>
          <cell r="AO1175" t="str">
            <v>Active(Model)</v>
          </cell>
          <cell r="AP1175" t="str">
            <v/>
          </cell>
          <cell r="AQ1175" t="str">
            <v/>
          </cell>
          <cell r="AR1175" t="str">
            <v>Y</v>
          </cell>
          <cell r="AS1175" t="str">
            <v/>
          </cell>
          <cell r="AT1175" t="str">
            <v>WM</v>
          </cell>
          <cell r="AU1175" t="str">
            <v>Washing Machine</v>
          </cell>
          <cell r="AV1175" t="str">
            <v>WMWK</v>
          </cell>
          <cell r="AW1175" t="str">
            <v>Dishwasher</v>
          </cell>
          <cell r="AX1175" t="str">
            <v>WMWKWK</v>
          </cell>
          <cell r="AY1175" t="str">
            <v>Dishwasher</v>
          </cell>
          <cell r="AZ1175" t="str">
            <v>WMWKWKDA</v>
          </cell>
          <cell r="BA1175" t="str">
            <v>Dishwasher</v>
          </cell>
        </row>
        <row r="1176">
          <cell r="E1176" t="str">
            <v>LFB47BLG.AMAPEVN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1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 t="str">
            <v>REFPREMIUM</v>
          </cell>
          <cell r="AH1176" t="str">
            <v>REF_Premium</v>
          </cell>
          <cell r="AI1176" t="str">
            <v/>
          </cell>
          <cell r="AJ1176" t="str">
            <v/>
          </cell>
          <cell r="AK1176" t="str">
            <v>1.180987</v>
          </cell>
          <cell r="AL1176" t="str">
            <v>2</v>
          </cell>
          <cell r="AM1176" t="str">
            <v>Q</v>
          </cell>
          <cell r="AN1176" t="str">
            <v>M5</v>
          </cell>
          <cell r="AO1176" t="str">
            <v>To Be Obsolete(Model)</v>
          </cell>
          <cell r="AP1176" t="str">
            <v/>
          </cell>
          <cell r="AQ1176" t="str">
            <v/>
          </cell>
          <cell r="AR1176" t="str">
            <v>Y</v>
          </cell>
          <cell r="AS1176" t="str">
            <v/>
          </cell>
          <cell r="AT1176" t="str">
            <v>RF</v>
          </cell>
          <cell r="AU1176" t="str">
            <v>Refrigerator</v>
          </cell>
          <cell r="AV1176" t="str">
            <v>RFBF</v>
          </cell>
          <cell r="AW1176" t="str">
            <v>Bottom Freezer</v>
          </cell>
          <cell r="AX1176" t="str">
            <v>RFBFMD</v>
          </cell>
          <cell r="AY1176" t="str">
            <v>French Door Swing</v>
          </cell>
          <cell r="AZ1176" t="str">
            <v>RFBFMD4D</v>
          </cell>
          <cell r="BA1176" t="str">
            <v>4D F/D Swing</v>
          </cell>
        </row>
        <row r="1177">
          <cell r="E1177" t="str">
            <v>LFB47SVM.AMEPEVN</v>
          </cell>
          <cell r="F1177">
            <v>0</v>
          </cell>
          <cell r="G1177">
            <v>0</v>
          </cell>
          <cell r="H1177">
            <v>0</v>
          </cell>
          <cell r="I1177">
            <v>5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1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 t="str">
            <v>REFPREMIUM</v>
          </cell>
          <cell r="AH1177" t="str">
            <v>REF_Premium</v>
          </cell>
          <cell r="AI1177" t="str">
            <v/>
          </cell>
          <cell r="AJ1177" t="str">
            <v/>
          </cell>
          <cell r="AK1177" t="str">
            <v>1.180987</v>
          </cell>
          <cell r="AL1177" t="str">
            <v>2</v>
          </cell>
          <cell r="AM1177" t="str">
            <v>Q</v>
          </cell>
          <cell r="AN1177" t="str">
            <v>M5</v>
          </cell>
          <cell r="AO1177" t="str">
            <v>To Be Obsolete(Model)</v>
          </cell>
          <cell r="AP1177" t="str">
            <v/>
          </cell>
          <cell r="AQ1177" t="str">
            <v/>
          </cell>
          <cell r="AR1177" t="str">
            <v>Y</v>
          </cell>
          <cell r="AS1177" t="str">
            <v/>
          </cell>
          <cell r="AT1177" t="str">
            <v>RF</v>
          </cell>
          <cell r="AU1177" t="str">
            <v>Refrigerator</v>
          </cell>
          <cell r="AV1177" t="str">
            <v>RFBF</v>
          </cell>
          <cell r="AW1177" t="str">
            <v>Bottom Freezer</v>
          </cell>
          <cell r="AX1177" t="str">
            <v>RFBFMD</v>
          </cell>
          <cell r="AY1177" t="str">
            <v>French Door Swing</v>
          </cell>
          <cell r="AZ1177" t="str">
            <v>RFBFMD4D</v>
          </cell>
          <cell r="BA1177" t="str">
            <v>4D F/D Swing</v>
          </cell>
        </row>
        <row r="1178">
          <cell r="E1178" t="str">
            <v>LFB58BLMA.AEPPEVN</v>
          </cell>
          <cell r="F1178">
            <v>62</v>
          </cell>
          <cell r="G1178">
            <v>0</v>
          </cell>
          <cell r="H1178">
            <v>0</v>
          </cell>
          <cell r="I1178">
            <v>80</v>
          </cell>
          <cell r="J1178">
            <v>0</v>
          </cell>
          <cell r="K1178">
            <v>0</v>
          </cell>
          <cell r="L1178">
            <v>3</v>
          </cell>
          <cell r="M1178">
            <v>0</v>
          </cell>
          <cell r="N1178">
            <v>0</v>
          </cell>
          <cell r="O1178">
            <v>1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 t="str">
            <v>REFPREPLUS</v>
          </cell>
          <cell r="AH1178" t="str">
            <v>REF_Premium_Plus</v>
          </cell>
          <cell r="AI1178" t="str">
            <v/>
          </cell>
          <cell r="AJ1178" t="str">
            <v/>
          </cell>
          <cell r="AK1178" t="str">
            <v>1.289601</v>
          </cell>
          <cell r="AL1178" t="str">
            <v>2</v>
          </cell>
          <cell r="AM1178" t="str">
            <v>F</v>
          </cell>
          <cell r="AN1178" t="str">
            <v>M0</v>
          </cell>
          <cell r="AO1178" t="str">
            <v>Active(Model)</v>
          </cell>
          <cell r="AP1178" t="str">
            <v/>
          </cell>
          <cell r="AQ1178" t="str">
            <v/>
          </cell>
          <cell r="AR1178" t="str">
            <v>Y</v>
          </cell>
          <cell r="AS1178" t="str">
            <v/>
          </cell>
          <cell r="AT1178" t="str">
            <v>RF</v>
          </cell>
          <cell r="AU1178" t="str">
            <v>Refrigerator</v>
          </cell>
          <cell r="AV1178" t="str">
            <v>RFBF</v>
          </cell>
          <cell r="AW1178" t="str">
            <v>Bottom Freezer</v>
          </cell>
          <cell r="AX1178" t="str">
            <v>RFBFMD</v>
          </cell>
          <cell r="AY1178" t="str">
            <v>French Door Swing</v>
          </cell>
          <cell r="AZ1178" t="str">
            <v>RFBFMD4D</v>
          </cell>
          <cell r="BA1178" t="str">
            <v>4D F/D Swing</v>
          </cell>
        </row>
        <row r="1179">
          <cell r="E1179" t="str">
            <v>LFB61BLGAI.ABMPEVN</v>
          </cell>
          <cell r="F1179">
            <v>33</v>
          </cell>
          <cell r="G1179">
            <v>0</v>
          </cell>
          <cell r="H1179">
            <v>0</v>
          </cell>
          <cell r="I1179">
            <v>45</v>
          </cell>
          <cell r="J1179">
            <v>0</v>
          </cell>
          <cell r="K1179">
            <v>0</v>
          </cell>
          <cell r="L1179">
            <v>0</v>
          </cell>
          <cell r="M1179">
            <v>1</v>
          </cell>
          <cell r="N1179">
            <v>0</v>
          </cell>
          <cell r="O1179">
            <v>0</v>
          </cell>
          <cell r="P1179">
            <v>1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 t="str">
            <v>REFPREPLUS</v>
          </cell>
          <cell r="AH1179" t="str">
            <v>REF_Premium_Plus</v>
          </cell>
          <cell r="AI1179" t="str">
            <v/>
          </cell>
          <cell r="AJ1179" t="str">
            <v/>
          </cell>
          <cell r="AK1179" t="str">
            <v>1.347179</v>
          </cell>
          <cell r="AL1179" t="str">
            <v>2</v>
          </cell>
          <cell r="AM1179" t="str">
            <v>F</v>
          </cell>
          <cell r="AN1179" t="str">
            <v>M0</v>
          </cell>
          <cell r="AO1179" t="str">
            <v>Active(Model)</v>
          </cell>
          <cell r="AP1179" t="str">
            <v/>
          </cell>
          <cell r="AQ1179" t="str">
            <v/>
          </cell>
          <cell r="AR1179" t="str">
            <v>Y</v>
          </cell>
          <cell r="AS1179" t="str">
            <v/>
          </cell>
          <cell r="AT1179" t="str">
            <v>RF</v>
          </cell>
          <cell r="AU1179" t="str">
            <v>Refrigerator</v>
          </cell>
          <cell r="AV1179" t="str">
            <v>RFBF</v>
          </cell>
          <cell r="AW1179" t="str">
            <v>Bottom Freezer</v>
          </cell>
          <cell r="AX1179" t="str">
            <v>RFBFMD</v>
          </cell>
          <cell r="AY1179" t="str">
            <v>French Door Swing</v>
          </cell>
          <cell r="AZ1179" t="str">
            <v>RFBFMD4D</v>
          </cell>
          <cell r="BA1179" t="str">
            <v>4D F/D Swing</v>
          </cell>
        </row>
        <row r="1180">
          <cell r="E1180" t="str">
            <v>LFD58BLMA.AEPPEVN</v>
          </cell>
          <cell r="F1180">
            <v>117</v>
          </cell>
          <cell r="G1180">
            <v>0</v>
          </cell>
          <cell r="H1180">
            <v>0</v>
          </cell>
          <cell r="I1180">
            <v>139</v>
          </cell>
          <cell r="J1180">
            <v>0</v>
          </cell>
          <cell r="K1180">
            <v>0</v>
          </cell>
          <cell r="L1180">
            <v>7</v>
          </cell>
          <cell r="M1180">
            <v>0</v>
          </cell>
          <cell r="N1180">
            <v>0</v>
          </cell>
          <cell r="O1180">
            <v>1</v>
          </cell>
          <cell r="P1180">
            <v>0</v>
          </cell>
          <cell r="Q1180">
            <v>0</v>
          </cell>
          <cell r="R1180">
            <v>41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2</v>
          </cell>
          <cell r="AE1180">
            <v>1</v>
          </cell>
          <cell r="AF1180">
            <v>2</v>
          </cell>
          <cell r="AG1180" t="str">
            <v>REFPREPLUS</v>
          </cell>
          <cell r="AH1180" t="str">
            <v>REF_Premium_Plus</v>
          </cell>
          <cell r="AI1180" t="str">
            <v/>
          </cell>
          <cell r="AJ1180" t="str">
            <v/>
          </cell>
          <cell r="AK1180" t="str">
            <v>1.289601</v>
          </cell>
          <cell r="AL1180" t="str">
            <v>2</v>
          </cell>
          <cell r="AM1180" t="str">
            <v>F</v>
          </cell>
          <cell r="AN1180" t="str">
            <v>M0</v>
          </cell>
          <cell r="AO1180" t="str">
            <v>Active(Model)</v>
          </cell>
          <cell r="AP1180" t="str">
            <v/>
          </cell>
          <cell r="AQ1180" t="str">
            <v/>
          </cell>
          <cell r="AR1180" t="str">
            <v>Y</v>
          </cell>
          <cell r="AS1180" t="str">
            <v/>
          </cell>
          <cell r="AT1180" t="str">
            <v>RF</v>
          </cell>
          <cell r="AU1180" t="str">
            <v>Refrigerator</v>
          </cell>
          <cell r="AV1180" t="str">
            <v>RFBF</v>
          </cell>
          <cell r="AW1180" t="str">
            <v>Bottom Freezer</v>
          </cell>
          <cell r="AX1180" t="str">
            <v>RFBFMD</v>
          </cell>
          <cell r="AY1180" t="str">
            <v>French Door Swing</v>
          </cell>
          <cell r="AZ1180" t="str">
            <v>RFBFMD4D</v>
          </cell>
          <cell r="BA1180" t="str">
            <v>4D F/D Swing</v>
          </cell>
        </row>
        <row r="1181">
          <cell r="E1181" t="str">
            <v>LFD58BLMAI.AEPPEVN</v>
          </cell>
          <cell r="F1181">
            <v>33</v>
          </cell>
          <cell r="G1181">
            <v>0</v>
          </cell>
          <cell r="H1181">
            <v>0</v>
          </cell>
          <cell r="I1181">
            <v>48</v>
          </cell>
          <cell r="J1181">
            <v>0</v>
          </cell>
          <cell r="K1181">
            <v>0</v>
          </cell>
          <cell r="L1181">
            <v>0</v>
          </cell>
          <cell r="M1181">
            <v>1</v>
          </cell>
          <cell r="N1181">
            <v>0</v>
          </cell>
          <cell r="O1181">
            <v>1</v>
          </cell>
          <cell r="P1181">
            <v>1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 t="str">
            <v>REFPREPLUS</v>
          </cell>
          <cell r="AH1181" t="str">
            <v>REF_Premium_Plus</v>
          </cell>
          <cell r="AI1181" t="str">
            <v/>
          </cell>
          <cell r="AJ1181" t="str">
            <v/>
          </cell>
          <cell r="AK1181" t="str">
            <v>1.289601</v>
          </cell>
          <cell r="AL1181" t="str">
            <v>2</v>
          </cell>
          <cell r="AM1181" t="str">
            <v>F</v>
          </cell>
          <cell r="AN1181" t="str">
            <v>M0</v>
          </cell>
          <cell r="AO1181" t="str">
            <v>Active(Model)</v>
          </cell>
          <cell r="AP1181" t="str">
            <v/>
          </cell>
          <cell r="AQ1181" t="str">
            <v/>
          </cell>
          <cell r="AR1181" t="str">
            <v>Y</v>
          </cell>
          <cell r="AS1181" t="str">
            <v/>
          </cell>
          <cell r="AT1181" t="str">
            <v>RF</v>
          </cell>
          <cell r="AU1181" t="str">
            <v>Refrigerator</v>
          </cell>
          <cell r="AV1181" t="str">
            <v>RFBF</v>
          </cell>
          <cell r="AW1181" t="str">
            <v>Bottom Freezer</v>
          </cell>
          <cell r="AX1181" t="str">
            <v>RFBFMD</v>
          </cell>
          <cell r="AY1181" t="str">
            <v>French Door Swing</v>
          </cell>
          <cell r="AZ1181" t="str">
            <v>RFBFMD4D</v>
          </cell>
          <cell r="BA1181" t="str">
            <v>4D F/D Swing</v>
          </cell>
        </row>
        <row r="1182">
          <cell r="E1182" t="str">
            <v>LFD61BLGA.ABMPEVN</v>
          </cell>
          <cell r="F1182">
            <v>0</v>
          </cell>
          <cell r="G1182">
            <v>0</v>
          </cell>
          <cell r="H1182">
            <v>0</v>
          </cell>
          <cell r="I1182">
            <v>8</v>
          </cell>
          <cell r="J1182">
            <v>0</v>
          </cell>
          <cell r="K1182">
            <v>10</v>
          </cell>
          <cell r="L1182">
            <v>0</v>
          </cell>
          <cell r="M1182">
            <v>0</v>
          </cell>
          <cell r="N1182">
            <v>1</v>
          </cell>
          <cell r="O1182">
            <v>0</v>
          </cell>
          <cell r="P1182">
            <v>1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 t="str">
            <v>REFPREPLUS</v>
          </cell>
          <cell r="AH1182" t="str">
            <v>REF_Premium_Plus</v>
          </cell>
          <cell r="AI1182" t="str">
            <v/>
          </cell>
          <cell r="AJ1182" t="str">
            <v/>
          </cell>
          <cell r="AK1182" t="str">
            <v>1.347179</v>
          </cell>
          <cell r="AL1182" t="str">
            <v>2</v>
          </cell>
          <cell r="AM1182" t="str">
            <v>F</v>
          </cell>
          <cell r="AN1182" t="str">
            <v>M0</v>
          </cell>
          <cell r="AO1182" t="str">
            <v>Active(Model)</v>
          </cell>
          <cell r="AP1182" t="str">
            <v/>
          </cell>
          <cell r="AQ1182" t="str">
            <v/>
          </cell>
          <cell r="AR1182" t="str">
            <v>Y</v>
          </cell>
          <cell r="AS1182" t="str">
            <v/>
          </cell>
          <cell r="AT1182" t="str">
            <v>RF</v>
          </cell>
          <cell r="AU1182" t="str">
            <v>Refrigerator</v>
          </cell>
          <cell r="AV1182" t="str">
            <v>RFBF</v>
          </cell>
          <cell r="AW1182" t="str">
            <v>Bottom Freezer</v>
          </cell>
          <cell r="AX1182" t="str">
            <v>RFBFMD</v>
          </cell>
          <cell r="AY1182" t="str">
            <v>French Door Swing</v>
          </cell>
          <cell r="AZ1182" t="str">
            <v>RFBFMD4D</v>
          </cell>
          <cell r="BA1182" t="str">
            <v>4D F/D Swing</v>
          </cell>
        </row>
        <row r="1183">
          <cell r="E1183" t="str">
            <v>LFD61BLGAI.ABMPEVN</v>
          </cell>
          <cell r="F1183">
            <v>16</v>
          </cell>
          <cell r="G1183">
            <v>0</v>
          </cell>
          <cell r="H1183">
            <v>0</v>
          </cell>
          <cell r="I1183">
            <v>25</v>
          </cell>
          <cell r="J1183">
            <v>0</v>
          </cell>
          <cell r="K1183">
            <v>10</v>
          </cell>
          <cell r="L1183">
            <v>0</v>
          </cell>
          <cell r="M1183">
            <v>0</v>
          </cell>
          <cell r="N1183">
            <v>0</v>
          </cell>
          <cell r="O1183">
            <v>1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 t="str">
            <v>REFPREPLUS</v>
          </cell>
          <cell r="AH1183" t="str">
            <v>REF_Premium_Plus</v>
          </cell>
          <cell r="AI1183" t="str">
            <v/>
          </cell>
          <cell r="AJ1183" t="str">
            <v/>
          </cell>
          <cell r="AK1183" t="str">
            <v>1.347179</v>
          </cell>
          <cell r="AL1183" t="str">
            <v>2</v>
          </cell>
          <cell r="AM1183" t="str">
            <v>F</v>
          </cell>
          <cell r="AN1183" t="str">
            <v>M0</v>
          </cell>
          <cell r="AO1183" t="str">
            <v>Active(Model)</v>
          </cell>
          <cell r="AP1183" t="str">
            <v/>
          </cell>
          <cell r="AQ1183" t="str">
            <v/>
          </cell>
          <cell r="AR1183" t="str">
            <v>Y</v>
          </cell>
          <cell r="AS1183" t="str">
            <v/>
          </cell>
          <cell r="AT1183" t="str">
            <v>RF</v>
          </cell>
          <cell r="AU1183" t="str">
            <v>Refrigerator</v>
          </cell>
          <cell r="AV1183" t="str">
            <v>RFBF</v>
          </cell>
          <cell r="AW1183" t="str">
            <v>Bottom Freezer</v>
          </cell>
          <cell r="AX1183" t="str">
            <v>RFBFMD</v>
          </cell>
          <cell r="AY1183" t="str">
            <v>French Door Swing</v>
          </cell>
          <cell r="AZ1183" t="str">
            <v>RFBFMD4D</v>
          </cell>
          <cell r="BA1183" t="str">
            <v>4D F/D Swing</v>
          </cell>
        </row>
        <row r="1184">
          <cell r="E1184" t="str">
            <v>LMEA009BANH.ATVQ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 t="str">
            <v/>
          </cell>
          <cell r="AH1184" t="str">
            <v/>
          </cell>
          <cell r="AI1184" t="str">
            <v/>
          </cell>
          <cell r="AJ1184" t="str">
            <v/>
          </cell>
          <cell r="AK1184" t="str">
            <v>0.207631</v>
          </cell>
          <cell r="AL1184" t="str">
            <v>2</v>
          </cell>
          <cell r="AM1184" t="str">
            <v>Q</v>
          </cell>
          <cell r="AN1184" t="str">
            <v>M0</v>
          </cell>
          <cell r="AO1184" t="str">
            <v>Active(Model)</v>
          </cell>
          <cell r="AP1184" t="str">
            <v/>
          </cell>
          <cell r="AQ1184" t="str">
            <v/>
          </cell>
          <cell r="AR1184" t="str">
            <v>Y</v>
          </cell>
          <cell r="AS1184" t="str">
            <v/>
          </cell>
          <cell r="AT1184" t="str">
            <v>CS</v>
          </cell>
          <cell r="AU1184" t="str">
            <v>Commercial Display_Signage</v>
          </cell>
          <cell r="AV1184" t="str">
            <v>CSLS</v>
          </cell>
          <cell r="AW1184" t="str">
            <v>Commercial_LED Signage</v>
          </cell>
          <cell r="AX1184" t="str">
            <v>CSLSIN</v>
          </cell>
          <cell r="AY1184" t="str">
            <v>Commercial_LED Signage Indoor</v>
          </cell>
          <cell r="AZ1184" t="str">
            <v>CSLSINBF</v>
          </cell>
          <cell r="BA1184" t="str">
            <v>Commercial_LED Signage Indoor Below Fine Pitch</v>
          </cell>
        </row>
        <row r="1185">
          <cell r="E1185" t="str">
            <v>LOF16BGM.ABNPEVN</v>
          </cell>
          <cell r="F1185">
            <v>28</v>
          </cell>
          <cell r="G1185">
            <v>0</v>
          </cell>
          <cell r="H1185">
            <v>0</v>
          </cell>
          <cell r="I1185">
            <v>59</v>
          </cell>
          <cell r="J1185">
            <v>2</v>
          </cell>
          <cell r="K1185">
            <v>0</v>
          </cell>
          <cell r="L1185">
            <v>6</v>
          </cell>
          <cell r="M1185">
            <v>1</v>
          </cell>
          <cell r="N1185">
            <v>0</v>
          </cell>
          <cell r="O1185">
            <v>3</v>
          </cell>
          <cell r="P1185">
            <v>1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 t="str">
            <v>REFBASIC</v>
          </cell>
          <cell r="AH1185" t="str">
            <v>REF_Basic</v>
          </cell>
          <cell r="AI1185" t="str">
            <v/>
          </cell>
          <cell r="AJ1185" t="str">
            <v/>
          </cell>
          <cell r="AK1185" t="str">
            <v>0.508097</v>
          </cell>
          <cell r="AL1185" t="str">
            <v>2</v>
          </cell>
          <cell r="AM1185" t="str">
            <v>Q</v>
          </cell>
          <cell r="AN1185" t="str">
            <v>M0</v>
          </cell>
          <cell r="AO1185" t="str">
            <v>Active(Model)</v>
          </cell>
          <cell r="AP1185" t="str">
            <v/>
          </cell>
          <cell r="AQ1185" t="str">
            <v/>
          </cell>
          <cell r="AR1185" t="str">
            <v>Y</v>
          </cell>
          <cell r="AS1185" t="str">
            <v/>
          </cell>
          <cell r="AT1185" t="str">
            <v>RF</v>
          </cell>
          <cell r="AU1185" t="str">
            <v>Refrigerator</v>
          </cell>
          <cell r="AV1185" t="str">
            <v>RFOT</v>
          </cell>
          <cell r="AW1185" t="str">
            <v>Specific REF</v>
          </cell>
          <cell r="AX1185" t="str">
            <v>RFOTFR</v>
          </cell>
          <cell r="AY1185" t="str">
            <v>Freezer</v>
          </cell>
          <cell r="AZ1185" t="str">
            <v>RFOTFRFA</v>
          </cell>
          <cell r="BA1185" t="str">
            <v>Refrigerator_Freezer</v>
          </cell>
        </row>
        <row r="1186">
          <cell r="E1186" t="str">
            <v>LSBE018-GD.ATVO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 t="str">
            <v/>
          </cell>
          <cell r="AH1186" t="str">
            <v/>
          </cell>
          <cell r="AI1186" t="str">
            <v/>
          </cell>
          <cell r="AJ1186" t="str">
            <v/>
          </cell>
          <cell r="AK1186" t="str">
            <v>0.065813</v>
          </cell>
          <cell r="AL1186" t="str">
            <v>2</v>
          </cell>
          <cell r="AM1186" t="str">
            <v>Q</v>
          </cell>
          <cell r="AN1186" t="str">
            <v>M0</v>
          </cell>
          <cell r="AO1186" t="str">
            <v>Active(Model)</v>
          </cell>
          <cell r="AP1186" t="str">
            <v/>
          </cell>
          <cell r="AQ1186" t="str">
            <v/>
          </cell>
          <cell r="AR1186" t="str">
            <v>Y</v>
          </cell>
          <cell r="AS1186" t="str">
            <v/>
          </cell>
          <cell r="AT1186" t="str">
            <v>CS</v>
          </cell>
          <cell r="AU1186" t="str">
            <v>Commercial Display_Signage</v>
          </cell>
          <cell r="AV1186" t="str">
            <v>CSLS</v>
          </cell>
          <cell r="AW1186" t="str">
            <v>Commercial_LED Signage</v>
          </cell>
          <cell r="AX1186" t="str">
            <v>CSLSIN</v>
          </cell>
          <cell r="AY1186" t="str">
            <v>Commercial_LED Signage Indoor</v>
          </cell>
          <cell r="AZ1186" t="str">
            <v>CSLSINBF</v>
          </cell>
          <cell r="BA1186" t="str">
            <v>Commercial_LED Signage Indoor Below Fine Pitch</v>
          </cell>
        </row>
        <row r="1187">
          <cell r="E1187" t="str">
            <v>LSCC012-GZ.ATVQ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 t="str">
            <v/>
          </cell>
          <cell r="AH1187" t="str">
            <v/>
          </cell>
          <cell r="AI1187" t="str">
            <v/>
          </cell>
          <cell r="AJ1187" t="str">
            <v/>
          </cell>
          <cell r="AK1187" t="str">
            <v>0.033750</v>
          </cell>
          <cell r="AL1187" t="str">
            <v>2</v>
          </cell>
          <cell r="AM1187" t="str">
            <v>Q</v>
          </cell>
          <cell r="AN1187" t="str">
            <v>M0</v>
          </cell>
          <cell r="AO1187" t="str">
            <v>Active(Model)</v>
          </cell>
          <cell r="AP1187" t="str">
            <v/>
          </cell>
          <cell r="AQ1187" t="str">
            <v/>
          </cell>
          <cell r="AR1187" t="str">
            <v>Y</v>
          </cell>
          <cell r="AS1187" t="str">
            <v/>
          </cell>
          <cell r="AT1187" t="str">
            <v>CS</v>
          </cell>
          <cell r="AU1187" t="str">
            <v>Commercial Display_Signage</v>
          </cell>
          <cell r="AV1187" t="str">
            <v>CSLS</v>
          </cell>
          <cell r="AW1187" t="str">
            <v>Commercial_LED Signage</v>
          </cell>
          <cell r="AX1187" t="str">
            <v>CSLSIN</v>
          </cell>
          <cell r="AY1187" t="str">
            <v>Commercial_LED Signage Indoor</v>
          </cell>
          <cell r="AZ1187" t="str">
            <v>CSLSINBF</v>
          </cell>
          <cell r="BA1187" t="str">
            <v>Commercial_LED Signage Indoor Below Fine Pitch</v>
          </cell>
        </row>
        <row r="1188">
          <cell r="E1188" t="str">
            <v>LSCC015-GZ.ATVQ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 t="str">
            <v/>
          </cell>
          <cell r="AH1188" t="str">
            <v/>
          </cell>
          <cell r="AI1188" t="str">
            <v/>
          </cell>
          <cell r="AJ1188" t="str">
            <v/>
          </cell>
          <cell r="AK1188" t="str">
            <v>0.033750</v>
          </cell>
          <cell r="AL1188" t="str">
            <v>2</v>
          </cell>
          <cell r="AM1188" t="str">
            <v>Q</v>
          </cell>
          <cell r="AN1188" t="str">
            <v>M0</v>
          </cell>
          <cell r="AO1188" t="str">
            <v>Active(Model)</v>
          </cell>
          <cell r="AP1188" t="str">
            <v/>
          </cell>
          <cell r="AQ1188" t="str">
            <v/>
          </cell>
          <cell r="AR1188" t="str">
            <v>Y</v>
          </cell>
          <cell r="AS1188" t="str">
            <v/>
          </cell>
          <cell r="AT1188" t="str">
            <v>CS</v>
          </cell>
          <cell r="AU1188" t="str">
            <v>Commercial Display_Signage</v>
          </cell>
          <cell r="AV1188" t="str">
            <v>CSLS</v>
          </cell>
          <cell r="AW1188" t="str">
            <v>Commercial_LED Signage</v>
          </cell>
          <cell r="AX1188" t="str">
            <v>CSLSIN</v>
          </cell>
          <cell r="AY1188" t="str">
            <v>Commercial_LED Signage Indoor</v>
          </cell>
          <cell r="AZ1188" t="str">
            <v>CSLSINBF</v>
          </cell>
          <cell r="BA1188" t="str">
            <v>Commercial_LED Signage Indoor Below Fine Pitch</v>
          </cell>
        </row>
        <row r="1189">
          <cell r="E1189" t="str">
            <v>LSCC018-GZ.ATVQ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 t="str">
            <v/>
          </cell>
          <cell r="AH1189" t="str">
            <v/>
          </cell>
          <cell r="AI1189" t="str">
            <v/>
          </cell>
          <cell r="AJ1189" t="str">
            <v/>
          </cell>
          <cell r="AK1189" t="str">
            <v>0.000000</v>
          </cell>
          <cell r="AL1189" t="str">
            <v>2</v>
          </cell>
          <cell r="AM1189" t="str">
            <v>Q</v>
          </cell>
          <cell r="AN1189" t="str">
            <v>M0</v>
          </cell>
          <cell r="AO1189" t="str">
            <v>Active(Model)</v>
          </cell>
          <cell r="AP1189" t="str">
            <v/>
          </cell>
          <cell r="AQ1189" t="str">
            <v/>
          </cell>
          <cell r="AR1189" t="str">
            <v>Y</v>
          </cell>
          <cell r="AS1189" t="str">
            <v/>
          </cell>
          <cell r="AT1189" t="str">
            <v>CS</v>
          </cell>
          <cell r="AU1189" t="str">
            <v>Commercial Display_Signage</v>
          </cell>
          <cell r="AV1189" t="str">
            <v>CSLS</v>
          </cell>
          <cell r="AW1189" t="str">
            <v>Commercial_LED Signage</v>
          </cell>
          <cell r="AX1189" t="str">
            <v>CSLSIN</v>
          </cell>
          <cell r="AY1189" t="str">
            <v>Commercial_LED Signage Indoor</v>
          </cell>
          <cell r="AZ1189" t="str">
            <v>CSLSINBF</v>
          </cell>
          <cell r="BA1189" t="str">
            <v>Commercial_LED Signage Indoor Below Fine Pitch</v>
          </cell>
        </row>
        <row r="1190">
          <cell r="E1190" t="str">
            <v>LSCC018-GZG.ATVQ</v>
          </cell>
          <cell r="F1190">
            <v>100</v>
          </cell>
          <cell r="G1190">
            <v>0</v>
          </cell>
          <cell r="H1190">
            <v>0</v>
          </cell>
          <cell r="I1190">
            <v>100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 t="str">
            <v/>
          </cell>
          <cell r="AH1190" t="str">
            <v/>
          </cell>
          <cell r="AI1190" t="str">
            <v/>
          </cell>
          <cell r="AJ1190" t="str">
            <v/>
          </cell>
          <cell r="AK1190" t="str">
            <v>0.033750</v>
          </cell>
          <cell r="AL1190" t="str">
            <v>2</v>
          </cell>
          <cell r="AM1190" t="str">
            <v>Q</v>
          </cell>
          <cell r="AN1190" t="str">
            <v>M0</v>
          </cell>
          <cell r="AO1190" t="str">
            <v>Active(Model)</v>
          </cell>
          <cell r="AP1190" t="str">
            <v/>
          </cell>
          <cell r="AQ1190" t="str">
            <v/>
          </cell>
          <cell r="AR1190" t="str">
            <v>Y</v>
          </cell>
          <cell r="AS1190" t="str">
            <v/>
          </cell>
          <cell r="AT1190" t="str">
            <v>CS</v>
          </cell>
          <cell r="AU1190" t="str">
            <v>Commercial Display_Signage</v>
          </cell>
          <cell r="AV1190" t="str">
            <v>CSLS</v>
          </cell>
          <cell r="AW1190" t="str">
            <v>Commercial_LED Signage</v>
          </cell>
          <cell r="AX1190" t="str">
            <v>CSLSIN</v>
          </cell>
          <cell r="AY1190" t="str">
            <v>Commercial_LED Signage Indoor</v>
          </cell>
          <cell r="AZ1190" t="str">
            <v>CSLSINBF</v>
          </cell>
          <cell r="BA1190" t="str">
            <v>Commercial_LED Signage Indoor Below Fine Pitch</v>
          </cell>
        </row>
        <row r="1191">
          <cell r="E1191" t="str">
            <v>LSCC025-GZ.ATVQ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 t="str">
            <v/>
          </cell>
          <cell r="AH1191" t="str">
            <v/>
          </cell>
          <cell r="AI1191" t="str">
            <v/>
          </cell>
          <cell r="AJ1191" t="str">
            <v/>
          </cell>
          <cell r="AK1191" t="str">
            <v>0.033750</v>
          </cell>
          <cell r="AL1191" t="str">
            <v>2</v>
          </cell>
          <cell r="AM1191" t="str">
            <v>Q</v>
          </cell>
          <cell r="AN1191" t="str">
            <v>M0</v>
          </cell>
          <cell r="AO1191" t="str">
            <v>Active(Model)</v>
          </cell>
          <cell r="AP1191" t="str">
            <v/>
          </cell>
          <cell r="AQ1191" t="str">
            <v/>
          </cell>
          <cell r="AR1191" t="str">
            <v>Y</v>
          </cell>
          <cell r="AS1191" t="str">
            <v/>
          </cell>
          <cell r="AT1191" t="str">
            <v>CS</v>
          </cell>
          <cell r="AU1191" t="str">
            <v>Commercial Display_Signage</v>
          </cell>
          <cell r="AV1191" t="str">
            <v>CSLS</v>
          </cell>
          <cell r="AW1191" t="str">
            <v>Commercial_LED Signage</v>
          </cell>
          <cell r="AX1191" t="str">
            <v>CSLSIN</v>
          </cell>
          <cell r="AY1191" t="str">
            <v>Commercial_LED Signage Indoor</v>
          </cell>
          <cell r="AZ1191" t="str">
            <v>CSLSINBF</v>
          </cell>
          <cell r="BA1191" t="str">
            <v>Commercial_LED Signage Indoor Below Fine Pitch</v>
          </cell>
        </row>
        <row r="1192">
          <cell r="E1192" t="str">
            <v>LSI63BLMA.AEPPEVN</v>
          </cell>
          <cell r="F1192">
            <v>0</v>
          </cell>
          <cell r="G1192">
            <v>0</v>
          </cell>
          <cell r="H1192">
            <v>0</v>
          </cell>
          <cell r="I1192">
            <v>4</v>
          </cell>
          <cell r="J1192">
            <v>1</v>
          </cell>
          <cell r="K1192">
            <v>150</v>
          </cell>
          <cell r="L1192">
            <v>0</v>
          </cell>
          <cell r="M1192">
            <v>0</v>
          </cell>
          <cell r="N1192">
            <v>0</v>
          </cell>
          <cell r="O1192">
            <v>2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 t="str">
            <v>REFPREMIUM</v>
          </cell>
          <cell r="AH1192" t="str">
            <v>REF_Premium</v>
          </cell>
          <cell r="AI1192" t="str">
            <v/>
          </cell>
          <cell r="AJ1192" t="str">
            <v/>
          </cell>
          <cell r="AK1192" t="str">
            <v>1.415300</v>
          </cell>
          <cell r="AL1192" t="str">
            <v>2</v>
          </cell>
          <cell r="AM1192" t="str">
            <v>Q</v>
          </cell>
          <cell r="AN1192" t="str">
            <v>M0</v>
          </cell>
          <cell r="AO1192" t="str">
            <v>Active(Model)</v>
          </cell>
          <cell r="AP1192" t="str">
            <v/>
          </cell>
          <cell r="AQ1192" t="str">
            <v/>
          </cell>
          <cell r="AR1192" t="str">
            <v>Y</v>
          </cell>
          <cell r="AS1192" t="str">
            <v/>
          </cell>
          <cell r="AT1192" t="str">
            <v>RF</v>
          </cell>
          <cell r="AU1192" t="str">
            <v>Refrigerator</v>
          </cell>
          <cell r="AV1192" t="str">
            <v>RFSS</v>
          </cell>
          <cell r="AW1192" t="str">
            <v>SxS</v>
          </cell>
          <cell r="AX1192" t="str">
            <v>RFSSSS</v>
          </cell>
          <cell r="AY1192" t="str">
            <v>SxS</v>
          </cell>
          <cell r="AZ1192" t="str">
            <v>RFSSSS25</v>
          </cell>
          <cell r="BA1192" t="str">
            <v>SxS 25CU</v>
          </cell>
        </row>
        <row r="1193">
          <cell r="E1193" t="str">
            <v>LTB21BLMI.AEPPEVN</v>
          </cell>
          <cell r="F1193">
            <v>0</v>
          </cell>
          <cell r="G1193">
            <v>0</v>
          </cell>
          <cell r="H1193">
            <v>0</v>
          </cell>
          <cell r="I1193">
            <v>30</v>
          </cell>
          <cell r="J1193">
            <v>0</v>
          </cell>
          <cell r="K1193">
            <v>6</v>
          </cell>
          <cell r="L1193">
            <v>5</v>
          </cell>
          <cell r="M1193">
            <v>0</v>
          </cell>
          <cell r="N1193">
            <v>0</v>
          </cell>
          <cell r="O1193">
            <v>10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 t="str">
            <v>REFBASIC</v>
          </cell>
          <cell r="AH1193" t="str">
            <v>REF_Basic</v>
          </cell>
          <cell r="AI1193" t="str">
            <v/>
          </cell>
          <cell r="AJ1193" t="str">
            <v/>
          </cell>
          <cell r="AK1193" t="str">
            <v>0.586264</v>
          </cell>
          <cell r="AL1193" t="str">
            <v>2</v>
          </cell>
          <cell r="AM1193" t="str">
            <v>Q</v>
          </cell>
          <cell r="AN1193" t="str">
            <v>M0</v>
          </cell>
          <cell r="AO1193" t="str">
            <v>Active(Model)</v>
          </cell>
          <cell r="AP1193" t="str">
            <v/>
          </cell>
          <cell r="AQ1193" t="str">
            <v/>
          </cell>
          <cell r="AR1193" t="str">
            <v>Y</v>
          </cell>
          <cell r="AS1193" t="str">
            <v/>
          </cell>
          <cell r="AT1193" t="str">
            <v>RF</v>
          </cell>
          <cell r="AU1193" t="str">
            <v>Refrigerator</v>
          </cell>
          <cell r="AV1193" t="str">
            <v>RFTM</v>
          </cell>
          <cell r="AW1193" t="str">
            <v>TMNF</v>
          </cell>
          <cell r="AX1193" t="str">
            <v>RFTMTM</v>
          </cell>
          <cell r="AY1193" t="str">
            <v>TMNF</v>
          </cell>
          <cell r="AZ1193" t="str">
            <v>RFTMTMMA</v>
          </cell>
          <cell r="BA1193" t="str">
            <v>Medium REF</v>
          </cell>
        </row>
        <row r="1194">
          <cell r="E1194" t="str">
            <v>LTB26BLM.AEPPEVN</v>
          </cell>
          <cell r="F1194">
            <v>0</v>
          </cell>
          <cell r="G1194">
            <v>0</v>
          </cell>
          <cell r="H1194">
            <v>0</v>
          </cell>
          <cell r="I1194">
            <v>5</v>
          </cell>
          <cell r="J1194">
            <v>0</v>
          </cell>
          <cell r="K1194">
            <v>208</v>
          </cell>
          <cell r="L1194">
            <v>0</v>
          </cell>
          <cell r="M1194">
            <v>0</v>
          </cell>
          <cell r="N1194">
            <v>0</v>
          </cell>
          <cell r="O1194">
            <v>61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45</v>
          </cell>
          <cell r="AF1194">
            <v>0</v>
          </cell>
          <cell r="AG1194" t="str">
            <v>REFBASIC</v>
          </cell>
          <cell r="AH1194" t="str">
            <v>REF_Basic</v>
          </cell>
          <cell r="AI1194" t="str">
            <v/>
          </cell>
          <cell r="AJ1194" t="str">
            <v/>
          </cell>
          <cell r="AK1194" t="str">
            <v>0.672945</v>
          </cell>
          <cell r="AL1194" t="str">
            <v>2</v>
          </cell>
          <cell r="AM1194" t="str">
            <v>Q</v>
          </cell>
          <cell r="AN1194" t="str">
            <v>M0</v>
          </cell>
          <cell r="AO1194" t="str">
            <v>Active(Model)</v>
          </cell>
          <cell r="AP1194" t="str">
            <v/>
          </cell>
          <cell r="AQ1194" t="str">
            <v/>
          </cell>
          <cell r="AR1194" t="str">
            <v>Y</v>
          </cell>
          <cell r="AS1194" t="str">
            <v/>
          </cell>
          <cell r="AT1194" t="str">
            <v>RF</v>
          </cell>
          <cell r="AU1194" t="str">
            <v>Refrigerator</v>
          </cell>
          <cell r="AV1194" t="str">
            <v>RFTM</v>
          </cell>
          <cell r="AW1194" t="str">
            <v>TMNF</v>
          </cell>
          <cell r="AX1194" t="str">
            <v>RFTMTM</v>
          </cell>
          <cell r="AY1194" t="str">
            <v>TMNF</v>
          </cell>
          <cell r="AZ1194" t="str">
            <v>RFTMTMMA</v>
          </cell>
          <cell r="BA1194" t="str">
            <v>Medium REF</v>
          </cell>
        </row>
        <row r="1195">
          <cell r="E1195" t="str">
            <v>LTB26SVM.APYPEVN</v>
          </cell>
          <cell r="F1195">
            <v>0</v>
          </cell>
          <cell r="G1195">
            <v>0</v>
          </cell>
          <cell r="H1195">
            <v>0</v>
          </cell>
          <cell r="I1195">
            <v>3</v>
          </cell>
          <cell r="J1195">
            <v>1</v>
          </cell>
          <cell r="K1195">
            <v>249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 t="str">
            <v>REFBASIC</v>
          </cell>
          <cell r="AH1195" t="str">
            <v>REF_Basic</v>
          </cell>
          <cell r="AI1195" t="str">
            <v/>
          </cell>
          <cell r="AJ1195" t="str">
            <v/>
          </cell>
          <cell r="AK1195" t="str">
            <v>0.672945</v>
          </cell>
          <cell r="AL1195" t="str">
            <v>2</v>
          </cell>
          <cell r="AM1195" t="str">
            <v>Q</v>
          </cell>
          <cell r="AN1195" t="str">
            <v>M0</v>
          </cell>
          <cell r="AO1195" t="str">
            <v>Active(Model)</v>
          </cell>
          <cell r="AP1195" t="str">
            <v/>
          </cell>
          <cell r="AQ1195" t="str">
            <v/>
          </cell>
          <cell r="AR1195" t="str">
            <v>Y</v>
          </cell>
          <cell r="AS1195" t="str">
            <v/>
          </cell>
          <cell r="AT1195" t="str">
            <v>RF</v>
          </cell>
          <cell r="AU1195" t="str">
            <v>Refrigerator</v>
          </cell>
          <cell r="AV1195" t="str">
            <v>RFTM</v>
          </cell>
          <cell r="AW1195" t="str">
            <v>TMNF</v>
          </cell>
          <cell r="AX1195" t="str">
            <v>RFTMTM</v>
          </cell>
          <cell r="AY1195" t="str">
            <v>TMNF</v>
          </cell>
          <cell r="AZ1195" t="str">
            <v>RFTMTMMA</v>
          </cell>
          <cell r="BA1195" t="str">
            <v>Medium REF</v>
          </cell>
        </row>
        <row r="1196">
          <cell r="E1196" t="str">
            <v>LTB31BLM.AEPPEVN</v>
          </cell>
          <cell r="F1196">
            <v>195</v>
          </cell>
          <cell r="G1196">
            <v>0</v>
          </cell>
          <cell r="H1196">
            <v>0</v>
          </cell>
          <cell r="I1196">
            <v>207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2</v>
          </cell>
          <cell r="P1196">
            <v>0</v>
          </cell>
          <cell r="Q1196">
            <v>68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1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 t="str">
            <v>REFBASIC</v>
          </cell>
          <cell r="AH1196" t="str">
            <v>REF_Basic</v>
          </cell>
          <cell r="AI1196" t="str">
            <v/>
          </cell>
          <cell r="AJ1196" t="str">
            <v/>
          </cell>
          <cell r="AK1196" t="str">
            <v>0.832004</v>
          </cell>
          <cell r="AL1196" t="str">
            <v>2</v>
          </cell>
          <cell r="AM1196" t="str">
            <v>Q</v>
          </cell>
          <cell r="AN1196" t="str">
            <v>M0</v>
          </cell>
          <cell r="AO1196" t="str">
            <v>Active(Model)</v>
          </cell>
          <cell r="AP1196" t="str">
            <v/>
          </cell>
          <cell r="AQ1196" t="str">
            <v/>
          </cell>
          <cell r="AR1196" t="str">
            <v>Y</v>
          </cell>
          <cell r="AS1196" t="str">
            <v/>
          </cell>
          <cell r="AT1196" t="str">
            <v>RF</v>
          </cell>
          <cell r="AU1196" t="str">
            <v>Refrigerator</v>
          </cell>
          <cell r="AV1196" t="str">
            <v>RFTM</v>
          </cell>
          <cell r="AW1196" t="str">
            <v>TMNF</v>
          </cell>
          <cell r="AX1196" t="str">
            <v>RFTMTM</v>
          </cell>
          <cell r="AY1196" t="str">
            <v>TMNF</v>
          </cell>
          <cell r="AZ1196" t="str">
            <v>RFTMTMMA</v>
          </cell>
          <cell r="BA1196" t="str">
            <v>Medium REF</v>
          </cell>
        </row>
        <row r="1197">
          <cell r="E1197" t="str">
            <v>LTB31BLMA.AEPPEVN</v>
          </cell>
          <cell r="F1197">
            <v>54</v>
          </cell>
          <cell r="G1197">
            <v>0</v>
          </cell>
          <cell r="H1197">
            <v>0</v>
          </cell>
          <cell r="I1197">
            <v>59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1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 t="str">
            <v>REFBASIC</v>
          </cell>
          <cell r="AH1197" t="str">
            <v>REF_Basic</v>
          </cell>
          <cell r="AI1197" t="str">
            <v/>
          </cell>
          <cell r="AJ1197" t="str">
            <v/>
          </cell>
          <cell r="AK1197" t="str">
            <v>0.832004</v>
          </cell>
          <cell r="AL1197" t="str">
            <v>2</v>
          </cell>
          <cell r="AM1197" t="str">
            <v>Q</v>
          </cell>
          <cell r="AN1197" t="str">
            <v>M0</v>
          </cell>
          <cell r="AO1197" t="str">
            <v>Active(Model)</v>
          </cell>
          <cell r="AP1197" t="str">
            <v/>
          </cell>
          <cell r="AQ1197" t="str">
            <v/>
          </cell>
          <cell r="AR1197" t="str">
            <v>Y</v>
          </cell>
          <cell r="AS1197" t="str">
            <v/>
          </cell>
          <cell r="AT1197" t="str">
            <v>RF</v>
          </cell>
          <cell r="AU1197" t="str">
            <v>Refrigerator</v>
          </cell>
          <cell r="AV1197" t="str">
            <v>RFTM</v>
          </cell>
          <cell r="AW1197" t="str">
            <v>TMNF</v>
          </cell>
          <cell r="AX1197" t="str">
            <v>RFTMTM</v>
          </cell>
          <cell r="AY1197" t="str">
            <v>TMNF</v>
          </cell>
          <cell r="AZ1197" t="str">
            <v>RFTMTMMA</v>
          </cell>
          <cell r="BA1197" t="str">
            <v>Medium REF</v>
          </cell>
        </row>
        <row r="1198">
          <cell r="E1198" t="str">
            <v>LTB33BLG.ABMPEVN</v>
          </cell>
          <cell r="F1198">
            <v>0</v>
          </cell>
          <cell r="G1198">
            <v>0</v>
          </cell>
          <cell r="H1198">
            <v>0</v>
          </cell>
          <cell r="I1198">
            <v>6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1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 t="str">
            <v>REFBASIC</v>
          </cell>
          <cell r="AH1198" t="str">
            <v>REF_Basic</v>
          </cell>
          <cell r="AI1198" t="str">
            <v/>
          </cell>
          <cell r="AJ1198" t="str">
            <v/>
          </cell>
          <cell r="AK1198" t="str">
            <v>0.872636</v>
          </cell>
          <cell r="AL1198" t="str">
            <v>2</v>
          </cell>
          <cell r="AM1198" t="str">
            <v>Q</v>
          </cell>
          <cell r="AN1198" t="str">
            <v>M0</v>
          </cell>
          <cell r="AO1198" t="str">
            <v>Active(Model)</v>
          </cell>
          <cell r="AP1198" t="str">
            <v/>
          </cell>
          <cell r="AQ1198" t="str">
            <v/>
          </cell>
          <cell r="AR1198" t="str">
            <v>Y</v>
          </cell>
          <cell r="AS1198" t="str">
            <v/>
          </cell>
          <cell r="AT1198" t="str">
            <v>RF</v>
          </cell>
          <cell r="AU1198" t="str">
            <v>Refrigerator</v>
          </cell>
          <cell r="AV1198" t="str">
            <v>RFTM</v>
          </cell>
          <cell r="AW1198" t="str">
            <v>TMNF</v>
          </cell>
          <cell r="AX1198" t="str">
            <v>RFTMTM</v>
          </cell>
          <cell r="AY1198" t="str">
            <v>TMNF</v>
          </cell>
          <cell r="AZ1198" t="str">
            <v>RFTMTMMA</v>
          </cell>
          <cell r="BA1198" t="str">
            <v>Medium REF</v>
          </cell>
        </row>
        <row r="1199">
          <cell r="E1199" t="str">
            <v>LTB33BLMA.AEPPEVN</v>
          </cell>
          <cell r="F1199">
            <v>80</v>
          </cell>
          <cell r="G1199">
            <v>0</v>
          </cell>
          <cell r="H1199">
            <v>0</v>
          </cell>
          <cell r="I1199">
            <v>94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1</v>
          </cell>
          <cell r="O1199">
            <v>0</v>
          </cell>
          <cell r="P1199">
            <v>1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 t="str">
            <v>REFBASIC</v>
          </cell>
          <cell r="AH1199" t="str">
            <v>REF_Basic</v>
          </cell>
          <cell r="AI1199" t="str">
            <v/>
          </cell>
          <cell r="AJ1199" t="str">
            <v/>
          </cell>
          <cell r="AK1199" t="str">
            <v>0.872636</v>
          </cell>
          <cell r="AL1199" t="str">
            <v>2</v>
          </cell>
          <cell r="AM1199" t="str">
            <v>Q</v>
          </cell>
          <cell r="AN1199" t="str">
            <v>M0</v>
          </cell>
          <cell r="AO1199" t="str">
            <v>Active(Model)</v>
          </cell>
          <cell r="AP1199" t="str">
            <v/>
          </cell>
          <cell r="AQ1199" t="str">
            <v/>
          </cell>
          <cell r="AR1199" t="str">
            <v>Y</v>
          </cell>
          <cell r="AS1199" t="str">
            <v/>
          </cell>
          <cell r="AT1199" t="str">
            <v>RF</v>
          </cell>
          <cell r="AU1199" t="str">
            <v>Refrigerator</v>
          </cell>
          <cell r="AV1199" t="str">
            <v>RFTM</v>
          </cell>
          <cell r="AW1199" t="str">
            <v>TMNF</v>
          </cell>
          <cell r="AX1199" t="str">
            <v>RFTMTM</v>
          </cell>
          <cell r="AY1199" t="str">
            <v>TMNF</v>
          </cell>
          <cell r="AZ1199" t="str">
            <v>RFTMTMMA</v>
          </cell>
          <cell r="BA1199" t="str">
            <v>Medium REF</v>
          </cell>
        </row>
        <row r="1200">
          <cell r="E1200" t="str">
            <v>LTB46BLG.ABMPEVN</v>
          </cell>
          <cell r="F1200">
            <v>0</v>
          </cell>
          <cell r="G1200">
            <v>0</v>
          </cell>
          <cell r="H1200">
            <v>0</v>
          </cell>
          <cell r="I1200">
            <v>14</v>
          </cell>
          <cell r="J1200">
            <v>0</v>
          </cell>
          <cell r="K1200">
            <v>2</v>
          </cell>
          <cell r="L1200">
            <v>0</v>
          </cell>
          <cell r="M1200">
            <v>1</v>
          </cell>
          <cell r="N1200">
            <v>0</v>
          </cell>
          <cell r="O1200">
            <v>0</v>
          </cell>
          <cell r="P1200">
            <v>1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 t="str">
            <v>REFPREMIUM</v>
          </cell>
          <cell r="AH1200" t="str">
            <v>REF_Premium</v>
          </cell>
          <cell r="AI1200" t="str">
            <v/>
          </cell>
          <cell r="AJ1200" t="str">
            <v/>
          </cell>
          <cell r="AK1200" t="str">
            <v>1.102563</v>
          </cell>
          <cell r="AL1200" t="str">
            <v>2</v>
          </cell>
          <cell r="AM1200" t="str">
            <v>Q</v>
          </cell>
          <cell r="AN1200" t="str">
            <v>M0</v>
          </cell>
          <cell r="AO1200" t="str">
            <v>Active(Model)</v>
          </cell>
          <cell r="AP1200" t="str">
            <v/>
          </cell>
          <cell r="AQ1200" t="str">
            <v/>
          </cell>
          <cell r="AR1200" t="str">
            <v>Y</v>
          </cell>
          <cell r="AS1200" t="str">
            <v/>
          </cell>
          <cell r="AT1200" t="str">
            <v>RF</v>
          </cell>
          <cell r="AU1200" t="str">
            <v>Refrigerator</v>
          </cell>
          <cell r="AV1200" t="str">
            <v>RFTM</v>
          </cell>
          <cell r="AW1200" t="str">
            <v>TMNF</v>
          </cell>
          <cell r="AX1200" t="str">
            <v>RFTMTM</v>
          </cell>
          <cell r="AY1200" t="str">
            <v>TMNF</v>
          </cell>
          <cell r="AZ1200" t="str">
            <v>RFTMTMXA</v>
          </cell>
          <cell r="BA1200" t="str">
            <v>X Large REF</v>
          </cell>
        </row>
        <row r="1201">
          <cell r="E1201" t="str">
            <v>LTD31BLM.AEPPEVN</v>
          </cell>
          <cell r="F1201">
            <v>43</v>
          </cell>
          <cell r="G1201">
            <v>0</v>
          </cell>
          <cell r="H1201">
            <v>0</v>
          </cell>
          <cell r="I1201">
            <v>48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20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5</v>
          </cell>
          <cell r="AF1201">
            <v>0</v>
          </cell>
          <cell r="AG1201" t="str">
            <v>REFBASIC</v>
          </cell>
          <cell r="AH1201" t="str">
            <v>REF_Basic</v>
          </cell>
          <cell r="AI1201" t="str">
            <v/>
          </cell>
          <cell r="AJ1201" t="str">
            <v/>
          </cell>
          <cell r="AK1201" t="str">
            <v>0.832004</v>
          </cell>
          <cell r="AL1201" t="str">
            <v>2</v>
          </cell>
          <cell r="AM1201" t="str">
            <v>Q</v>
          </cell>
          <cell r="AN1201" t="str">
            <v>M0</v>
          </cell>
          <cell r="AO1201" t="str">
            <v>Active(Model)</v>
          </cell>
          <cell r="AP1201" t="str">
            <v/>
          </cell>
          <cell r="AQ1201" t="str">
            <v/>
          </cell>
          <cell r="AR1201" t="str">
            <v>Y</v>
          </cell>
          <cell r="AS1201" t="str">
            <v/>
          </cell>
          <cell r="AT1201" t="str">
            <v>RF</v>
          </cell>
          <cell r="AU1201" t="str">
            <v>Refrigerator</v>
          </cell>
          <cell r="AV1201" t="str">
            <v>RFTM</v>
          </cell>
          <cell r="AW1201" t="str">
            <v>TMNF</v>
          </cell>
          <cell r="AX1201" t="str">
            <v>RFTMTM</v>
          </cell>
          <cell r="AY1201" t="str">
            <v>TMNF</v>
          </cell>
          <cell r="AZ1201" t="str">
            <v>RFTMTMMA</v>
          </cell>
          <cell r="BA1201" t="str">
            <v>Medium REF</v>
          </cell>
        </row>
        <row r="1202">
          <cell r="E1202" t="str">
            <v>LTD33BLM.AEPPEVN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5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 t="str">
            <v>REFBASIC</v>
          </cell>
          <cell r="AH1202" t="str">
            <v>REF_Basic</v>
          </cell>
          <cell r="AI1202" t="str">
            <v/>
          </cell>
          <cell r="AJ1202" t="str">
            <v/>
          </cell>
          <cell r="AK1202" t="str">
            <v>0.872636</v>
          </cell>
          <cell r="AL1202" t="str">
            <v>2</v>
          </cell>
          <cell r="AM1202" t="str">
            <v>Q</v>
          </cell>
          <cell r="AN1202" t="str">
            <v>M0</v>
          </cell>
          <cell r="AO1202" t="str">
            <v>Active(Model)</v>
          </cell>
          <cell r="AP1202" t="str">
            <v/>
          </cell>
          <cell r="AQ1202" t="str">
            <v/>
          </cell>
          <cell r="AR1202" t="str">
            <v>Y</v>
          </cell>
          <cell r="AS1202" t="str">
            <v/>
          </cell>
          <cell r="AT1202" t="str">
            <v>RF</v>
          </cell>
          <cell r="AU1202" t="str">
            <v>Refrigerator</v>
          </cell>
          <cell r="AV1202" t="str">
            <v>RFTM</v>
          </cell>
          <cell r="AW1202" t="str">
            <v>TMNF</v>
          </cell>
          <cell r="AX1202" t="str">
            <v>RFTMTM</v>
          </cell>
          <cell r="AY1202" t="str">
            <v>TMNF</v>
          </cell>
          <cell r="AZ1202" t="str">
            <v>RFTMTMMA</v>
          </cell>
          <cell r="BA1202" t="str">
            <v>Medium REF</v>
          </cell>
        </row>
        <row r="1203">
          <cell r="E1203" t="str">
            <v>LTD37BLM.AEPPEVN</v>
          </cell>
          <cell r="F1203">
            <v>209</v>
          </cell>
          <cell r="G1203">
            <v>0</v>
          </cell>
          <cell r="H1203">
            <v>0</v>
          </cell>
          <cell r="I1203">
            <v>227</v>
          </cell>
          <cell r="J1203">
            <v>0</v>
          </cell>
          <cell r="K1203">
            <v>50</v>
          </cell>
          <cell r="L1203">
            <v>0</v>
          </cell>
          <cell r="M1203">
            <v>0</v>
          </cell>
          <cell r="N1203">
            <v>12</v>
          </cell>
          <cell r="O1203">
            <v>107</v>
          </cell>
          <cell r="P1203">
            <v>12</v>
          </cell>
          <cell r="Q1203">
            <v>138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 t="str">
            <v>REFPREMIUM</v>
          </cell>
          <cell r="AH1203" t="str">
            <v>REF_Premium</v>
          </cell>
          <cell r="AI1203" t="str">
            <v/>
          </cell>
          <cell r="AJ1203" t="str">
            <v/>
          </cell>
          <cell r="AK1203" t="str">
            <v>0.963295</v>
          </cell>
          <cell r="AL1203" t="str">
            <v>2</v>
          </cell>
          <cell r="AM1203" t="str">
            <v>Q</v>
          </cell>
          <cell r="AN1203" t="str">
            <v>M0</v>
          </cell>
          <cell r="AO1203" t="str">
            <v>Active(Model)</v>
          </cell>
          <cell r="AP1203" t="str">
            <v/>
          </cell>
          <cell r="AQ1203" t="str">
            <v/>
          </cell>
          <cell r="AR1203" t="str">
            <v>Y</v>
          </cell>
          <cell r="AS1203" t="str">
            <v/>
          </cell>
          <cell r="AT1203" t="str">
            <v>RF</v>
          </cell>
          <cell r="AU1203" t="str">
            <v>Refrigerator</v>
          </cell>
          <cell r="AV1203" t="str">
            <v>RFTM</v>
          </cell>
          <cell r="AW1203" t="str">
            <v>TMNF</v>
          </cell>
          <cell r="AX1203" t="str">
            <v>RFTMTM</v>
          </cell>
          <cell r="AY1203" t="str">
            <v>TMNF</v>
          </cell>
          <cell r="AZ1203" t="str">
            <v>RFTMTMLA</v>
          </cell>
          <cell r="BA1203" t="str">
            <v>Large REF</v>
          </cell>
        </row>
        <row r="1204">
          <cell r="E1204" t="str">
            <v>LTD46BLM.AEPPEVN</v>
          </cell>
          <cell r="F1204">
            <v>28</v>
          </cell>
          <cell r="G1204">
            <v>0</v>
          </cell>
          <cell r="H1204">
            <v>0</v>
          </cell>
          <cell r="I1204">
            <v>42</v>
          </cell>
          <cell r="J1204">
            <v>0</v>
          </cell>
          <cell r="K1204">
            <v>0</v>
          </cell>
          <cell r="L1204">
            <v>0</v>
          </cell>
          <cell r="M1204">
            <v>1</v>
          </cell>
          <cell r="N1204">
            <v>0</v>
          </cell>
          <cell r="O1204">
            <v>1</v>
          </cell>
          <cell r="P1204">
            <v>1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 t="str">
            <v>REFPREMIUM</v>
          </cell>
          <cell r="AH1204" t="str">
            <v>REF_Premium</v>
          </cell>
          <cell r="AI1204" t="str">
            <v/>
          </cell>
          <cell r="AJ1204" t="str">
            <v/>
          </cell>
          <cell r="AK1204" t="str">
            <v>1.102563</v>
          </cell>
          <cell r="AL1204" t="str">
            <v>2</v>
          </cell>
          <cell r="AM1204" t="str">
            <v>Q</v>
          </cell>
          <cell r="AN1204" t="str">
            <v>M0</v>
          </cell>
          <cell r="AO1204" t="str">
            <v>Active(Model)</v>
          </cell>
          <cell r="AP1204" t="str">
            <v/>
          </cell>
          <cell r="AQ1204" t="str">
            <v/>
          </cell>
          <cell r="AR1204" t="str">
            <v>Y</v>
          </cell>
          <cell r="AS1204" t="str">
            <v/>
          </cell>
          <cell r="AT1204" t="str">
            <v>RF</v>
          </cell>
          <cell r="AU1204" t="str">
            <v>Refrigerator</v>
          </cell>
          <cell r="AV1204" t="str">
            <v>RFTM</v>
          </cell>
          <cell r="AW1204" t="str">
            <v>TMNF</v>
          </cell>
          <cell r="AX1204" t="str">
            <v>RFTMTM</v>
          </cell>
          <cell r="AY1204" t="str">
            <v>TMNF</v>
          </cell>
          <cell r="AZ1204" t="str">
            <v>RFTMTMXA</v>
          </cell>
          <cell r="BA1204" t="str">
            <v>X Large REF</v>
          </cell>
        </row>
        <row r="1205">
          <cell r="E1205" t="str">
            <v>LTD46BLMA.AEPPEVN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63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 t="str">
            <v>REFPREMIUM</v>
          </cell>
          <cell r="AH1205" t="str">
            <v>REF_Premium</v>
          </cell>
          <cell r="AI1205" t="str">
            <v/>
          </cell>
          <cell r="AJ1205" t="str">
            <v/>
          </cell>
          <cell r="AK1205" t="str">
            <v>1.102563</v>
          </cell>
          <cell r="AL1205" t="str">
            <v>2</v>
          </cell>
          <cell r="AM1205" t="str">
            <v>Q</v>
          </cell>
          <cell r="AN1205" t="str">
            <v>M0</v>
          </cell>
          <cell r="AO1205" t="str">
            <v>Active(Model)</v>
          </cell>
          <cell r="AP1205" t="str">
            <v/>
          </cell>
          <cell r="AQ1205" t="str">
            <v/>
          </cell>
          <cell r="AR1205" t="str">
            <v>Y</v>
          </cell>
          <cell r="AS1205" t="str">
            <v/>
          </cell>
          <cell r="AT1205" t="str">
            <v>RF</v>
          </cell>
          <cell r="AU1205" t="str">
            <v>Refrigerator</v>
          </cell>
          <cell r="AV1205" t="str">
            <v>RFTM</v>
          </cell>
          <cell r="AW1205" t="str">
            <v>TMNF</v>
          </cell>
          <cell r="AX1205" t="str">
            <v>RFTMTM</v>
          </cell>
          <cell r="AY1205" t="str">
            <v>TMNF</v>
          </cell>
          <cell r="AZ1205" t="str">
            <v>RFTMTMXA</v>
          </cell>
          <cell r="BA1205" t="str">
            <v>X Large REF</v>
          </cell>
        </row>
        <row r="1206">
          <cell r="E1206" t="str">
            <v>LTD46SVMA.APYPEVN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50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 t="str">
            <v>REFPREMIUM</v>
          </cell>
          <cell r="AH1206" t="str">
            <v>REF_Premium</v>
          </cell>
          <cell r="AI1206" t="str">
            <v/>
          </cell>
          <cell r="AJ1206" t="str">
            <v/>
          </cell>
          <cell r="AK1206" t="str">
            <v>1.102563</v>
          </cell>
          <cell r="AL1206" t="str">
            <v>2</v>
          </cell>
          <cell r="AM1206" t="str">
            <v>Q</v>
          </cell>
          <cell r="AN1206" t="str">
            <v>M0</v>
          </cell>
          <cell r="AO1206" t="str">
            <v>Active(Model)</v>
          </cell>
          <cell r="AP1206" t="str">
            <v/>
          </cell>
          <cell r="AQ1206" t="str">
            <v/>
          </cell>
          <cell r="AR1206" t="str">
            <v>Y</v>
          </cell>
          <cell r="AS1206" t="str">
            <v/>
          </cell>
          <cell r="AT1206" t="str">
            <v>RF</v>
          </cell>
          <cell r="AU1206" t="str">
            <v>Refrigerator</v>
          </cell>
          <cell r="AV1206" t="str">
            <v>RFTM</v>
          </cell>
          <cell r="AW1206" t="str">
            <v>TMNF</v>
          </cell>
          <cell r="AX1206" t="str">
            <v>RFTMTM</v>
          </cell>
          <cell r="AY1206" t="str">
            <v>TMNF</v>
          </cell>
          <cell r="AZ1206" t="str">
            <v>RFTMTMXA</v>
          </cell>
          <cell r="BA1206" t="str">
            <v>X Large REF</v>
          </cell>
        </row>
        <row r="1207">
          <cell r="E1207" t="str">
            <v>LZ-H035GBA5.ENWSLEU</v>
          </cell>
          <cell r="F1207">
            <v>1</v>
          </cell>
          <cell r="G1207">
            <v>0</v>
          </cell>
          <cell r="H1207">
            <v>0</v>
          </cell>
          <cell r="I1207">
            <v>1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 t="str">
            <v/>
          </cell>
          <cell r="AH1207" t="str">
            <v/>
          </cell>
          <cell r="AI1207" t="str">
            <v/>
          </cell>
          <cell r="AJ1207" t="str">
            <v/>
          </cell>
          <cell r="AK1207" t="str">
            <v>0.548960</v>
          </cell>
          <cell r="AL1207" t="str">
            <v>0</v>
          </cell>
          <cell r="AM1207" t="str">
            <v>Q</v>
          </cell>
          <cell r="AN1207" t="str">
            <v>M0</v>
          </cell>
          <cell r="AO1207" t="str">
            <v>Active(Model)</v>
          </cell>
          <cell r="AP1207" t="str">
            <v/>
          </cell>
          <cell r="AQ1207" t="str">
            <v/>
          </cell>
          <cell r="AR1207" t="str">
            <v>Y</v>
          </cell>
          <cell r="AS1207" t="str">
            <v/>
          </cell>
          <cell r="AT1207" t="str">
            <v>AC</v>
          </cell>
          <cell r="AU1207" t="str">
            <v>Airconditioner</v>
          </cell>
          <cell r="AV1207" t="str">
            <v>ACVT</v>
          </cell>
          <cell r="AW1207" t="str">
            <v>Ventilation</v>
          </cell>
          <cell r="AX1207" t="str">
            <v>ACVTVT</v>
          </cell>
          <cell r="AY1207" t="str">
            <v>Ventilation</v>
          </cell>
          <cell r="AZ1207" t="str">
            <v>ACVTVTZJ</v>
          </cell>
          <cell r="BA1207" t="str">
            <v>Ventilation</v>
          </cell>
        </row>
        <row r="1208">
          <cell r="E1208" t="str">
            <v>MCAW008CA1C.AAW1S00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 t="str">
            <v/>
          </cell>
          <cell r="AH1208" t="str">
            <v/>
          </cell>
          <cell r="AI1208" t="str">
            <v/>
          </cell>
          <cell r="AJ1208" t="str">
            <v/>
          </cell>
          <cell r="AK1208" t="str">
            <v>0.001711</v>
          </cell>
          <cell r="AL1208" t="str">
            <v>0</v>
          </cell>
          <cell r="AM1208" t="str">
            <v>Q</v>
          </cell>
          <cell r="AN1208" t="str">
            <v>M0</v>
          </cell>
          <cell r="AO1208" t="str">
            <v>Active(Model)</v>
          </cell>
          <cell r="AP1208" t="str">
            <v/>
          </cell>
          <cell r="AQ1208" t="str">
            <v/>
          </cell>
          <cell r="AR1208" t="str">
            <v>Y</v>
          </cell>
          <cell r="AS1208" t="str">
            <v/>
          </cell>
          <cell r="AT1208" t="str">
            <v>AC</v>
          </cell>
          <cell r="AU1208" t="str">
            <v>Airconditioner</v>
          </cell>
          <cell r="AV1208" t="str">
            <v>ACCL</v>
          </cell>
          <cell r="AW1208" t="str">
            <v>Commercial Chiller</v>
          </cell>
          <cell r="AX1208" t="str">
            <v>ACCLCL</v>
          </cell>
          <cell r="AY1208" t="str">
            <v>Commercial Chiller</v>
          </cell>
          <cell r="AZ1208" t="str">
            <v>ACCLCLAS</v>
          </cell>
          <cell r="BA1208" t="str">
            <v>Chiller AC Screw type</v>
          </cell>
        </row>
        <row r="1209">
          <cell r="E1209" t="str">
            <v>MINI.AASALBK</v>
          </cell>
          <cell r="F1209">
            <v>7</v>
          </cell>
          <cell r="G1209">
            <v>0</v>
          </cell>
          <cell r="H1209">
            <v>0</v>
          </cell>
          <cell r="I1209">
            <v>25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1</v>
          </cell>
          <cell r="AD1209">
            <v>0</v>
          </cell>
          <cell r="AE1209">
            <v>0</v>
          </cell>
          <cell r="AF1209">
            <v>1</v>
          </cell>
          <cell r="AG1209" t="str">
            <v/>
          </cell>
          <cell r="AH1209" t="str">
            <v/>
          </cell>
          <cell r="AI1209" t="str">
            <v/>
          </cell>
          <cell r="AJ1209" t="str">
            <v/>
          </cell>
          <cell r="AK1209" t="str">
            <v>0.000793</v>
          </cell>
          <cell r="AL1209" t="str">
            <v>0</v>
          </cell>
          <cell r="AM1209" t="str">
            <v>Q</v>
          </cell>
          <cell r="AN1209" t="str">
            <v>M0</v>
          </cell>
          <cell r="AO1209" t="str">
            <v>Active(Model)</v>
          </cell>
          <cell r="AP1209" t="str">
            <v/>
          </cell>
          <cell r="AQ1209" t="str">
            <v/>
          </cell>
          <cell r="AR1209" t="str">
            <v>Y</v>
          </cell>
          <cell r="AS1209" t="str">
            <v/>
          </cell>
          <cell r="AT1209" t="str">
            <v>AO</v>
          </cell>
          <cell r="AU1209" t="str">
            <v>AO</v>
          </cell>
          <cell r="AV1209" t="str">
            <v>AOAA</v>
          </cell>
          <cell r="AW1209" t="str">
            <v>Home Audio_OS</v>
          </cell>
          <cell r="AX1209" t="str">
            <v>AOAADS</v>
          </cell>
          <cell r="AY1209" t="str">
            <v>Wireless Speaker_OS</v>
          </cell>
          <cell r="AZ1209" t="str">
            <v>AOAADSPS</v>
          </cell>
          <cell r="BA1209" t="str">
            <v>Bluetooth Speaker_OS</v>
          </cell>
        </row>
        <row r="1210">
          <cell r="E1210" t="str">
            <v>MR26GA.ATV</v>
          </cell>
          <cell r="F1210">
            <v>1924</v>
          </cell>
          <cell r="G1210">
            <v>0</v>
          </cell>
          <cell r="H1210">
            <v>0</v>
          </cell>
          <cell r="I1210">
            <v>1924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 t="str">
            <v/>
          </cell>
          <cell r="AH1210" t="str">
            <v/>
          </cell>
          <cell r="AI1210" t="str">
            <v/>
          </cell>
          <cell r="AJ1210" t="str">
            <v/>
          </cell>
          <cell r="AK1210" t="str">
            <v>0.001222</v>
          </cell>
          <cell r="AL1210" t="str">
            <v>2</v>
          </cell>
          <cell r="AM1210" t="str">
            <v>Q</v>
          </cell>
          <cell r="AN1210" t="str">
            <v>M0</v>
          </cell>
          <cell r="AO1210" t="str">
            <v>Active(Model)</v>
          </cell>
          <cell r="AP1210" t="str">
            <v/>
          </cell>
          <cell r="AQ1210" t="str">
            <v/>
          </cell>
          <cell r="AR1210" t="str">
            <v>Y</v>
          </cell>
          <cell r="AS1210" t="str">
            <v/>
          </cell>
          <cell r="AT1210" t="str">
            <v>TV</v>
          </cell>
          <cell r="AU1210" t="str">
            <v>TV</v>
          </cell>
          <cell r="AV1210" t="str">
            <v>TVAC</v>
          </cell>
          <cell r="AW1210" t="str">
            <v>TV Accessory</v>
          </cell>
          <cell r="AX1210" t="str">
            <v>TVACEA</v>
          </cell>
          <cell r="AY1210" t="str">
            <v>TV etc.(Except for PDP TV)</v>
          </cell>
          <cell r="AZ1210" t="str">
            <v>TVACEANN</v>
          </cell>
          <cell r="BA1210" t="str">
            <v>TV etc.(Except for PDP TV)</v>
          </cell>
        </row>
        <row r="1211">
          <cell r="E1211" t="str">
            <v>MR26GC.ATV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 t="str">
            <v/>
          </cell>
          <cell r="AH1211" t="str">
            <v/>
          </cell>
          <cell r="AI1211" t="str">
            <v/>
          </cell>
          <cell r="AJ1211" t="str">
            <v/>
          </cell>
          <cell r="AK1211" t="str">
            <v>0.000000</v>
          </cell>
          <cell r="AL1211" t="str">
            <v>2</v>
          </cell>
          <cell r="AM1211" t="str">
            <v>Q</v>
          </cell>
          <cell r="AN1211" t="str">
            <v>M0</v>
          </cell>
          <cell r="AO1211" t="str">
            <v>Active(Model)</v>
          </cell>
          <cell r="AP1211" t="str">
            <v/>
          </cell>
          <cell r="AQ1211" t="str">
            <v/>
          </cell>
          <cell r="AR1211" t="str">
            <v>Y</v>
          </cell>
          <cell r="AS1211" t="str">
            <v/>
          </cell>
          <cell r="AT1211" t="str">
            <v>TV</v>
          </cell>
          <cell r="AU1211" t="str">
            <v>TV</v>
          </cell>
          <cell r="AV1211" t="str">
            <v>TVAC</v>
          </cell>
          <cell r="AW1211" t="str">
            <v>TV Accessory</v>
          </cell>
          <cell r="AX1211" t="str">
            <v>TVACEA</v>
          </cell>
          <cell r="AY1211" t="str">
            <v>TV etc.(Except for PDP TV)</v>
          </cell>
          <cell r="AZ1211" t="str">
            <v>TVACEANN</v>
          </cell>
          <cell r="BA1211" t="str">
            <v>TV etc.(Except for PDP TV)</v>
          </cell>
        </row>
        <row r="1212">
          <cell r="E1212" t="str">
            <v>MS2032GAS.BBKPLVN</v>
          </cell>
          <cell r="F1212">
            <v>52</v>
          </cell>
          <cell r="G1212">
            <v>0</v>
          </cell>
          <cell r="H1212">
            <v>0</v>
          </cell>
          <cell r="I1212">
            <v>155</v>
          </cell>
          <cell r="J1212">
            <v>6</v>
          </cell>
          <cell r="K1212">
            <v>0</v>
          </cell>
          <cell r="L1212">
            <v>0</v>
          </cell>
          <cell r="M1212">
            <v>2</v>
          </cell>
          <cell r="N1212">
            <v>3</v>
          </cell>
          <cell r="O1212">
            <v>8</v>
          </cell>
          <cell r="P1212">
            <v>5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6</v>
          </cell>
          <cell r="AD1212">
            <v>65</v>
          </cell>
          <cell r="AE1212">
            <v>31</v>
          </cell>
          <cell r="AF1212">
            <v>71</v>
          </cell>
          <cell r="AG1212" t="str">
            <v>MWOPREMIUM</v>
          </cell>
          <cell r="AH1212" t="str">
            <v>MWO_Premium</v>
          </cell>
          <cell r="AI1212" t="str">
            <v/>
          </cell>
          <cell r="AJ1212" t="str">
            <v/>
          </cell>
          <cell r="AK1212" t="str">
            <v>0.060864</v>
          </cell>
          <cell r="AL1212" t="str">
            <v>2</v>
          </cell>
          <cell r="AM1212" t="str">
            <v>Q</v>
          </cell>
          <cell r="AN1212" t="str">
            <v>M0</v>
          </cell>
          <cell r="AO1212" t="str">
            <v>Active(Model)</v>
          </cell>
          <cell r="AP1212" t="str">
            <v/>
          </cell>
          <cell r="AQ1212" t="str">
            <v/>
          </cell>
          <cell r="AR1212" t="str">
            <v>Y</v>
          </cell>
          <cell r="AS1212" t="str">
            <v/>
          </cell>
          <cell r="AT1212" t="str">
            <v>CA</v>
          </cell>
          <cell r="AU1212" t="str">
            <v>Cooking Appliance</v>
          </cell>
          <cell r="AV1212" t="str">
            <v>CAMW</v>
          </cell>
          <cell r="AW1212" t="str">
            <v>MWO</v>
          </cell>
          <cell r="AX1212" t="str">
            <v>CAMWCT</v>
          </cell>
          <cell r="AY1212" t="str">
            <v>C/Top_MWO</v>
          </cell>
          <cell r="AZ1212" t="str">
            <v>CAMWCTSF</v>
          </cell>
          <cell r="BA1212" t="str">
            <v>Solo(C/Top)</v>
          </cell>
        </row>
        <row r="1213">
          <cell r="E1213" t="str">
            <v>MS2032GIK.BSEPLVN</v>
          </cell>
          <cell r="F1213">
            <v>0</v>
          </cell>
          <cell r="G1213">
            <v>0</v>
          </cell>
          <cell r="H1213">
            <v>0</v>
          </cell>
          <cell r="I1213">
            <v>303</v>
          </cell>
          <cell r="J1213">
            <v>1</v>
          </cell>
          <cell r="K1213">
            <v>0</v>
          </cell>
          <cell r="L1213">
            <v>0</v>
          </cell>
          <cell r="M1213">
            <v>1</v>
          </cell>
          <cell r="N1213">
            <v>0</v>
          </cell>
          <cell r="O1213">
            <v>0</v>
          </cell>
          <cell r="P1213">
            <v>1</v>
          </cell>
          <cell r="Q1213">
            <v>300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111</v>
          </cell>
          <cell r="AB1213">
            <v>0</v>
          </cell>
          <cell r="AC1213">
            <v>4</v>
          </cell>
          <cell r="AD1213">
            <v>298</v>
          </cell>
          <cell r="AE1213">
            <v>1</v>
          </cell>
          <cell r="AF1213">
            <v>302</v>
          </cell>
          <cell r="AG1213" t="str">
            <v>MWOPREMIUM</v>
          </cell>
          <cell r="AH1213" t="str">
            <v>MWO_Premium</v>
          </cell>
          <cell r="AI1213" t="str">
            <v/>
          </cell>
          <cell r="AJ1213" t="str">
            <v/>
          </cell>
          <cell r="AK1213" t="str">
            <v>0.060864</v>
          </cell>
          <cell r="AL1213" t="str">
            <v>2</v>
          </cell>
          <cell r="AM1213" t="str">
            <v>Q</v>
          </cell>
          <cell r="AN1213" t="str">
            <v>M0</v>
          </cell>
          <cell r="AO1213" t="str">
            <v>Active(Model)</v>
          </cell>
          <cell r="AP1213" t="str">
            <v/>
          </cell>
          <cell r="AQ1213" t="str">
            <v/>
          </cell>
          <cell r="AR1213" t="str">
            <v>Y</v>
          </cell>
          <cell r="AS1213" t="str">
            <v/>
          </cell>
          <cell r="AT1213" t="str">
            <v>CA</v>
          </cell>
          <cell r="AU1213" t="str">
            <v>Cooking Appliance</v>
          </cell>
          <cell r="AV1213" t="str">
            <v>CAMW</v>
          </cell>
          <cell r="AW1213" t="str">
            <v>MWO</v>
          </cell>
          <cell r="AX1213" t="str">
            <v>CAMWCT</v>
          </cell>
          <cell r="AY1213" t="str">
            <v>C/Top_MWO</v>
          </cell>
          <cell r="AZ1213" t="str">
            <v>CAMWCTSF</v>
          </cell>
          <cell r="BA1213" t="str">
            <v>Solo(C/Top)</v>
          </cell>
        </row>
        <row r="1214">
          <cell r="E1214" t="str">
            <v>MS2535GIK.BSEPLVN</v>
          </cell>
          <cell r="F1214">
            <v>22</v>
          </cell>
          <cell r="G1214">
            <v>0</v>
          </cell>
          <cell r="H1214">
            <v>0</v>
          </cell>
          <cell r="I1214">
            <v>202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200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1</v>
          </cell>
          <cell r="AD1214">
            <v>175</v>
          </cell>
          <cell r="AE1214">
            <v>1</v>
          </cell>
          <cell r="AF1214">
            <v>176</v>
          </cell>
          <cell r="AG1214" t="str">
            <v>MWOPREMIUM</v>
          </cell>
          <cell r="AH1214" t="str">
            <v>MWO_Premium</v>
          </cell>
          <cell r="AI1214" t="str">
            <v/>
          </cell>
          <cell r="AJ1214" t="str">
            <v/>
          </cell>
          <cell r="AK1214" t="str">
            <v>0.066203</v>
          </cell>
          <cell r="AL1214" t="str">
            <v>2</v>
          </cell>
          <cell r="AM1214" t="str">
            <v>Q</v>
          </cell>
          <cell r="AN1214" t="str">
            <v>M0</v>
          </cell>
          <cell r="AO1214" t="str">
            <v>Active(Model)</v>
          </cell>
          <cell r="AP1214" t="str">
            <v/>
          </cell>
          <cell r="AQ1214" t="str">
            <v/>
          </cell>
          <cell r="AR1214" t="str">
            <v>Y</v>
          </cell>
          <cell r="AS1214" t="str">
            <v/>
          </cell>
          <cell r="AT1214" t="str">
            <v>CA</v>
          </cell>
          <cell r="AU1214" t="str">
            <v>Cooking Appliance</v>
          </cell>
          <cell r="AV1214" t="str">
            <v>CAMW</v>
          </cell>
          <cell r="AW1214" t="str">
            <v>MWO</v>
          </cell>
          <cell r="AX1214" t="str">
            <v>CAMWCT</v>
          </cell>
          <cell r="AY1214" t="str">
            <v>C/Top_MWO</v>
          </cell>
          <cell r="AZ1214" t="str">
            <v>CAMWCTSF</v>
          </cell>
          <cell r="BA1214" t="str">
            <v>Solo(C/Top)</v>
          </cell>
        </row>
        <row r="1215">
          <cell r="E1215" t="str">
            <v>MS3032JAS.BBKPLVN</v>
          </cell>
          <cell r="F1215">
            <v>202</v>
          </cell>
          <cell r="G1215">
            <v>0</v>
          </cell>
          <cell r="H1215">
            <v>0</v>
          </cell>
          <cell r="I1215">
            <v>336</v>
          </cell>
          <cell r="J1215">
            <v>1</v>
          </cell>
          <cell r="K1215">
            <v>0</v>
          </cell>
          <cell r="L1215">
            <v>0</v>
          </cell>
          <cell r="M1215">
            <v>2</v>
          </cell>
          <cell r="N1215">
            <v>3</v>
          </cell>
          <cell r="O1215">
            <v>5</v>
          </cell>
          <cell r="P1215">
            <v>5</v>
          </cell>
          <cell r="Q1215">
            <v>300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1</v>
          </cell>
          <cell r="AD1215">
            <v>100</v>
          </cell>
          <cell r="AE1215">
            <v>43</v>
          </cell>
          <cell r="AF1215">
            <v>101</v>
          </cell>
          <cell r="AG1215" t="str">
            <v>MWOPREMIUM</v>
          </cell>
          <cell r="AH1215" t="str">
            <v>MWO_Premium</v>
          </cell>
          <cell r="AI1215" t="str">
            <v/>
          </cell>
          <cell r="AJ1215" t="str">
            <v/>
          </cell>
          <cell r="AK1215" t="str">
            <v>0.091295</v>
          </cell>
          <cell r="AL1215" t="str">
            <v>2</v>
          </cell>
          <cell r="AM1215" t="str">
            <v>Q</v>
          </cell>
          <cell r="AN1215" t="str">
            <v>M0</v>
          </cell>
          <cell r="AO1215" t="str">
            <v>Active(Model)</v>
          </cell>
          <cell r="AP1215" t="str">
            <v/>
          </cell>
          <cell r="AQ1215" t="str">
            <v/>
          </cell>
          <cell r="AR1215" t="str">
            <v>Y</v>
          </cell>
          <cell r="AS1215" t="str">
            <v/>
          </cell>
          <cell r="AT1215" t="str">
            <v>CA</v>
          </cell>
          <cell r="AU1215" t="str">
            <v>Cooking Appliance</v>
          </cell>
          <cell r="AV1215" t="str">
            <v>CAMW</v>
          </cell>
          <cell r="AW1215" t="str">
            <v>MWO</v>
          </cell>
          <cell r="AX1215" t="str">
            <v>CAMWCT</v>
          </cell>
          <cell r="AY1215" t="str">
            <v>C/Top_MWO</v>
          </cell>
          <cell r="AZ1215" t="str">
            <v>CAMWCTSF</v>
          </cell>
          <cell r="BA1215" t="str">
            <v>Solo(C/Top)</v>
          </cell>
        </row>
        <row r="1216">
          <cell r="E1216" t="str">
            <v>OLED48B6PSA.ATV</v>
          </cell>
          <cell r="F1216">
            <v>17</v>
          </cell>
          <cell r="G1216">
            <v>0</v>
          </cell>
          <cell r="H1216">
            <v>0</v>
          </cell>
          <cell r="I1216">
            <v>30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 t="str">
            <v>LCDPREPLUS</v>
          </cell>
          <cell r="AH1216" t="str">
            <v>LCD_Premium Plus</v>
          </cell>
          <cell r="AI1216" t="str">
            <v/>
          </cell>
          <cell r="AJ1216" t="str">
            <v/>
          </cell>
          <cell r="AK1216" t="str">
            <v>0.136484</v>
          </cell>
          <cell r="AL1216" t="str">
            <v>2</v>
          </cell>
          <cell r="AM1216" t="str">
            <v>Q</v>
          </cell>
          <cell r="AN1216" t="str">
            <v>M0</v>
          </cell>
          <cell r="AO1216" t="str">
            <v>Active(Model)</v>
          </cell>
          <cell r="AP1216" t="str">
            <v/>
          </cell>
          <cell r="AQ1216" t="str">
            <v/>
          </cell>
          <cell r="AR1216" t="str">
            <v>Y</v>
          </cell>
          <cell r="AS1216" t="str">
            <v/>
          </cell>
          <cell r="AT1216" t="str">
            <v>TV</v>
          </cell>
          <cell r="AU1216" t="str">
            <v>TV</v>
          </cell>
          <cell r="AV1216" t="str">
            <v>TVLO</v>
          </cell>
          <cell r="AW1216" t="str">
            <v>OLED TV</v>
          </cell>
          <cell r="AX1216" t="str">
            <v>TVLO48</v>
          </cell>
          <cell r="AY1216" t="str">
            <v>OLED TV 48</v>
          </cell>
          <cell r="AZ1216" t="str">
            <v>TVLO48NU</v>
          </cell>
          <cell r="BA1216" t="str">
            <v>OLED TV 48 (UD)</v>
          </cell>
        </row>
        <row r="1217">
          <cell r="E1217" t="str">
            <v>OLED55B6ESA.ATV</v>
          </cell>
          <cell r="F1217">
            <v>56</v>
          </cell>
          <cell r="G1217">
            <v>0</v>
          </cell>
          <cell r="H1217">
            <v>0</v>
          </cell>
          <cell r="I1217">
            <v>56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48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 t="str">
            <v/>
          </cell>
          <cell r="AH1217" t="str">
            <v/>
          </cell>
          <cell r="AI1217" t="str">
            <v/>
          </cell>
          <cell r="AJ1217" t="str">
            <v/>
          </cell>
          <cell r="AK1217" t="str">
            <v>0.189475</v>
          </cell>
          <cell r="AL1217" t="str">
            <v>2</v>
          </cell>
          <cell r="AM1217" t="str">
            <v>Q</v>
          </cell>
          <cell r="AN1217" t="str">
            <v>M0</v>
          </cell>
          <cell r="AO1217" t="str">
            <v>Active(Model)</v>
          </cell>
          <cell r="AP1217" t="str">
            <v/>
          </cell>
          <cell r="AQ1217" t="str">
            <v/>
          </cell>
          <cell r="AR1217" t="str">
            <v>Y</v>
          </cell>
          <cell r="AS1217" t="str">
            <v/>
          </cell>
          <cell r="AT1217" t="str">
            <v>TV</v>
          </cell>
          <cell r="AU1217" t="str">
            <v>TV</v>
          </cell>
          <cell r="AV1217" t="str">
            <v>TVLO</v>
          </cell>
          <cell r="AW1217" t="str">
            <v>OLED TV</v>
          </cell>
          <cell r="AX1217" t="str">
            <v>TVLO55</v>
          </cell>
          <cell r="AY1217" t="str">
            <v>OLED TV 55</v>
          </cell>
          <cell r="AZ1217" t="str">
            <v>TVLO55NU</v>
          </cell>
          <cell r="BA1217" t="str">
            <v>OLED TV 55 (UD)</v>
          </cell>
        </row>
        <row r="1218">
          <cell r="E1218" t="str">
            <v>OLED55B6PSA.ATV</v>
          </cell>
          <cell r="F1218">
            <v>42</v>
          </cell>
          <cell r="G1218">
            <v>0</v>
          </cell>
          <cell r="H1218">
            <v>0</v>
          </cell>
          <cell r="I1218">
            <v>56</v>
          </cell>
          <cell r="J1218">
            <v>16</v>
          </cell>
          <cell r="K1218">
            <v>0</v>
          </cell>
          <cell r="L1218">
            <v>0</v>
          </cell>
          <cell r="M1218">
            <v>0</v>
          </cell>
          <cell r="N1218">
            <v>5</v>
          </cell>
          <cell r="O1218">
            <v>14</v>
          </cell>
          <cell r="P1218">
            <v>5</v>
          </cell>
          <cell r="Q1218">
            <v>56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2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 t="str">
            <v>LCDPREPLUS</v>
          </cell>
          <cell r="AH1218" t="str">
            <v>LCD_Premium Plus</v>
          </cell>
          <cell r="AI1218" t="str">
            <v/>
          </cell>
          <cell r="AJ1218" t="str">
            <v/>
          </cell>
          <cell r="AK1218" t="str">
            <v>0.189475</v>
          </cell>
          <cell r="AL1218" t="str">
            <v>2</v>
          </cell>
          <cell r="AM1218" t="str">
            <v>Q</v>
          </cell>
          <cell r="AN1218" t="str">
            <v>M0</v>
          </cell>
          <cell r="AO1218" t="str">
            <v>Active(Model)</v>
          </cell>
          <cell r="AP1218" t="str">
            <v/>
          </cell>
          <cell r="AQ1218" t="str">
            <v/>
          </cell>
          <cell r="AR1218" t="str">
            <v>Y</v>
          </cell>
          <cell r="AS1218" t="str">
            <v/>
          </cell>
          <cell r="AT1218" t="str">
            <v>TV</v>
          </cell>
          <cell r="AU1218" t="str">
            <v>TV</v>
          </cell>
          <cell r="AV1218" t="str">
            <v>TVLO</v>
          </cell>
          <cell r="AW1218" t="str">
            <v>OLED TV</v>
          </cell>
          <cell r="AX1218" t="str">
            <v>TVLO55</v>
          </cell>
          <cell r="AY1218" t="str">
            <v>OLED TV 55</v>
          </cell>
          <cell r="AZ1218" t="str">
            <v>TVLO55NU</v>
          </cell>
          <cell r="BA1218" t="str">
            <v>OLED TV 55 (UD)</v>
          </cell>
        </row>
        <row r="1219">
          <cell r="E1219" t="str">
            <v>OLED55C6PSA.ATV</v>
          </cell>
          <cell r="F1219">
            <v>7</v>
          </cell>
          <cell r="G1219">
            <v>0</v>
          </cell>
          <cell r="H1219">
            <v>0</v>
          </cell>
          <cell r="I1219">
            <v>41</v>
          </cell>
          <cell r="J1219">
            <v>1</v>
          </cell>
          <cell r="K1219">
            <v>14</v>
          </cell>
          <cell r="L1219">
            <v>0</v>
          </cell>
          <cell r="M1219">
            <v>16</v>
          </cell>
          <cell r="N1219">
            <v>0</v>
          </cell>
          <cell r="O1219">
            <v>7</v>
          </cell>
          <cell r="P1219">
            <v>16</v>
          </cell>
          <cell r="Q1219">
            <v>36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2</v>
          </cell>
          <cell r="AF1219">
            <v>0</v>
          </cell>
          <cell r="AG1219" t="str">
            <v>LCDPREPLUS</v>
          </cell>
          <cell r="AH1219" t="str">
            <v>LCD_Premium Plus</v>
          </cell>
          <cell r="AI1219" t="str">
            <v/>
          </cell>
          <cell r="AJ1219" t="str">
            <v/>
          </cell>
          <cell r="AK1219" t="str">
            <v>0.205999</v>
          </cell>
          <cell r="AL1219" t="str">
            <v>2</v>
          </cell>
          <cell r="AM1219" t="str">
            <v>Q</v>
          </cell>
          <cell r="AN1219" t="str">
            <v>M0</v>
          </cell>
          <cell r="AO1219" t="str">
            <v>Active(Model)</v>
          </cell>
          <cell r="AP1219" t="str">
            <v/>
          </cell>
          <cell r="AQ1219" t="str">
            <v/>
          </cell>
          <cell r="AR1219" t="str">
            <v>Y</v>
          </cell>
          <cell r="AS1219" t="str">
            <v/>
          </cell>
          <cell r="AT1219" t="str">
            <v>TV</v>
          </cell>
          <cell r="AU1219" t="str">
            <v>TV</v>
          </cell>
          <cell r="AV1219" t="str">
            <v>TVLO</v>
          </cell>
          <cell r="AW1219" t="str">
            <v>OLED TV</v>
          </cell>
          <cell r="AX1219" t="str">
            <v>TVLO55</v>
          </cell>
          <cell r="AY1219" t="str">
            <v>OLED TV 55</v>
          </cell>
          <cell r="AZ1219" t="str">
            <v>TVLO55NU</v>
          </cell>
          <cell r="BA1219" t="str">
            <v>OLED TV 55 (UD)</v>
          </cell>
        </row>
        <row r="1220">
          <cell r="E1220" t="str">
            <v>OLED55G6PSA.ATV</v>
          </cell>
          <cell r="F1220">
            <v>7</v>
          </cell>
          <cell r="G1220">
            <v>0</v>
          </cell>
          <cell r="H1220">
            <v>0</v>
          </cell>
          <cell r="I1220">
            <v>11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1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3</v>
          </cell>
          <cell r="AF1220">
            <v>0</v>
          </cell>
          <cell r="AG1220" t="str">
            <v>LCDPREPLUS</v>
          </cell>
          <cell r="AH1220" t="str">
            <v>LCD_Premium Plus</v>
          </cell>
          <cell r="AI1220" t="str">
            <v/>
          </cell>
          <cell r="AJ1220" t="str">
            <v/>
          </cell>
          <cell r="AK1220" t="str">
            <v>0.189475</v>
          </cell>
          <cell r="AL1220" t="str">
            <v>2</v>
          </cell>
          <cell r="AM1220" t="str">
            <v>Q</v>
          </cell>
          <cell r="AN1220" t="str">
            <v>M0</v>
          </cell>
          <cell r="AO1220" t="str">
            <v>Active(Model)</v>
          </cell>
          <cell r="AP1220" t="str">
            <v/>
          </cell>
          <cell r="AQ1220" t="str">
            <v/>
          </cell>
          <cell r="AR1220" t="str">
            <v>Y</v>
          </cell>
          <cell r="AS1220" t="str">
            <v/>
          </cell>
          <cell r="AT1220" t="str">
            <v>TV</v>
          </cell>
          <cell r="AU1220" t="str">
            <v>TV</v>
          </cell>
          <cell r="AV1220" t="str">
            <v>TVLV</v>
          </cell>
          <cell r="AW1220" t="str">
            <v>Premium OLED TV</v>
          </cell>
          <cell r="AX1220" t="str">
            <v>TVLV55</v>
          </cell>
          <cell r="AY1220" t="str">
            <v>Premium OLED TV 55</v>
          </cell>
          <cell r="AZ1220" t="str">
            <v>TVLV55NU</v>
          </cell>
          <cell r="BA1220" t="str">
            <v>Premium OLED TV 55 (UD)</v>
          </cell>
        </row>
        <row r="1221">
          <cell r="E1221" t="str">
            <v>OLED65B6ESA.ATV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 t="str">
            <v/>
          </cell>
          <cell r="AH1221" t="str">
            <v/>
          </cell>
          <cell r="AI1221" t="str">
            <v/>
          </cell>
          <cell r="AJ1221" t="str">
            <v/>
          </cell>
          <cell r="AK1221" t="str">
            <v>0.261440</v>
          </cell>
          <cell r="AL1221" t="str">
            <v>2</v>
          </cell>
          <cell r="AM1221" t="str">
            <v>Q</v>
          </cell>
          <cell r="AN1221" t="str">
            <v>M0</v>
          </cell>
          <cell r="AO1221" t="str">
            <v>Active(Model)</v>
          </cell>
          <cell r="AP1221" t="str">
            <v/>
          </cell>
          <cell r="AQ1221" t="str">
            <v/>
          </cell>
          <cell r="AR1221" t="str">
            <v>Y</v>
          </cell>
          <cell r="AS1221" t="str">
            <v/>
          </cell>
          <cell r="AT1221" t="str">
            <v>TV</v>
          </cell>
          <cell r="AU1221" t="str">
            <v>TV</v>
          </cell>
          <cell r="AV1221" t="str">
            <v>TVLO</v>
          </cell>
          <cell r="AW1221" t="str">
            <v>OLED TV</v>
          </cell>
          <cell r="AX1221" t="str">
            <v>TVLO65</v>
          </cell>
          <cell r="AY1221" t="str">
            <v>OLED TV 65</v>
          </cell>
          <cell r="AZ1221" t="str">
            <v>TVLO65NU</v>
          </cell>
          <cell r="BA1221" t="str">
            <v>OLED TV 65 (UD)</v>
          </cell>
        </row>
        <row r="1222">
          <cell r="E1222" t="str">
            <v>OLED65B6PSA.ATV</v>
          </cell>
          <cell r="F1222">
            <v>0</v>
          </cell>
          <cell r="G1222">
            <v>0</v>
          </cell>
          <cell r="H1222">
            <v>0</v>
          </cell>
          <cell r="I1222">
            <v>17</v>
          </cell>
          <cell r="J1222">
            <v>4</v>
          </cell>
          <cell r="K1222">
            <v>10</v>
          </cell>
          <cell r="L1222">
            <v>0</v>
          </cell>
          <cell r="M1222">
            <v>0</v>
          </cell>
          <cell r="N1222">
            <v>6</v>
          </cell>
          <cell r="O1222">
            <v>15</v>
          </cell>
          <cell r="P1222">
            <v>6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 t="str">
            <v>LCDPREPLUS</v>
          </cell>
          <cell r="AH1222" t="str">
            <v>LCD_Premium Plus</v>
          </cell>
          <cell r="AI1222" t="str">
            <v/>
          </cell>
          <cell r="AJ1222" t="str">
            <v/>
          </cell>
          <cell r="AK1222" t="str">
            <v>0.261440</v>
          </cell>
          <cell r="AL1222" t="str">
            <v>2</v>
          </cell>
          <cell r="AM1222" t="str">
            <v>Q</v>
          </cell>
          <cell r="AN1222" t="str">
            <v>M0</v>
          </cell>
          <cell r="AO1222" t="str">
            <v>Active(Model)</v>
          </cell>
          <cell r="AP1222" t="str">
            <v/>
          </cell>
          <cell r="AQ1222" t="str">
            <v/>
          </cell>
          <cell r="AR1222" t="str">
            <v>Y</v>
          </cell>
          <cell r="AS1222" t="str">
            <v/>
          </cell>
          <cell r="AT1222" t="str">
            <v>TV</v>
          </cell>
          <cell r="AU1222" t="str">
            <v>TV</v>
          </cell>
          <cell r="AV1222" t="str">
            <v>TVLO</v>
          </cell>
          <cell r="AW1222" t="str">
            <v>OLED TV</v>
          </cell>
          <cell r="AX1222" t="str">
            <v>TVLO65</v>
          </cell>
          <cell r="AY1222" t="str">
            <v>OLED TV 65</v>
          </cell>
          <cell r="AZ1222" t="str">
            <v>TVLO65NU</v>
          </cell>
          <cell r="BA1222" t="str">
            <v>OLED TV 65 (UD)</v>
          </cell>
        </row>
        <row r="1223">
          <cell r="E1223" t="str">
            <v>OLED65C6PSA.ATV</v>
          </cell>
          <cell r="F1223">
            <v>29</v>
          </cell>
          <cell r="G1223">
            <v>0</v>
          </cell>
          <cell r="H1223">
            <v>0</v>
          </cell>
          <cell r="I1223">
            <v>77</v>
          </cell>
          <cell r="J1223">
            <v>0</v>
          </cell>
          <cell r="K1223">
            <v>0</v>
          </cell>
          <cell r="L1223">
            <v>10</v>
          </cell>
          <cell r="M1223">
            <v>20</v>
          </cell>
          <cell r="N1223">
            <v>0</v>
          </cell>
          <cell r="O1223">
            <v>13</v>
          </cell>
          <cell r="P1223">
            <v>20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 t="str">
            <v>LCDPREPLUS</v>
          </cell>
          <cell r="AH1223" t="str">
            <v>LCD_Premium Plus</v>
          </cell>
          <cell r="AI1223" t="str">
            <v/>
          </cell>
          <cell r="AJ1223" t="str">
            <v/>
          </cell>
          <cell r="AK1223" t="str">
            <v>0.304000</v>
          </cell>
          <cell r="AL1223" t="str">
            <v>2</v>
          </cell>
          <cell r="AM1223" t="str">
            <v>Q</v>
          </cell>
          <cell r="AN1223" t="str">
            <v>M0</v>
          </cell>
          <cell r="AO1223" t="str">
            <v>Active(Model)</v>
          </cell>
          <cell r="AP1223" t="str">
            <v/>
          </cell>
          <cell r="AQ1223" t="str">
            <v/>
          </cell>
          <cell r="AR1223" t="str">
            <v>Y</v>
          </cell>
          <cell r="AS1223" t="str">
            <v/>
          </cell>
          <cell r="AT1223" t="str">
            <v>TV</v>
          </cell>
          <cell r="AU1223" t="str">
            <v>TV</v>
          </cell>
          <cell r="AV1223" t="str">
            <v>TVLO</v>
          </cell>
          <cell r="AW1223" t="str">
            <v>OLED TV</v>
          </cell>
          <cell r="AX1223" t="str">
            <v>TVLO65</v>
          </cell>
          <cell r="AY1223" t="str">
            <v>OLED TV 65</v>
          </cell>
          <cell r="AZ1223" t="str">
            <v>TVLO65NU</v>
          </cell>
          <cell r="BA1223" t="str">
            <v>OLED TV 65 (UD)</v>
          </cell>
        </row>
        <row r="1224">
          <cell r="E1224" t="str">
            <v>OLED65G6PSA.ATV</v>
          </cell>
          <cell r="F1224">
            <v>24</v>
          </cell>
          <cell r="G1224">
            <v>0</v>
          </cell>
          <cell r="H1224">
            <v>0</v>
          </cell>
          <cell r="I1224">
            <v>28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4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7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3</v>
          </cell>
          <cell r="AF1224">
            <v>0</v>
          </cell>
          <cell r="AG1224" t="str">
            <v>LCDPREPLUS</v>
          </cell>
          <cell r="AH1224" t="str">
            <v>LCD_Premium Plus</v>
          </cell>
          <cell r="AI1224" t="str">
            <v/>
          </cell>
          <cell r="AJ1224" t="str">
            <v/>
          </cell>
          <cell r="AK1224" t="str">
            <v>0.266944</v>
          </cell>
          <cell r="AL1224" t="str">
            <v>2</v>
          </cell>
          <cell r="AM1224" t="str">
            <v>Q</v>
          </cell>
          <cell r="AN1224" t="str">
            <v>M0</v>
          </cell>
          <cell r="AO1224" t="str">
            <v>Active(Model)</v>
          </cell>
          <cell r="AP1224" t="str">
            <v/>
          </cell>
          <cell r="AQ1224" t="str">
            <v/>
          </cell>
          <cell r="AR1224" t="str">
            <v>Y</v>
          </cell>
          <cell r="AS1224" t="str">
            <v/>
          </cell>
          <cell r="AT1224" t="str">
            <v>TV</v>
          </cell>
          <cell r="AU1224" t="str">
            <v>TV</v>
          </cell>
          <cell r="AV1224" t="str">
            <v>TVLV</v>
          </cell>
          <cell r="AW1224" t="str">
            <v>Premium OLED TV</v>
          </cell>
          <cell r="AX1224" t="str">
            <v>TVLV65</v>
          </cell>
          <cell r="AY1224" t="str">
            <v>Premium OLED TV 65</v>
          </cell>
          <cell r="AZ1224" t="str">
            <v>TVLV65NU</v>
          </cell>
          <cell r="BA1224" t="str">
            <v>Premium OLED TV 65 (UD)</v>
          </cell>
        </row>
        <row r="1225">
          <cell r="E1225" t="str">
            <v>OLED77B6PSA.ATV</v>
          </cell>
          <cell r="F1225">
            <v>3</v>
          </cell>
          <cell r="G1225">
            <v>0</v>
          </cell>
          <cell r="H1225">
            <v>0</v>
          </cell>
          <cell r="I1225">
            <v>18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 t="str">
            <v>LCDPREPLUS</v>
          </cell>
          <cell r="AH1225" t="str">
            <v>LCD_Premium Plus</v>
          </cell>
          <cell r="AI1225" t="str">
            <v/>
          </cell>
          <cell r="AJ1225" t="str">
            <v/>
          </cell>
          <cell r="AK1225" t="str">
            <v>0.415614</v>
          </cell>
          <cell r="AL1225" t="str">
            <v>2</v>
          </cell>
          <cell r="AM1225" t="str">
            <v>Q</v>
          </cell>
          <cell r="AN1225" t="str">
            <v>M0</v>
          </cell>
          <cell r="AO1225" t="str">
            <v>Active(Model)</v>
          </cell>
          <cell r="AP1225" t="str">
            <v/>
          </cell>
          <cell r="AQ1225" t="str">
            <v/>
          </cell>
          <cell r="AR1225" t="str">
            <v>Y</v>
          </cell>
          <cell r="AS1225" t="str">
            <v/>
          </cell>
          <cell r="AT1225" t="str">
            <v>TV</v>
          </cell>
          <cell r="AU1225" t="str">
            <v>TV</v>
          </cell>
          <cell r="AV1225" t="str">
            <v>TVLO</v>
          </cell>
          <cell r="AW1225" t="str">
            <v>OLED TV</v>
          </cell>
          <cell r="AX1225" t="str">
            <v>TVLO77</v>
          </cell>
          <cell r="AY1225" t="str">
            <v>OLED TV 77</v>
          </cell>
          <cell r="AZ1225" t="str">
            <v>TVLO77NU</v>
          </cell>
          <cell r="BA1225" t="str">
            <v>OLED TV 77 (UD)</v>
          </cell>
        </row>
        <row r="1226">
          <cell r="E1226" t="str">
            <v>OLED77C6PSA.ATV</v>
          </cell>
          <cell r="F1226">
            <v>49</v>
          </cell>
          <cell r="G1226">
            <v>0</v>
          </cell>
          <cell r="H1226">
            <v>0</v>
          </cell>
          <cell r="I1226">
            <v>66</v>
          </cell>
          <cell r="J1226">
            <v>0</v>
          </cell>
          <cell r="K1226">
            <v>0</v>
          </cell>
          <cell r="L1226">
            <v>0</v>
          </cell>
          <cell r="M1226">
            <v>6</v>
          </cell>
          <cell r="N1226">
            <v>0</v>
          </cell>
          <cell r="O1226">
            <v>1</v>
          </cell>
          <cell r="P1226">
            <v>6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2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 t="str">
            <v>LCDPREPLUS</v>
          </cell>
          <cell r="AH1226" t="str">
            <v>LCD_Premium Plus</v>
          </cell>
          <cell r="AI1226" t="str">
            <v/>
          </cell>
          <cell r="AJ1226" t="str">
            <v/>
          </cell>
          <cell r="AK1226" t="str">
            <v>0.484106</v>
          </cell>
          <cell r="AL1226" t="str">
            <v>2</v>
          </cell>
          <cell r="AM1226" t="str">
            <v>Q</v>
          </cell>
          <cell r="AN1226" t="str">
            <v>M0</v>
          </cell>
          <cell r="AO1226" t="str">
            <v>Active(Model)</v>
          </cell>
          <cell r="AP1226" t="str">
            <v/>
          </cell>
          <cell r="AQ1226" t="str">
            <v/>
          </cell>
          <cell r="AR1226" t="str">
            <v>Y</v>
          </cell>
          <cell r="AS1226" t="str">
            <v/>
          </cell>
          <cell r="AT1226" t="str">
            <v>TV</v>
          </cell>
          <cell r="AU1226" t="str">
            <v>TV</v>
          </cell>
          <cell r="AV1226" t="str">
            <v>TVLO</v>
          </cell>
          <cell r="AW1226" t="str">
            <v>OLED TV</v>
          </cell>
          <cell r="AX1226" t="str">
            <v>TVLO77</v>
          </cell>
          <cell r="AY1226" t="str">
            <v>OLED TV 77</v>
          </cell>
          <cell r="AZ1226" t="str">
            <v>TVLO77NU</v>
          </cell>
          <cell r="BA1226" t="str">
            <v>OLED TV 77 (UD)</v>
          </cell>
        </row>
        <row r="1227">
          <cell r="E1227" t="str">
            <v>OLED77G6PSA.ATV</v>
          </cell>
          <cell r="F1227">
            <v>11</v>
          </cell>
          <cell r="G1227">
            <v>0</v>
          </cell>
          <cell r="H1227">
            <v>0</v>
          </cell>
          <cell r="I1227">
            <v>13</v>
          </cell>
          <cell r="J1227">
            <v>0</v>
          </cell>
          <cell r="K1227">
            <v>0</v>
          </cell>
          <cell r="L1227">
            <v>0</v>
          </cell>
          <cell r="M1227">
            <v>1</v>
          </cell>
          <cell r="N1227">
            <v>0</v>
          </cell>
          <cell r="O1227">
            <v>0</v>
          </cell>
          <cell r="P1227">
            <v>1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1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 t="str">
            <v>LCDPREPLUS</v>
          </cell>
          <cell r="AH1227" t="str">
            <v>LCD_Premium Plus</v>
          </cell>
          <cell r="AI1227" t="str">
            <v/>
          </cell>
          <cell r="AJ1227" t="str">
            <v/>
          </cell>
          <cell r="AK1227" t="str">
            <v>0.484106</v>
          </cell>
          <cell r="AL1227" t="str">
            <v>2</v>
          </cell>
          <cell r="AM1227" t="str">
            <v>Q</v>
          </cell>
          <cell r="AN1227" t="str">
            <v>M0</v>
          </cell>
          <cell r="AO1227" t="str">
            <v>Active(Model)</v>
          </cell>
          <cell r="AP1227" t="str">
            <v/>
          </cell>
          <cell r="AQ1227" t="str">
            <v/>
          </cell>
          <cell r="AR1227" t="str">
            <v>Y</v>
          </cell>
          <cell r="AS1227" t="str">
            <v/>
          </cell>
          <cell r="AT1227" t="str">
            <v>TV</v>
          </cell>
          <cell r="AU1227" t="str">
            <v>TV</v>
          </cell>
          <cell r="AV1227" t="str">
            <v>TVLV</v>
          </cell>
          <cell r="AW1227" t="str">
            <v>Premium OLED TV</v>
          </cell>
          <cell r="AX1227" t="str">
            <v>TVLV77</v>
          </cell>
          <cell r="AY1227" t="str">
            <v>Premium OLED TV 77</v>
          </cell>
          <cell r="AZ1227" t="str">
            <v>TVLV77NU</v>
          </cell>
          <cell r="BA1227" t="str">
            <v>Premium OLED TV 77 (UD)</v>
          </cell>
        </row>
        <row r="1228">
          <cell r="E1228" t="str">
            <v>OLED83C6PSA.ATV</v>
          </cell>
          <cell r="F1228">
            <v>24</v>
          </cell>
          <cell r="G1228">
            <v>0</v>
          </cell>
          <cell r="H1228">
            <v>0</v>
          </cell>
          <cell r="I1228">
            <v>27</v>
          </cell>
          <cell r="J1228">
            <v>0</v>
          </cell>
          <cell r="K1228">
            <v>0</v>
          </cell>
          <cell r="L1228">
            <v>0</v>
          </cell>
          <cell r="M1228">
            <v>1</v>
          </cell>
          <cell r="N1228">
            <v>0</v>
          </cell>
          <cell r="O1228">
            <v>0</v>
          </cell>
          <cell r="P1228">
            <v>1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4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 t="str">
            <v>LCDPREPLUS</v>
          </cell>
          <cell r="AH1228" t="str">
            <v>LCD_Premium Plus</v>
          </cell>
          <cell r="AI1228" t="str">
            <v/>
          </cell>
          <cell r="AJ1228" t="str">
            <v/>
          </cell>
          <cell r="AK1228" t="str">
            <v>0.492000</v>
          </cell>
          <cell r="AL1228" t="str">
            <v>2</v>
          </cell>
          <cell r="AM1228" t="str">
            <v>Q</v>
          </cell>
          <cell r="AN1228" t="str">
            <v>M0</v>
          </cell>
          <cell r="AO1228" t="str">
            <v>Active(Model)</v>
          </cell>
          <cell r="AP1228" t="str">
            <v/>
          </cell>
          <cell r="AQ1228" t="str">
            <v/>
          </cell>
          <cell r="AR1228" t="str">
            <v>Y</v>
          </cell>
          <cell r="AS1228" t="str">
            <v/>
          </cell>
          <cell r="AT1228" t="str">
            <v>TV</v>
          </cell>
          <cell r="AU1228" t="str">
            <v>TV</v>
          </cell>
          <cell r="AV1228" t="str">
            <v>TVLO</v>
          </cell>
          <cell r="AW1228" t="str">
            <v>OLED TV</v>
          </cell>
          <cell r="AX1228" t="str">
            <v>TVLO83</v>
          </cell>
          <cell r="AY1228" t="str">
            <v>OLED TV 83</v>
          </cell>
          <cell r="AZ1228" t="str">
            <v>TVLO83NU</v>
          </cell>
          <cell r="BA1228" t="str">
            <v>OLED TV 83 (UD)</v>
          </cell>
        </row>
        <row r="1229">
          <cell r="E1229" t="str">
            <v>OLED83W6PSA.ATV</v>
          </cell>
          <cell r="F1229">
            <v>0</v>
          </cell>
          <cell r="G1229">
            <v>0</v>
          </cell>
          <cell r="H1229">
            <v>0</v>
          </cell>
          <cell r="I1229">
            <v>1</v>
          </cell>
          <cell r="J1229">
            <v>0</v>
          </cell>
          <cell r="K1229">
            <v>1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1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 t="str">
            <v>LCDPREPLUS</v>
          </cell>
          <cell r="AH1229" t="str">
            <v>LCD_Premium Plus</v>
          </cell>
          <cell r="AI1229" t="str">
            <v/>
          </cell>
          <cell r="AJ1229" t="str">
            <v/>
          </cell>
          <cell r="AK1229" t="str">
            <v>0.467103</v>
          </cell>
          <cell r="AL1229" t="str">
            <v>2</v>
          </cell>
          <cell r="AM1229" t="str">
            <v>Q</v>
          </cell>
          <cell r="AN1229" t="str">
            <v>M0</v>
          </cell>
          <cell r="AO1229" t="str">
            <v>Active(Model)</v>
          </cell>
          <cell r="AP1229" t="str">
            <v/>
          </cell>
          <cell r="AQ1229" t="str">
            <v/>
          </cell>
          <cell r="AR1229" t="str">
            <v>Y</v>
          </cell>
          <cell r="AS1229" t="str">
            <v/>
          </cell>
          <cell r="AT1229" t="str">
            <v>TV</v>
          </cell>
          <cell r="AU1229" t="str">
            <v>TV</v>
          </cell>
          <cell r="AV1229" t="str">
            <v>TVLV</v>
          </cell>
          <cell r="AW1229" t="str">
            <v>Premium OLED TV</v>
          </cell>
          <cell r="AX1229" t="str">
            <v>TVLV83</v>
          </cell>
          <cell r="AY1229" t="str">
            <v>Premium OLED TV 83</v>
          </cell>
          <cell r="AZ1229" t="str">
            <v>TVLV83NU</v>
          </cell>
          <cell r="BA1229" t="str">
            <v>Premium OLED TV 83 (UD)</v>
          </cell>
        </row>
        <row r="1230">
          <cell r="E1230" t="str">
            <v>OLED97G6PSA.ATV</v>
          </cell>
          <cell r="F1230">
            <v>2</v>
          </cell>
          <cell r="G1230">
            <v>0</v>
          </cell>
          <cell r="H1230">
            <v>0</v>
          </cell>
          <cell r="I1230">
            <v>3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 t="str">
            <v>LCDPREPLUS</v>
          </cell>
          <cell r="AH1230" t="str">
            <v>LCD_Premium Plus</v>
          </cell>
          <cell r="AI1230" t="str">
            <v/>
          </cell>
          <cell r="AJ1230" t="str">
            <v/>
          </cell>
          <cell r="AK1230" t="str">
            <v>1.212181</v>
          </cell>
          <cell r="AL1230" t="str">
            <v>2</v>
          </cell>
          <cell r="AM1230" t="str">
            <v>Q</v>
          </cell>
          <cell r="AN1230" t="str">
            <v>M0</v>
          </cell>
          <cell r="AO1230" t="str">
            <v>Active(Model)</v>
          </cell>
          <cell r="AP1230" t="str">
            <v/>
          </cell>
          <cell r="AQ1230" t="str">
            <v/>
          </cell>
          <cell r="AR1230" t="str">
            <v>Y</v>
          </cell>
          <cell r="AS1230" t="str">
            <v/>
          </cell>
          <cell r="AT1230" t="str">
            <v>TV</v>
          </cell>
          <cell r="AU1230" t="str">
            <v>TV</v>
          </cell>
          <cell r="AV1230" t="str">
            <v>TVLV</v>
          </cell>
          <cell r="AW1230" t="str">
            <v>Premium OLED TV</v>
          </cell>
          <cell r="AX1230" t="str">
            <v>TVLV97</v>
          </cell>
          <cell r="AY1230" t="str">
            <v>Premium OLED TV 97</v>
          </cell>
          <cell r="AZ1230" t="str">
            <v>TVLV97NU</v>
          </cell>
          <cell r="BA1230" t="str">
            <v>Premium OLED TV 97 (UD)</v>
          </cell>
        </row>
        <row r="1231">
          <cell r="E1231" t="str">
            <v>PACEZA000.ENCXLEU</v>
          </cell>
          <cell r="F1231">
            <v>0</v>
          </cell>
          <cell r="G1231">
            <v>0</v>
          </cell>
          <cell r="H1231">
            <v>0</v>
          </cell>
          <cell r="I1231">
            <v>1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 t="str">
            <v>CAC</v>
          </cell>
          <cell r="AH1231" t="str">
            <v>CAC</v>
          </cell>
          <cell r="AI1231" t="str">
            <v/>
          </cell>
          <cell r="AJ1231" t="str">
            <v/>
          </cell>
          <cell r="AK1231" t="str">
            <v>0.010130</v>
          </cell>
          <cell r="AL1231" t="str">
            <v>2</v>
          </cell>
          <cell r="AM1231" t="str">
            <v>Q</v>
          </cell>
          <cell r="AN1231" t="str">
            <v>M0</v>
          </cell>
          <cell r="AO1231" t="str">
            <v>Active(Model)</v>
          </cell>
          <cell r="AP1231" t="str">
            <v/>
          </cell>
          <cell r="AQ1231" t="str">
            <v/>
          </cell>
          <cell r="AR1231" t="str">
            <v>Y</v>
          </cell>
          <cell r="AS1231" t="str">
            <v/>
          </cell>
          <cell r="AT1231" t="str">
            <v>AC</v>
          </cell>
          <cell r="AU1231" t="str">
            <v>Airconditioner</v>
          </cell>
          <cell r="AV1231" t="str">
            <v>ACCS</v>
          </cell>
          <cell r="AW1231" t="str">
            <v>Control Solution</v>
          </cell>
          <cell r="AX1231" t="str">
            <v>ACCSCC</v>
          </cell>
          <cell r="AY1231" t="str">
            <v>Centrol Controller</v>
          </cell>
          <cell r="AZ1231" t="str">
            <v>ACCSCCEZ</v>
          </cell>
          <cell r="BA1231" t="str">
            <v>ACS_AC EZ</v>
          </cell>
        </row>
        <row r="1232">
          <cell r="E1232" t="str">
            <v>PACP5A000.ENCXLEU</v>
          </cell>
          <cell r="F1232">
            <v>3</v>
          </cell>
          <cell r="G1232">
            <v>0</v>
          </cell>
          <cell r="H1232">
            <v>0</v>
          </cell>
          <cell r="I1232">
            <v>3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 t="str">
            <v>CAC</v>
          </cell>
          <cell r="AH1232" t="str">
            <v>CAC</v>
          </cell>
          <cell r="AI1232" t="str">
            <v/>
          </cell>
          <cell r="AJ1232" t="str">
            <v/>
          </cell>
          <cell r="AK1232" t="str">
            <v>0.014625</v>
          </cell>
          <cell r="AL1232" t="str">
            <v>2</v>
          </cell>
          <cell r="AM1232" t="str">
            <v>Q</v>
          </cell>
          <cell r="AN1232" t="str">
            <v>M0</v>
          </cell>
          <cell r="AO1232" t="str">
            <v>Active(Model)</v>
          </cell>
          <cell r="AP1232" t="str">
            <v/>
          </cell>
          <cell r="AQ1232" t="str">
            <v/>
          </cell>
          <cell r="AR1232" t="str">
            <v>Y</v>
          </cell>
          <cell r="AS1232" t="str">
            <v/>
          </cell>
          <cell r="AT1232" t="str">
            <v>AC</v>
          </cell>
          <cell r="AU1232" t="str">
            <v>Airconditioner</v>
          </cell>
          <cell r="AV1232" t="str">
            <v>ACCS</v>
          </cell>
          <cell r="AW1232" t="str">
            <v>Control Solution</v>
          </cell>
          <cell r="AX1232" t="str">
            <v>ACCSCC</v>
          </cell>
          <cell r="AY1232" t="str">
            <v>Centrol Controller</v>
          </cell>
          <cell r="AZ1232" t="str">
            <v>ACCSCCCP</v>
          </cell>
          <cell r="BA1232" t="str">
            <v>Cassette_Part 3</v>
          </cell>
        </row>
        <row r="1233">
          <cell r="E1233" t="str">
            <v>PACS5A000.ENCXLEU</v>
          </cell>
          <cell r="F1233">
            <v>4</v>
          </cell>
          <cell r="G1233">
            <v>0</v>
          </cell>
          <cell r="H1233">
            <v>0</v>
          </cell>
          <cell r="I1233">
            <v>6</v>
          </cell>
          <cell r="J1233">
            <v>0</v>
          </cell>
          <cell r="K1233">
            <v>0</v>
          </cell>
          <cell r="L1233">
            <v>1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 t="str">
            <v>CAC</v>
          </cell>
          <cell r="AH1233" t="str">
            <v>CAC</v>
          </cell>
          <cell r="AI1233" t="str">
            <v/>
          </cell>
          <cell r="AJ1233" t="str">
            <v/>
          </cell>
          <cell r="AK1233" t="str">
            <v>0.006912</v>
          </cell>
          <cell r="AL1233" t="str">
            <v>2</v>
          </cell>
          <cell r="AM1233" t="str">
            <v>Q</v>
          </cell>
          <cell r="AN1233" t="str">
            <v>M0</v>
          </cell>
          <cell r="AO1233" t="str">
            <v>Active(Model)</v>
          </cell>
          <cell r="AP1233" t="str">
            <v/>
          </cell>
          <cell r="AQ1233" t="str">
            <v/>
          </cell>
          <cell r="AR1233" t="str">
            <v>Y</v>
          </cell>
          <cell r="AS1233" t="str">
            <v/>
          </cell>
          <cell r="AT1233" t="str">
            <v>AC</v>
          </cell>
          <cell r="AU1233" t="str">
            <v>Airconditioner</v>
          </cell>
          <cell r="AV1233" t="str">
            <v>ACCS</v>
          </cell>
          <cell r="AW1233" t="str">
            <v>Control Solution</v>
          </cell>
          <cell r="AX1233" t="str">
            <v>ACCSCC</v>
          </cell>
          <cell r="AY1233" t="str">
            <v>Centrol Controller</v>
          </cell>
          <cell r="AZ1233" t="str">
            <v>ACCSCCCM</v>
          </cell>
          <cell r="BA1233" t="str">
            <v>ACS_AC MANAGER</v>
          </cell>
        </row>
        <row r="1234">
          <cell r="E1234" t="str">
            <v>PAHCMR000.ENCSLEU</v>
          </cell>
          <cell r="F1234">
            <v>4</v>
          </cell>
          <cell r="G1234">
            <v>0</v>
          </cell>
          <cell r="H1234">
            <v>0</v>
          </cell>
          <cell r="I1234">
            <v>4</v>
          </cell>
          <cell r="J1234">
            <v>0</v>
          </cell>
          <cell r="K1234">
            <v>4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 t="str">
            <v/>
          </cell>
          <cell r="AH1234" t="str">
            <v/>
          </cell>
          <cell r="AI1234" t="str">
            <v/>
          </cell>
          <cell r="AJ1234" t="str">
            <v/>
          </cell>
          <cell r="AK1234" t="str">
            <v>0.026180</v>
          </cell>
          <cell r="AL1234" t="str">
            <v>0</v>
          </cell>
          <cell r="AM1234" t="str">
            <v>Q</v>
          </cell>
          <cell r="AN1234" t="str">
            <v>M0</v>
          </cell>
          <cell r="AO1234" t="str">
            <v>Active(Model)</v>
          </cell>
          <cell r="AP1234" t="str">
            <v/>
          </cell>
          <cell r="AQ1234" t="str">
            <v/>
          </cell>
          <cell r="AR1234" t="str">
            <v>Y</v>
          </cell>
          <cell r="AS1234" t="str">
            <v/>
          </cell>
          <cell r="AT1234" t="str">
            <v>AC</v>
          </cell>
          <cell r="AU1234" t="str">
            <v>Airconditioner</v>
          </cell>
          <cell r="AV1234" t="str">
            <v>ACCS</v>
          </cell>
          <cell r="AW1234" t="str">
            <v>Control Solution</v>
          </cell>
          <cell r="AX1234" t="str">
            <v>ACCSAH</v>
          </cell>
          <cell r="AY1234" t="str">
            <v>Air Handling Unit 3</v>
          </cell>
          <cell r="AZ1234" t="str">
            <v>ACCSAHAR</v>
          </cell>
          <cell r="BA1234" t="str">
            <v>AHU Controller 3</v>
          </cell>
        </row>
        <row r="1235">
          <cell r="E1235" t="str">
            <v>PAHCMS000.ENCSLEU</v>
          </cell>
          <cell r="F1235">
            <v>1</v>
          </cell>
          <cell r="G1235">
            <v>0</v>
          </cell>
          <cell r="H1235">
            <v>0</v>
          </cell>
          <cell r="I1235">
            <v>1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 t="str">
            <v/>
          </cell>
          <cell r="AH1235" t="str">
            <v/>
          </cell>
          <cell r="AI1235" t="str">
            <v/>
          </cell>
          <cell r="AJ1235" t="str">
            <v/>
          </cell>
          <cell r="AK1235" t="str">
            <v>0.032064</v>
          </cell>
          <cell r="AL1235" t="str">
            <v>0</v>
          </cell>
          <cell r="AM1235" t="str">
            <v>Q</v>
          </cell>
          <cell r="AN1235" t="str">
            <v>M0</v>
          </cell>
          <cell r="AO1235" t="str">
            <v>Active(Model)</v>
          </cell>
          <cell r="AP1235" t="str">
            <v/>
          </cell>
          <cell r="AQ1235" t="str">
            <v/>
          </cell>
          <cell r="AR1235" t="str">
            <v>Y</v>
          </cell>
          <cell r="AS1235" t="str">
            <v/>
          </cell>
          <cell r="AT1235" t="str">
            <v>AC</v>
          </cell>
          <cell r="AU1235" t="str">
            <v>Airconditioner</v>
          </cell>
          <cell r="AV1235" t="str">
            <v>ACCS</v>
          </cell>
          <cell r="AW1235" t="str">
            <v>Control Solution</v>
          </cell>
          <cell r="AX1235" t="str">
            <v>ACCSAH</v>
          </cell>
          <cell r="AY1235" t="str">
            <v>Air Handling Unit 3</v>
          </cell>
          <cell r="AZ1235" t="str">
            <v>ACCSAHAR</v>
          </cell>
          <cell r="BA1235" t="str">
            <v>AHU Controller 3</v>
          </cell>
        </row>
        <row r="1236">
          <cell r="E1236" t="str">
            <v>PAHCNM000.ENCSCOM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 t="str">
            <v/>
          </cell>
          <cell r="AH1236" t="str">
            <v/>
          </cell>
          <cell r="AI1236" t="str">
            <v/>
          </cell>
          <cell r="AJ1236" t="str">
            <v/>
          </cell>
          <cell r="AK1236" t="str">
            <v>0.080308</v>
          </cell>
          <cell r="AL1236" t="str">
            <v>0</v>
          </cell>
          <cell r="AM1236" t="str">
            <v>Q</v>
          </cell>
          <cell r="AN1236" t="str">
            <v>M0</v>
          </cell>
          <cell r="AO1236" t="str">
            <v>Active(Model)</v>
          </cell>
          <cell r="AP1236" t="str">
            <v/>
          </cell>
          <cell r="AQ1236" t="str">
            <v/>
          </cell>
          <cell r="AR1236" t="str">
            <v>Y</v>
          </cell>
          <cell r="AS1236" t="str">
            <v/>
          </cell>
          <cell r="AT1236" t="str">
            <v>AC</v>
          </cell>
          <cell r="AU1236" t="str">
            <v>Airconditioner</v>
          </cell>
          <cell r="AV1236" t="str">
            <v>ACCS</v>
          </cell>
          <cell r="AW1236" t="str">
            <v>Control Solution</v>
          </cell>
          <cell r="AX1236" t="str">
            <v>ACCSAH</v>
          </cell>
          <cell r="AY1236" t="str">
            <v>Air Handling Unit 3</v>
          </cell>
          <cell r="AZ1236" t="str">
            <v>ACCSAHAR</v>
          </cell>
          <cell r="BA1236" t="str">
            <v>AHU Controller 3</v>
          </cell>
        </row>
        <row r="1237">
          <cell r="E1237" t="str">
            <v>PDRYCB000.ENCXLEU</v>
          </cell>
          <cell r="F1237">
            <v>40</v>
          </cell>
          <cell r="G1237">
            <v>0</v>
          </cell>
          <cell r="H1237">
            <v>0</v>
          </cell>
          <cell r="I1237">
            <v>40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 t="str">
            <v>CAC</v>
          </cell>
          <cell r="AH1237" t="str">
            <v>CAC</v>
          </cell>
          <cell r="AI1237" t="str">
            <v/>
          </cell>
          <cell r="AJ1237" t="str">
            <v/>
          </cell>
          <cell r="AK1237" t="str">
            <v>0.002740</v>
          </cell>
          <cell r="AL1237" t="str">
            <v>2</v>
          </cell>
          <cell r="AM1237" t="str">
            <v>Q</v>
          </cell>
          <cell r="AN1237" t="str">
            <v>M0</v>
          </cell>
          <cell r="AO1237" t="str">
            <v>Active(Model)</v>
          </cell>
          <cell r="AP1237" t="str">
            <v/>
          </cell>
          <cell r="AQ1237" t="str">
            <v/>
          </cell>
          <cell r="AR1237" t="str">
            <v>Y</v>
          </cell>
          <cell r="AS1237" t="str">
            <v/>
          </cell>
          <cell r="AT1237" t="str">
            <v>AC</v>
          </cell>
          <cell r="AU1237" t="str">
            <v>Airconditioner</v>
          </cell>
          <cell r="AV1237" t="str">
            <v>ACCS</v>
          </cell>
          <cell r="AW1237" t="str">
            <v>Control Solution</v>
          </cell>
          <cell r="AX1237" t="str">
            <v>ACCSAC</v>
          </cell>
          <cell r="AY1237" t="str">
            <v>ACS ACCESSARY</v>
          </cell>
          <cell r="AZ1237" t="str">
            <v>ACCSACDR</v>
          </cell>
          <cell r="BA1237" t="str">
            <v>acs accessary dry contact</v>
          </cell>
        </row>
        <row r="1238">
          <cell r="E1238" t="str">
            <v>PDRYCB400.ENCXCOM</v>
          </cell>
          <cell r="F1238">
            <v>15</v>
          </cell>
          <cell r="G1238">
            <v>0</v>
          </cell>
          <cell r="H1238">
            <v>0</v>
          </cell>
          <cell r="I1238">
            <v>15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 t="str">
            <v/>
          </cell>
          <cell r="AH1238" t="str">
            <v/>
          </cell>
          <cell r="AI1238" t="str">
            <v/>
          </cell>
          <cell r="AJ1238" t="str">
            <v/>
          </cell>
          <cell r="AK1238" t="str">
            <v>0.002376</v>
          </cell>
          <cell r="AL1238" t="str">
            <v>2</v>
          </cell>
          <cell r="AM1238" t="str">
            <v>Q</v>
          </cell>
          <cell r="AN1238" t="str">
            <v>M0</v>
          </cell>
          <cell r="AO1238" t="str">
            <v>Active(Model)</v>
          </cell>
          <cell r="AP1238" t="str">
            <v/>
          </cell>
          <cell r="AQ1238" t="str">
            <v/>
          </cell>
          <cell r="AR1238" t="str">
            <v>Y</v>
          </cell>
          <cell r="AS1238" t="str">
            <v/>
          </cell>
          <cell r="AT1238" t="str">
            <v>AC</v>
          </cell>
          <cell r="AU1238" t="str">
            <v>Airconditioner</v>
          </cell>
          <cell r="AV1238" t="str">
            <v>ACCS</v>
          </cell>
          <cell r="AW1238" t="str">
            <v>Control Solution</v>
          </cell>
          <cell r="AX1238" t="str">
            <v>ACCSAC</v>
          </cell>
          <cell r="AY1238" t="str">
            <v>ACS ACCESSARY</v>
          </cell>
          <cell r="AZ1238" t="str">
            <v>ACCSACDR</v>
          </cell>
          <cell r="BA1238" t="str">
            <v>acs accessary dry contact</v>
          </cell>
        </row>
        <row r="1239">
          <cell r="E1239" t="str">
            <v>PEXPMB200.ENCXCOM</v>
          </cell>
          <cell r="F1239">
            <v>2</v>
          </cell>
          <cell r="G1239">
            <v>0</v>
          </cell>
          <cell r="H1239">
            <v>0</v>
          </cell>
          <cell r="I1239">
            <v>2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 t="str">
            <v/>
          </cell>
          <cell r="AH1239" t="str">
            <v/>
          </cell>
          <cell r="AI1239" t="str">
            <v/>
          </cell>
          <cell r="AJ1239" t="str">
            <v/>
          </cell>
          <cell r="AK1239" t="str">
            <v>0.002376</v>
          </cell>
          <cell r="AL1239" t="str">
            <v>0</v>
          </cell>
          <cell r="AM1239" t="str">
            <v>Q</v>
          </cell>
          <cell r="AN1239" t="str">
            <v>M0</v>
          </cell>
          <cell r="AO1239" t="str">
            <v>Active(Model)</v>
          </cell>
          <cell r="AP1239" t="str">
            <v/>
          </cell>
          <cell r="AQ1239" t="str">
            <v/>
          </cell>
          <cell r="AR1239" t="str">
            <v>Y</v>
          </cell>
          <cell r="AS1239" t="str">
            <v/>
          </cell>
          <cell r="AT1239" t="str">
            <v>AC</v>
          </cell>
          <cell r="AU1239" t="str">
            <v>Airconditioner</v>
          </cell>
          <cell r="AV1239" t="str">
            <v>ACCS</v>
          </cell>
          <cell r="AW1239" t="str">
            <v>Control Solution</v>
          </cell>
          <cell r="AX1239" t="str">
            <v>ACCSAC</v>
          </cell>
          <cell r="AY1239" t="str">
            <v>ACS ACCESSARY</v>
          </cell>
          <cell r="AZ1239" t="str">
            <v>ACCSACCS</v>
          </cell>
          <cell r="BA1239" t="str">
            <v>ACCESSARY_ETC</v>
          </cell>
        </row>
        <row r="1240">
          <cell r="E1240" t="str">
            <v>PJT09G2N.ATYGEVH</v>
          </cell>
          <cell r="F1240">
            <v>2</v>
          </cell>
          <cell r="G1240">
            <v>0</v>
          </cell>
          <cell r="H1240">
            <v>0</v>
          </cell>
          <cell r="I1240">
            <v>4</v>
          </cell>
          <cell r="J1240">
            <v>0</v>
          </cell>
          <cell r="K1240">
            <v>0</v>
          </cell>
          <cell r="L1240">
            <v>2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 t="str">
            <v>RACPREMIUM</v>
          </cell>
          <cell r="AH1240" t="str">
            <v>RAC_Premium</v>
          </cell>
          <cell r="AI1240" t="str">
            <v/>
          </cell>
          <cell r="AJ1240" t="str">
            <v/>
          </cell>
          <cell r="AK1240" t="str">
            <v>0.088857</v>
          </cell>
          <cell r="AL1240" t="str">
            <v>0</v>
          </cell>
          <cell r="AM1240" t="str">
            <v>Q</v>
          </cell>
          <cell r="AN1240" t="str">
            <v>M0</v>
          </cell>
          <cell r="AO1240" t="str">
            <v>Active(Model)</v>
          </cell>
          <cell r="AP1240" t="str">
            <v/>
          </cell>
          <cell r="AQ1240" t="str">
            <v/>
          </cell>
          <cell r="AR1240" t="str">
            <v>Y</v>
          </cell>
          <cell r="AS1240" t="str">
            <v/>
          </cell>
          <cell r="AT1240" t="str">
            <v>AC</v>
          </cell>
          <cell r="AU1240" t="str">
            <v>Airconditioner</v>
          </cell>
          <cell r="AV1240" t="str">
            <v>ACSR</v>
          </cell>
          <cell r="AW1240" t="str">
            <v>SRAC</v>
          </cell>
          <cell r="AX1240" t="str">
            <v>ACSRIV</v>
          </cell>
          <cell r="AY1240" t="str">
            <v>Inverter</v>
          </cell>
          <cell r="AZ1240" t="str">
            <v>ACSRIVSN</v>
          </cell>
          <cell r="BA1240" t="str">
            <v>Inverter Single Split Wall_I/D</v>
          </cell>
        </row>
        <row r="1241">
          <cell r="E1241" t="str">
            <v>PJT09G2U.ATYGEVH</v>
          </cell>
          <cell r="F1241">
            <v>2</v>
          </cell>
          <cell r="G1241">
            <v>0</v>
          </cell>
          <cell r="H1241">
            <v>0</v>
          </cell>
          <cell r="I1241">
            <v>4</v>
          </cell>
          <cell r="J1241">
            <v>0</v>
          </cell>
          <cell r="K1241">
            <v>0</v>
          </cell>
          <cell r="L1241">
            <v>2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 t="str">
            <v>RACPREMIUM</v>
          </cell>
          <cell r="AH1241" t="str">
            <v>RAC_Premium</v>
          </cell>
          <cell r="AI1241" t="str">
            <v/>
          </cell>
          <cell r="AJ1241" t="str">
            <v/>
          </cell>
          <cell r="AK1241" t="str">
            <v>0.142216</v>
          </cell>
          <cell r="AL1241" t="str">
            <v>0</v>
          </cell>
          <cell r="AM1241" t="str">
            <v>Q</v>
          </cell>
          <cell r="AN1241" t="str">
            <v>M0</v>
          </cell>
          <cell r="AO1241" t="str">
            <v>Active(Model)</v>
          </cell>
          <cell r="AP1241" t="str">
            <v/>
          </cell>
          <cell r="AQ1241" t="str">
            <v/>
          </cell>
          <cell r="AR1241" t="str">
            <v>Y</v>
          </cell>
          <cell r="AS1241" t="str">
            <v/>
          </cell>
          <cell r="AT1241" t="str">
            <v>AC</v>
          </cell>
          <cell r="AU1241" t="str">
            <v>Airconditioner</v>
          </cell>
          <cell r="AV1241" t="str">
            <v>ACSR</v>
          </cell>
          <cell r="AW1241" t="str">
            <v>SRAC</v>
          </cell>
          <cell r="AX1241" t="str">
            <v>ACSRIV</v>
          </cell>
          <cell r="AY1241" t="str">
            <v>Inverter</v>
          </cell>
          <cell r="AZ1241" t="str">
            <v>ACSRIVSU</v>
          </cell>
          <cell r="BA1241" t="str">
            <v>Inverter Single Split Wall_O/D</v>
          </cell>
        </row>
        <row r="1242">
          <cell r="E1242" t="str">
            <v>PJT12G1N.ATYGEVH</v>
          </cell>
          <cell r="F1242">
            <v>60</v>
          </cell>
          <cell r="G1242">
            <v>0</v>
          </cell>
          <cell r="H1242">
            <v>0</v>
          </cell>
          <cell r="I1242">
            <v>60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 t="str">
            <v>RACPREMIUM</v>
          </cell>
          <cell r="AH1242" t="str">
            <v>RAC_Premium</v>
          </cell>
          <cell r="AI1242" t="str">
            <v/>
          </cell>
          <cell r="AJ1242" t="str">
            <v/>
          </cell>
          <cell r="AK1242" t="str">
            <v>0.088857</v>
          </cell>
          <cell r="AL1242" t="str">
            <v>0</v>
          </cell>
          <cell r="AM1242" t="str">
            <v>Q</v>
          </cell>
          <cell r="AN1242" t="str">
            <v>M0</v>
          </cell>
          <cell r="AO1242" t="str">
            <v>Active(Model)</v>
          </cell>
          <cell r="AP1242" t="str">
            <v/>
          </cell>
          <cell r="AQ1242" t="str">
            <v/>
          </cell>
          <cell r="AR1242" t="str">
            <v>Y</v>
          </cell>
          <cell r="AS1242" t="str">
            <v/>
          </cell>
          <cell r="AT1242" t="str">
            <v>AC</v>
          </cell>
          <cell r="AU1242" t="str">
            <v>Airconditioner</v>
          </cell>
          <cell r="AV1242" t="str">
            <v>ACSR</v>
          </cell>
          <cell r="AW1242" t="str">
            <v>SRAC</v>
          </cell>
          <cell r="AX1242" t="str">
            <v>ACSRIV</v>
          </cell>
          <cell r="AY1242" t="str">
            <v>Inverter</v>
          </cell>
          <cell r="AZ1242" t="str">
            <v>ACSRIVSN</v>
          </cell>
          <cell r="BA1242" t="str">
            <v>Inverter Single Split Wall_I/D</v>
          </cell>
        </row>
        <row r="1243">
          <cell r="E1243" t="str">
            <v>PJT12G1U.ATYGEVH</v>
          </cell>
          <cell r="F1243">
            <v>60</v>
          </cell>
          <cell r="G1243">
            <v>0</v>
          </cell>
          <cell r="H1243">
            <v>0</v>
          </cell>
          <cell r="I1243">
            <v>60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 t="str">
            <v>RACPREMIUM</v>
          </cell>
          <cell r="AH1243" t="str">
            <v>RAC_Premium</v>
          </cell>
          <cell r="AI1243" t="str">
            <v/>
          </cell>
          <cell r="AJ1243" t="str">
            <v/>
          </cell>
          <cell r="AK1243" t="str">
            <v>0.142216</v>
          </cell>
          <cell r="AL1243" t="str">
            <v>0</v>
          </cell>
          <cell r="AM1243" t="str">
            <v>Q</v>
          </cell>
          <cell r="AN1243" t="str">
            <v>M0</v>
          </cell>
          <cell r="AO1243" t="str">
            <v>Active(Model)</v>
          </cell>
          <cell r="AP1243" t="str">
            <v/>
          </cell>
          <cell r="AQ1243" t="str">
            <v/>
          </cell>
          <cell r="AR1243" t="str">
            <v>Y</v>
          </cell>
          <cell r="AS1243" t="str">
            <v/>
          </cell>
          <cell r="AT1243" t="str">
            <v>AC</v>
          </cell>
          <cell r="AU1243" t="str">
            <v>Airconditioner</v>
          </cell>
          <cell r="AV1243" t="str">
            <v>ACSR</v>
          </cell>
          <cell r="AW1243" t="str">
            <v>SRAC</v>
          </cell>
          <cell r="AX1243" t="str">
            <v>ACSRIV</v>
          </cell>
          <cell r="AY1243" t="str">
            <v>Inverter</v>
          </cell>
          <cell r="AZ1243" t="str">
            <v>ACSRIVSU</v>
          </cell>
          <cell r="BA1243" t="str">
            <v>Inverter Single Split Wall_O/D</v>
          </cell>
        </row>
        <row r="1244">
          <cell r="E1244" t="str">
            <v>PJT12G2N.ATYGEVH</v>
          </cell>
          <cell r="F1244">
            <v>4</v>
          </cell>
          <cell r="G1244">
            <v>0</v>
          </cell>
          <cell r="H1244">
            <v>0</v>
          </cell>
          <cell r="I1244">
            <v>4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 t="str">
            <v>RACPREMIUM</v>
          </cell>
          <cell r="AH1244" t="str">
            <v>RAC_Premium</v>
          </cell>
          <cell r="AI1244" t="str">
            <v/>
          </cell>
          <cell r="AJ1244" t="str">
            <v/>
          </cell>
          <cell r="AK1244" t="str">
            <v>0.088857</v>
          </cell>
          <cell r="AL1244" t="str">
            <v>0</v>
          </cell>
          <cell r="AM1244" t="str">
            <v>Q</v>
          </cell>
          <cell r="AN1244" t="str">
            <v>M0</v>
          </cell>
          <cell r="AO1244" t="str">
            <v>Active(Model)</v>
          </cell>
          <cell r="AP1244" t="str">
            <v/>
          </cell>
          <cell r="AQ1244" t="str">
            <v/>
          </cell>
          <cell r="AR1244" t="str">
            <v>Y</v>
          </cell>
          <cell r="AS1244" t="str">
            <v/>
          </cell>
          <cell r="AT1244" t="str">
            <v>AC</v>
          </cell>
          <cell r="AU1244" t="str">
            <v>Airconditioner</v>
          </cell>
          <cell r="AV1244" t="str">
            <v>ACSR</v>
          </cell>
          <cell r="AW1244" t="str">
            <v>SRAC</v>
          </cell>
          <cell r="AX1244" t="str">
            <v>ACSRIV</v>
          </cell>
          <cell r="AY1244" t="str">
            <v>Inverter</v>
          </cell>
          <cell r="AZ1244" t="str">
            <v>ACSRIVSN</v>
          </cell>
          <cell r="BA1244" t="str">
            <v>Inverter Single Split Wall_I/D</v>
          </cell>
        </row>
        <row r="1245">
          <cell r="E1245" t="str">
            <v>PJT12G2U.ATYGEVH</v>
          </cell>
          <cell r="F1245">
            <v>4</v>
          </cell>
          <cell r="G1245">
            <v>0</v>
          </cell>
          <cell r="H1245">
            <v>0</v>
          </cell>
          <cell r="I1245">
            <v>4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 t="str">
            <v>RACPREMIUM</v>
          </cell>
          <cell r="AH1245" t="str">
            <v>RAC_Premium</v>
          </cell>
          <cell r="AI1245" t="str">
            <v/>
          </cell>
          <cell r="AJ1245" t="str">
            <v/>
          </cell>
          <cell r="AK1245" t="str">
            <v>0.142216</v>
          </cell>
          <cell r="AL1245" t="str">
            <v>0</v>
          </cell>
          <cell r="AM1245" t="str">
            <v>Q</v>
          </cell>
          <cell r="AN1245" t="str">
            <v>M0</v>
          </cell>
          <cell r="AO1245" t="str">
            <v>Active(Model)</v>
          </cell>
          <cell r="AP1245" t="str">
            <v/>
          </cell>
          <cell r="AQ1245" t="str">
            <v/>
          </cell>
          <cell r="AR1245" t="str">
            <v>Y</v>
          </cell>
          <cell r="AS1245" t="str">
            <v/>
          </cell>
          <cell r="AT1245" t="str">
            <v>AC</v>
          </cell>
          <cell r="AU1245" t="str">
            <v>Airconditioner</v>
          </cell>
          <cell r="AV1245" t="str">
            <v>ACSR</v>
          </cell>
          <cell r="AW1245" t="str">
            <v>SRAC</v>
          </cell>
          <cell r="AX1245" t="str">
            <v>ACSRIV</v>
          </cell>
          <cell r="AY1245" t="str">
            <v>Inverter</v>
          </cell>
          <cell r="AZ1245" t="str">
            <v>ACSRIVSU</v>
          </cell>
          <cell r="BA1245" t="str">
            <v>Inverter Single Split Wall_O/D</v>
          </cell>
        </row>
        <row r="1246">
          <cell r="E1246" t="str">
            <v>PJT18G2N.ATYGEVH</v>
          </cell>
          <cell r="F1246">
            <v>7</v>
          </cell>
          <cell r="G1246">
            <v>0</v>
          </cell>
          <cell r="H1246">
            <v>0</v>
          </cell>
          <cell r="I1246">
            <v>10</v>
          </cell>
          <cell r="J1246">
            <v>0</v>
          </cell>
          <cell r="K1246">
            <v>0</v>
          </cell>
          <cell r="L1246">
            <v>3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 t="str">
            <v>RACPREMIUM</v>
          </cell>
          <cell r="AH1246" t="str">
            <v>RAC_Premium</v>
          </cell>
          <cell r="AI1246" t="str">
            <v/>
          </cell>
          <cell r="AJ1246" t="str">
            <v/>
          </cell>
          <cell r="AK1246" t="str">
            <v>0.126638</v>
          </cell>
          <cell r="AL1246" t="str">
            <v>0</v>
          </cell>
          <cell r="AM1246" t="str">
            <v>Q</v>
          </cell>
          <cell r="AN1246" t="str">
            <v>M0</v>
          </cell>
          <cell r="AO1246" t="str">
            <v>Active(Model)</v>
          </cell>
          <cell r="AP1246" t="str">
            <v/>
          </cell>
          <cell r="AQ1246" t="str">
            <v/>
          </cell>
          <cell r="AR1246" t="str">
            <v>Y</v>
          </cell>
          <cell r="AS1246" t="str">
            <v/>
          </cell>
          <cell r="AT1246" t="str">
            <v>AC</v>
          </cell>
          <cell r="AU1246" t="str">
            <v>Airconditioner</v>
          </cell>
          <cell r="AV1246" t="str">
            <v>ACSR</v>
          </cell>
          <cell r="AW1246" t="str">
            <v>SRAC</v>
          </cell>
          <cell r="AX1246" t="str">
            <v>ACSRIV</v>
          </cell>
          <cell r="AY1246" t="str">
            <v>Inverter</v>
          </cell>
          <cell r="AZ1246" t="str">
            <v>ACSRIVSN</v>
          </cell>
          <cell r="BA1246" t="str">
            <v>Inverter Single Split Wall_I/D</v>
          </cell>
        </row>
        <row r="1247">
          <cell r="E1247" t="str">
            <v>PJT18G2U.ATYGEVH</v>
          </cell>
          <cell r="F1247">
            <v>7</v>
          </cell>
          <cell r="G1247">
            <v>0</v>
          </cell>
          <cell r="H1247">
            <v>0</v>
          </cell>
          <cell r="I1247">
            <v>10</v>
          </cell>
          <cell r="J1247">
            <v>0</v>
          </cell>
          <cell r="K1247">
            <v>0</v>
          </cell>
          <cell r="L1247">
            <v>3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 t="str">
            <v>RACPREMIUM</v>
          </cell>
          <cell r="AH1247" t="str">
            <v>RAC_Premium</v>
          </cell>
          <cell r="AI1247" t="str">
            <v/>
          </cell>
          <cell r="AJ1247" t="str">
            <v/>
          </cell>
          <cell r="AK1247" t="str">
            <v>0.142216</v>
          </cell>
          <cell r="AL1247" t="str">
            <v>0</v>
          </cell>
          <cell r="AM1247" t="str">
            <v>Q</v>
          </cell>
          <cell r="AN1247" t="str">
            <v>M0</v>
          </cell>
          <cell r="AO1247" t="str">
            <v>Active(Model)</v>
          </cell>
          <cell r="AP1247" t="str">
            <v/>
          </cell>
          <cell r="AQ1247" t="str">
            <v/>
          </cell>
          <cell r="AR1247" t="str">
            <v>Y</v>
          </cell>
          <cell r="AS1247" t="str">
            <v/>
          </cell>
          <cell r="AT1247" t="str">
            <v>AC</v>
          </cell>
          <cell r="AU1247" t="str">
            <v>Airconditioner</v>
          </cell>
          <cell r="AV1247" t="str">
            <v>ACSR</v>
          </cell>
          <cell r="AW1247" t="str">
            <v>SRAC</v>
          </cell>
          <cell r="AX1247" t="str">
            <v>ACSRIV</v>
          </cell>
          <cell r="AY1247" t="str">
            <v>Inverter</v>
          </cell>
          <cell r="AZ1247" t="str">
            <v>ACSRIVSU</v>
          </cell>
          <cell r="BA1247" t="str">
            <v>Inverter Single Split Wall_O/D</v>
          </cell>
        </row>
        <row r="1248">
          <cell r="E1248" t="str">
            <v>PJT24G1N.ATYGEVH</v>
          </cell>
          <cell r="F1248">
            <v>27</v>
          </cell>
          <cell r="G1248">
            <v>0</v>
          </cell>
          <cell r="H1248">
            <v>0</v>
          </cell>
          <cell r="I1248">
            <v>27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 t="str">
            <v>RACPREMIUM</v>
          </cell>
          <cell r="AH1248" t="str">
            <v>RAC_Premium</v>
          </cell>
          <cell r="AI1248" t="str">
            <v/>
          </cell>
          <cell r="AJ1248" t="str">
            <v/>
          </cell>
          <cell r="AK1248" t="str">
            <v>0.126638</v>
          </cell>
          <cell r="AL1248" t="str">
            <v>0</v>
          </cell>
          <cell r="AM1248" t="str">
            <v>Q</v>
          </cell>
          <cell r="AN1248" t="str">
            <v>M0</v>
          </cell>
          <cell r="AO1248" t="str">
            <v>Active(Model)</v>
          </cell>
          <cell r="AP1248" t="str">
            <v/>
          </cell>
          <cell r="AQ1248" t="str">
            <v/>
          </cell>
          <cell r="AR1248" t="str">
            <v>Y</v>
          </cell>
          <cell r="AS1248" t="str">
            <v/>
          </cell>
          <cell r="AT1248" t="str">
            <v>AC</v>
          </cell>
          <cell r="AU1248" t="str">
            <v>Airconditioner</v>
          </cell>
          <cell r="AV1248" t="str">
            <v>ACSR</v>
          </cell>
          <cell r="AW1248" t="str">
            <v>SRAC</v>
          </cell>
          <cell r="AX1248" t="str">
            <v>ACSRIV</v>
          </cell>
          <cell r="AY1248" t="str">
            <v>Inverter</v>
          </cell>
          <cell r="AZ1248" t="str">
            <v>ACSRIVSN</v>
          </cell>
          <cell r="BA1248" t="str">
            <v>Inverter Single Split Wall_I/D</v>
          </cell>
        </row>
        <row r="1249">
          <cell r="E1249" t="str">
            <v>PJT24G1U.ATYGEVH</v>
          </cell>
          <cell r="F1249">
            <v>27</v>
          </cell>
          <cell r="G1249">
            <v>0</v>
          </cell>
          <cell r="H1249">
            <v>0</v>
          </cell>
          <cell r="I1249">
            <v>27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 t="str">
            <v>RACPREMIUM</v>
          </cell>
          <cell r="AH1249" t="str">
            <v>RAC_Premium</v>
          </cell>
          <cell r="AI1249" t="str">
            <v/>
          </cell>
          <cell r="AJ1249" t="str">
            <v/>
          </cell>
          <cell r="AK1249" t="str">
            <v>0.335972</v>
          </cell>
          <cell r="AL1249" t="str">
            <v>0</v>
          </cell>
          <cell r="AM1249" t="str">
            <v>Q</v>
          </cell>
          <cell r="AN1249" t="str">
            <v>M0</v>
          </cell>
          <cell r="AO1249" t="str">
            <v>Active(Model)</v>
          </cell>
          <cell r="AP1249" t="str">
            <v/>
          </cell>
          <cell r="AQ1249" t="str">
            <v/>
          </cell>
          <cell r="AR1249" t="str">
            <v>Y</v>
          </cell>
          <cell r="AS1249" t="str">
            <v/>
          </cell>
          <cell r="AT1249" t="str">
            <v>AC</v>
          </cell>
          <cell r="AU1249" t="str">
            <v>Airconditioner</v>
          </cell>
          <cell r="AV1249" t="str">
            <v>ACSR</v>
          </cell>
          <cell r="AW1249" t="str">
            <v>SRAC</v>
          </cell>
          <cell r="AX1249" t="str">
            <v>ACSRIV</v>
          </cell>
          <cell r="AY1249" t="str">
            <v>Inverter</v>
          </cell>
          <cell r="AZ1249" t="str">
            <v>ACSRIVSU</v>
          </cell>
          <cell r="BA1249" t="str">
            <v>Inverter Single Split Wall_O/D</v>
          </cell>
        </row>
        <row r="1250">
          <cell r="E1250" t="str">
            <v>PMBUSB00A.ENCXLEU</v>
          </cell>
          <cell r="F1250">
            <v>5</v>
          </cell>
          <cell r="G1250">
            <v>0</v>
          </cell>
          <cell r="H1250">
            <v>0</v>
          </cell>
          <cell r="I1250">
            <v>5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 t="str">
            <v>CAC</v>
          </cell>
          <cell r="AH1250" t="str">
            <v>CAC</v>
          </cell>
          <cell r="AI1250" t="str">
            <v/>
          </cell>
          <cell r="AJ1250" t="str">
            <v/>
          </cell>
          <cell r="AK1250" t="str">
            <v>0.002376</v>
          </cell>
          <cell r="AL1250" t="str">
            <v>2</v>
          </cell>
          <cell r="AM1250" t="str">
            <v>Q</v>
          </cell>
          <cell r="AN1250" t="str">
            <v>M0</v>
          </cell>
          <cell r="AO1250" t="str">
            <v>Active(Model)</v>
          </cell>
          <cell r="AP1250" t="str">
            <v/>
          </cell>
          <cell r="AQ1250" t="str">
            <v/>
          </cell>
          <cell r="AR1250" t="str">
            <v>Y</v>
          </cell>
          <cell r="AS1250" t="str">
            <v/>
          </cell>
          <cell r="AT1250" t="str">
            <v>AC</v>
          </cell>
          <cell r="AU1250" t="str">
            <v>Airconditioner</v>
          </cell>
          <cell r="AV1250" t="str">
            <v>ACCS</v>
          </cell>
          <cell r="AW1250" t="str">
            <v>Control Solution</v>
          </cell>
          <cell r="AX1250" t="str">
            <v>ACCSGW</v>
          </cell>
          <cell r="AY1250" t="str">
            <v>ACS GATEWAY</v>
          </cell>
          <cell r="AZ1250" t="str">
            <v>ACCSGWBM</v>
          </cell>
          <cell r="BA1250" t="str">
            <v>GATEWAY_BMS LINK</v>
          </cell>
        </row>
        <row r="1251">
          <cell r="E1251" t="str">
            <v>PMNFP14A1.ENCXLEU</v>
          </cell>
          <cell r="F1251">
            <v>11</v>
          </cell>
          <cell r="G1251">
            <v>0</v>
          </cell>
          <cell r="H1251">
            <v>0</v>
          </cell>
          <cell r="I1251">
            <v>11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 t="str">
            <v>CAC</v>
          </cell>
          <cell r="AH1251" t="str">
            <v>CAC</v>
          </cell>
          <cell r="AI1251" t="str">
            <v/>
          </cell>
          <cell r="AJ1251" t="str">
            <v/>
          </cell>
          <cell r="AK1251" t="str">
            <v>0.002836</v>
          </cell>
          <cell r="AL1251" t="str">
            <v>2</v>
          </cell>
          <cell r="AM1251" t="str">
            <v>Q</v>
          </cell>
          <cell r="AN1251" t="str">
            <v>M0</v>
          </cell>
          <cell r="AO1251" t="str">
            <v>Active(Model)</v>
          </cell>
          <cell r="AP1251" t="str">
            <v/>
          </cell>
          <cell r="AQ1251" t="str">
            <v/>
          </cell>
          <cell r="AR1251" t="str">
            <v>Y</v>
          </cell>
          <cell r="AS1251" t="str">
            <v/>
          </cell>
          <cell r="AT1251" t="str">
            <v>AC</v>
          </cell>
          <cell r="AU1251" t="str">
            <v>Airconditioner</v>
          </cell>
          <cell r="AV1251" t="str">
            <v>ACCS</v>
          </cell>
          <cell r="AW1251" t="str">
            <v>Control Solution</v>
          </cell>
          <cell r="AX1251" t="str">
            <v>ACCSGW</v>
          </cell>
          <cell r="AY1251" t="str">
            <v>ACS GATEWAY</v>
          </cell>
          <cell r="AZ1251" t="str">
            <v>ACCSGWPI</v>
          </cell>
          <cell r="BA1251" t="str">
            <v>GATEWAY_PI485</v>
          </cell>
        </row>
        <row r="1252">
          <cell r="E1252" t="str">
            <v>PQNUD1S40.ENCXCOM</v>
          </cell>
          <cell r="F1252">
            <v>2</v>
          </cell>
          <cell r="G1252">
            <v>0</v>
          </cell>
          <cell r="H1252">
            <v>0</v>
          </cell>
          <cell r="I1252">
            <v>3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 t="str">
            <v/>
          </cell>
          <cell r="AH1252" t="str">
            <v/>
          </cell>
          <cell r="AI1252" t="str">
            <v/>
          </cell>
          <cell r="AJ1252" t="str">
            <v/>
          </cell>
          <cell r="AK1252" t="str">
            <v>0.015301</v>
          </cell>
          <cell r="AL1252" t="str">
            <v>2</v>
          </cell>
          <cell r="AM1252" t="str">
            <v>Q</v>
          </cell>
          <cell r="AN1252" t="str">
            <v>M0</v>
          </cell>
          <cell r="AO1252" t="str">
            <v>Active(Model)</v>
          </cell>
          <cell r="AP1252" t="str">
            <v/>
          </cell>
          <cell r="AQ1252" t="str">
            <v/>
          </cell>
          <cell r="AR1252" t="str">
            <v>Y</v>
          </cell>
          <cell r="AS1252" t="str">
            <v/>
          </cell>
          <cell r="AT1252" t="str">
            <v>AC</v>
          </cell>
          <cell r="AU1252" t="str">
            <v>Airconditioner</v>
          </cell>
          <cell r="AV1252" t="str">
            <v>ACCS</v>
          </cell>
          <cell r="AW1252" t="str">
            <v>Control Solution</v>
          </cell>
          <cell r="AX1252" t="str">
            <v>ACCSAC</v>
          </cell>
          <cell r="AY1252" t="str">
            <v>ACS ACCESSARY</v>
          </cell>
          <cell r="AZ1252" t="str">
            <v>ACCSACPD</v>
          </cell>
          <cell r="BA1252" t="str">
            <v>ACCESSARY_PDI</v>
          </cell>
        </row>
        <row r="1253">
          <cell r="E1253" t="str">
            <v>PREMTB001.ENCXCOM</v>
          </cell>
          <cell r="F1253">
            <v>924</v>
          </cell>
          <cell r="G1253">
            <v>0</v>
          </cell>
          <cell r="H1253">
            <v>0</v>
          </cell>
          <cell r="I1253">
            <v>1380</v>
          </cell>
          <cell r="J1253">
            <v>0</v>
          </cell>
          <cell r="K1253">
            <v>58</v>
          </cell>
          <cell r="L1253">
            <v>21</v>
          </cell>
          <cell r="M1253">
            <v>0</v>
          </cell>
          <cell r="N1253">
            <v>0</v>
          </cell>
          <cell r="O1253">
            <v>32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 t="str">
            <v/>
          </cell>
          <cell r="AH1253" t="str">
            <v/>
          </cell>
          <cell r="AI1253" t="str">
            <v/>
          </cell>
          <cell r="AJ1253" t="str">
            <v/>
          </cell>
          <cell r="AK1253" t="str">
            <v>0.002658</v>
          </cell>
          <cell r="AL1253" t="str">
            <v>2</v>
          </cell>
          <cell r="AM1253" t="str">
            <v>Q</v>
          </cell>
          <cell r="AN1253" t="str">
            <v>M0</v>
          </cell>
          <cell r="AO1253" t="str">
            <v>Active(Model)</v>
          </cell>
          <cell r="AP1253" t="str">
            <v/>
          </cell>
          <cell r="AQ1253" t="str">
            <v/>
          </cell>
          <cell r="AR1253" t="str">
            <v>Y</v>
          </cell>
          <cell r="AS1253" t="str">
            <v/>
          </cell>
          <cell r="AT1253" t="str">
            <v>AC</v>
          </cell>
          <cell r="AU1253" t="str">
            <v>Airconditioner</v>
          </cell>
          <cell r="AV1253" t="str">
            <v>ACCS</v>
          </cell>
          <cell r="AW1253" t="str">
            <v>Control Solution</v>
          </cell>
          <cell r="AX1253" t="str">
            <v>ACCSID</v>
          </cell>
          <cell r="AY1253" t="str">
            <v>Multi V I/D 3</v>
          </cell>
          <cell r="AZ1253" t="str">
            <v>ACCSIDWR</v>
          </cell>
          <cell r="BA1253" t="str">
            <v>wire remote</v>
          </cell>
        </row>
        <row r="1254">
          <cell r="E1254" t="str">
            <v>PREMTB001.ENCXLEU</v>
          </cell>
          <cell r="F1254">
            <v>5</v>
          </cell>
          <cell r="G1254">
            <v>0</v>
          </cell>
          <cell r="H1254">
            <v>0</v>
          </cell>
          <cell r="I1254">
            <v>14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 t="str">
            <v>CAC</v>
          </cell>
          <cell r="AH1254" t="str">
            <v>CAC</v>
          </cell>
          <cell r="AI1254" t="str">
            <v/>
          </cell>
          <cell r="AJ1254" t="str">
            <v/>
          </cell>
          <cell r="AK1254" t="str">
            <v>0.002658</v>
          </cell>
          <cell r="AL1254" t="str">
            <v>2</v>
          </cell>
          <cell r="AM1254" t="str">
            <v>Q</v>
          </cell>
          <cell r="AN1254" t="str">
            <v>M0</v>
          </cell>
          <cell r="AO1254" t="str">
            <v>Active(Model)</v>
          </cell>
          <cell r="AP1254" t="str">
            <v/>
          </cell>
          <cell r="AQ1254" t="str">
            <v/>
          </cell>
          <cell r="AR1254" t="str">
            <v>Y</v>
          </cell>
          <cell r="AS1254" t="str">
            <v/>
          </cell>
          <cell r="AT1254" t="str">
            <v>AC</v>
          </cell>
          <cell r="AU1254" t="str">
            <v>Airconditioner</v>
          </cell>
          <cell r="AV1254" t="str">
            <v>ACCS</v>
          </cell>
          <cell r="AW1254" t="str">
            <v>Control Solution</v>
          </cell>
          <cell r="AX1254" t="str">
            <v>ACCSID</v>
          </cell>
          <cell r="AY1254" t="str">
            <v>Multi V I/D 3</v>
          </cell>
          <cell r="AZ1254" t="str">
            <v>ACCSIDWR</v>
          </cell>
          <cell r="BA1254" t="str">
            <v>wire remote</v>
          </cell>
        </row>
        <row r="1255">
          <cell r="E1255" t="str">
            <v>PREMTB100.ENCXLEU</v>
          </cell>
          <cell r="F1255">
            <v>11</v>
          </cell>
          <cell r="G1255">
            <v>0</v>
          </cell>
          <cell r="H1255">
            <v>0</v>
          </cell>
          <cell r="I1255">
            <v>11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 t="str">
            <v>CAC</v>
          </cell>
          <cell r="AH1255" t="str">
            <v>CAC</v>
          </cell>
          <cell r="AI1255" t="str">
            <v/>
          </cell>
          <cell r="AJ1255" t="str">
            <v/>
          </cell>
          <cell r="AK1255" t="str">
            <v>0.002658</v>
          </cell>
          <cell r="AL1255" t="str">
            <v>2</v>
          </cell>
          <cell r="AM1255" t="str">
            <v>Q</v>
          </cell>
          <cell r="AN1255" t="str">
            <v>M1</v>
          </cell>
          <cell r="AO1255" t="str">
            <v>Obsolete(Model)</v>
          </cell>
          <cell r="AP1255" t="str">
            <v/>
          </cell>
          <cell r="AQ1255" t="str">
            <v/>
          </cell>
          <cell r="AR1255" t="str">
            <v>N</v>
          </cell>
          <cell r="AS1255" t="str">
            <v/>
          </cell>
          <cell r="AT1255" t="str">
            <v>AC</v>
          </cell>
          <cell r="AU1255" t="str">
            <v>Airconditioner</v>
          </cell>
          <cell r="AV1255" t="str">
            <v>ACCS</v>
          </cell>
          <cell r="AW1255" t="str">
            <v>Control Solution</v>
          </cell>
          <cell r="AX1255" t="str">
            <v>ACCSID</v>
          </cell>
          <cell r="AY1255" t="str">
            <v>Multi V I/D 3</v>
          </cell>
          <cell r="AZ1255" t="str">
            <v>ACCSIDWR</v>
          </cell>
          <cell r="BA1255" t="str">
            <v>wire remote</v>
          </cell>
        </row>
        <row r="1256">
          <cell r="E1256" t="str">
            <v>PREMTB200.ENCXCOM</v>
          </cell>
          <cell r="F1256">
            <v>5</v>
          </cell>
          <cell r="G1256">
            <v>0</v>
          </cell>
          <cell r="H1256">
            <v>0</v>
          </cell>
          <cell r="I1256">
            <v>5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 t="str">
            <v/>
          </cell>
          <cell r="AH1256" t="str">
            <v/>
          </cell>
          <cell r="AI1256" t="str">
            <v/>
          </cell>
          <cell r="AJ1256" t="str">
            <v/>
          </cell>
          <cell r="AK1256" t="str">
            <v>0.002658</v>
          </cell>
          <cell r="AL1256" t="str">
            <v>0</v>
          </cell>
          <cell r="AM1256" t="str">
            <v>Q</v>
          </cell>
          <cell r="AN1256" t="str">
            <v>M0</v>
          </cell>
          <cell r="AO1256" t="str">
            <v>Active(Model)</v>
          </cell>
          <cell r="AP1256" t="str">
            <v/>
          </cell>
          <cell r="AQ1256" t="str">
            <v/>
          </cell>
          <cell r="AR1256" t="str">
            <v>Y</v>
          </cell>
          <cell r="AS1256" t="str">
            <v/>
          </cell>
          <cell r="AT1256" t="str">
            <v>AC</v>
          </cell>
          <cell r="AU1256" t="str">
            <v>Airconditioner</v>
          </cell>
          <cell r="AV1256" t="str">
            <v>ACCS</v>
          </cell>
          <cell r="AW1256" t="str">
            <v>Control Solution</v>
          </cell>
          <cell r="AX1256" t="str">
            <v>ACCSID</v>
          </cell>
          <cell r="AY1256" t="str">
            <v>Multi V I/D 3</v>
          </cell>
          <cell r="AZ1256" t="str">
            <v>ACCSIDWR</v>
          </cell>
          <cell r="BA1256" t="str">
            <v>wire remote</v>
          </cell>
        </row>
        <row r="1257">
          <cell r="E1257" t="str">
            <v>PREMTBB01.ENCXLEU</v>
          </cell>
          <cell r="F1257">
            <v>40</v>
          </cell>
          <cell r="G1257">
            <v>0</v>
          </cell>
          <cell r="H1257">
            <v>0</v>
          </cell>
          <cell r="I1257">
            <v>109</v>
          </cell>
          <cell r="J1257">
            <v>0</v>
          </cell>
          <cell r="K1257">
            <v>0</v>
          </cell>
          <cell r="L1257">
            <v>40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 t="str">
            <v>CAC</v>
          </cell>
          <cell r="AH1257" t="str">
            <v>CAC</v>
          </cell>
          <cell r="AI1257" t="str">
            <v/>
          </cell>
          <cell r="AJ1257" t="str">
            <v/>
          </cell>
          <cell r="AK1257" t="str">
            <v>0.002658</v>
          </cell>
          <cell r="AL1257" t="str">
            <v>2</v>
          </cell>
          <cell r="AM1257" t="str">
            <v>Q</v>
          </cell>
          <cell r="AN1257" t="str">
            <v>M0</v>
          </cell>
          <cell r="AO1257" t="str">
            <v>Active(Model)</v>
          </cell>
          <cell r="AP1257" t="str">
            <v/>
          </cell>
          <cell r="AQ1257" t="str">
            <v/>
          </cell>
          <cell r="AR1257" t="str">
            <v>Y</v>
          </cell>
          <cell r="AS1257" t="str">
            <v/>
          </cell>
          <cell r="AT1257" t="str">
            <v>AC</v>
          </cell>
          <cell r="AU1257" t="str">
            <v>Airconditioner</v>
          </cell>
          <cell r="AV1257" t="str">
            <v>ACCS</v>
          </cell>
          <cell r="AW1257" t="str">
            <v>Control Solution</v>
          </cell>
          <cell r="AX1257" t="str">
            <v>ACCSID</v>
          </cell>
          <cell r="AY1257" t="str">
            <v>Multi V I/D 3</v>
          </cell>
          <cell r="AZ1257" t="str">
            <v>ACCSIDWR</v>
          </cell>
          <cell r="BA1257" t="str">
            <v>wire remote</v>
          </cell>
        </row>
        <row r="1258">
          <cell r="E1258" t="str">
            <v>PRLK048A0.ENCXCOM</v>
          </cell>
          <cell r="F1258">
            <v>10</v>
          </cell>
          <cell r="G1258">
            <v>0</v>
          </cell>
          <cell r="H1258">
            <v>0</v>
          </cell>
          <cell r="I1258">
            <v>10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 t="str">
            <v>CAC</v>
          </cell>
          <cell r="AH1258" t="str">
            <v>CAC</v>
          </cell>
          <cell r="AI1258" t="str">
            <v/>
          </cell>
          <cell r="AJ1258" t="str">
            <v/>
          </cell>
          <cell r="AK1258" t="str">
            <v>0.013891</v>
          </cell>
          <cell r="AL1258" t="str">
            <v>2</v>
          </cell>
          <cell r="AM1258" t="str">
            <v>Q</v>
          </cell>
          <cell r="AN1258" t="str">
            <v>M0</v>
          </cell>
          <cell r="AO1258" t="str">
            <v>Active(Model)</v>
          </cell>
          <cell r="AP1258" t="str">
            <v/>
          </cell>
          <cell r="AQ1258" t="str">
            <v/>
          </cell>
          <cell r="AR1258" t="str">
            <v>Y</v>
          </cell>
          <cell r="AS1258" t="str">
            <v/>
          </cell>
          <cell r="AT1258" t="str">
            <v>AC</v>
          </cell>
          <cell r="AU1258" t="str">
            <v>Airconditioner</v>
          </cell>
          <cell r="AV1258" t="str">
            <v>ACMV</v>
          </cell>
          <cell r="AW1258" t="str">
            <v>Multi V</v>
          </cell>
          <cell r="AX1258" t="str">
            <v>ACMVAS</v>
          </cell>
          <cell r="AY1258" t="str">
            <v>Multi V Airside</v>
          </cell>
          <cell r="AZ1258" t="str">
            <v>ACMVASAE</v>
          </cell>
          <cell r="BA1258" t="str">
            <v>Airside_DX AHU_EEV kit</v>
          </cell>
        </row>
        <row r="1259">
          <cell r="E1259" t="str">
            <v>PRLK096A0.ENCXCOM</v>
          </cell>
          <cell r="F1259">
            <v>4</v>
          </cell>
          <cell r="G1259">
            <v>0</v>
          </cell>
          <cell r="H1259">
            <v>0</v>
          </cell>
          <cell r="I1259">
            <v>4</v>
          </cell>
          <cell r="J1259">
            <v>0</v>
          </cell>
          <cell r="K1259">
            <v>4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 t="str">
            <v/>
          </cell>
          <cell r="AH1259" t="str">
            <v/>
          </cell>
          <cell r="AI1259" t="str">
            <v/>
          </cell>
          <cell r="AJ1259" t="str">
            <v/>
          </cell>
          <cell r="AK1259" t="str">
            <v>0.013891</v>
          </cell>
          <cell r="AL1259" t="str">
            <v>2</v>
          </cell>
          <cell r="AM1259" t="str">
            <v>Q</v>
          </cell>
          <cell r="AN1259" t="str">
            <v>M0</v>
          </cell>
          <cell r="AO1259" t="str">
            <v>Active(Model)</v>
          </cell>
          <cell r="AP1259" t="str">
            <v/>
          </cell>
          <cell r="AQ1259" t="str">
            <v/>
          </cell>
          <cell r="AR1259" t="str">
            <v>Y</v>
          </cell>
          <cell r="AS1259" t="str">
            <v/>
          </cell>
          <cell r="AT1259" t="str">
            <v>AC</v>
          </cell>
          <cell r="AU1259" t="str">
            <v>Airconditioner</v>
          </cell>
          <cell r="AV1259" t="str">
            <v>ACMV</v>
          </cell>
          <cell r="AW1259" t="str">
            <v>Multi V</v>
          </cell>
          <cell r="AX1259" t="str">
            <v>ACMVAS</v>
          </cell>
          <cell r="AY1259" t="str">
            <v>Multi V Airside</v>
          </cell>
          <cell r="AZ1259" t="str">
            <v>ACMVASAE</v>
          </cell>
          <cell r="BA1259" t="str">
            <v>Airside_DX AHU_EEV kit</v>
          </cell>
        </row>
        <row r="1260">
          <cell r="E1260" t="str">
            <v>PRLK594A0.ENCXCOM</v>
          </cell>
          <cell r="F1260">
            <v>1</v>
          </cell>
          <cell r="G1260">
            <v>0</v>
          </cell>
          <cell r="H1260">
            <v>0</v>
          </cell>
          <cell r="I1260">
            <v>1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 t="str">
            <v>CAC</v>
          </cell>
          <cell r="AH1260" t="str">
            <v>CAC</v>
          </cell>
          <cell r="AI1260" t="str">
            <v/>
          </cell>
          <cell r="AJ1260" t="str">
            <v/>
          </cell>
          <cell r="AK1260" t="str">
            <v>0.047660</v>
          </cell>
          <cell r="AL1260" t="str">
            <v>0</v>
          </cell>
          <cell r="AM1260" t="str">
            <v>Q</v>
          </cell>
          <cell r="AN1260" t="str">
            <v>M0</v>
          </cell>
          <cell r="AO1260" t="str">
            <v>Active(Model)</v>
          </cell>
          <cell r="AP1260" t="str">
            <v/>
          </cell>
          <cell r="AQ1260" t="str">
            <v/>
          </cell>
          <cell r="AR1260" t="str">
            <v>Y</v>
          </cell>
          <cell r="AS1260" t="str">
            <v/>
          </cell>
          <cell r="AT1260" t="str">
            <v>AC</v>
          </cell>
          <cell r="AU1260" t="str">
            <v>Airconditioner</v>
          </cell>
          <cell r="AV1260" t="str">
            <v>ACMV</v>
          </cell>
          <cell r="AW1260" t="str">
            <v>Multi V</v>
          </cell>
          <cell r="AX1260" t="str">
            <v>ACMVAS</v>
          </cell>
          <cell r="AY1260" t="str">
            <v>Multi V Airside</v>
          </cell>
          <cell r="AZ1260" t="str">
            <v>ACMVASAE</v>
          </cell>
          <cell r="BA1260" t="str">
            <v>Airside_DX AHU_EEV kit</v>
          </cell>
        </row>
        <row r="1261">
          <cell r="E1261" t="str">
            <v>PT-AAGW0.ENCXCOM</v>
          </cell>
          <cell r="F1261">
            <v>36</v>
          </cell>
          <cell r="G1261">
            <v>0</v>
          </cell>
          <cell r="H1261">
            <v>0</v>
          </cell>
          <cell r="I1261">
            <v>63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21</v>
          </cell>
          <cell r="AF1261">
            <v>0</v>
          </cell>
          <cell r="AG1261" t="str">
            <v>CAC</v>
          </cell>
          <cell r="AH1261" t="str">
            <v>CAC</v>
          </cell>
          <cell r="AI1261" t="str">
            <v/>
          </cell>
          <cell r="AJ1261" t="str">
            <v/>
          </cell>
          <cell r="AK1261" t="str">
            <v>0.103228</v>
          </cell>
          <cell r="AL1261" t="str">
            <v>0</v>
          </cell>
          <cell r="AM1261" t="str">
            <v>Q</v>
          </cell>
          <cell r="AN1261" t="str">
            <v>M0</v>
          </cell>
          <cell r="AO1261" t="str">
            <v>Active(Model)</v>
          </cell>
          <cell r="AP1261" t="str">
            <v/>
          </cell>
          <cell r="AQ1261" t="str">
            <v/>
          </cell>
          <cell r="AR1261" t="str">
            <v>Y</v>
          </cell>
          <cell r="AS1261" t="str">
            <v/>
          </cell>
          <cell r="AT1261" t="str">
            <v>AC</v>
          </cell>
          <cell r="AU1261" t="str">
            <v>Airconditioner</v>
          </cell>
          <cell r="AV1261" t="str">
            <v>ACMV</v>
          </cell>
          <cell r="AW1261" t="str">
            <v>Multi V</v>
          </cell>
          <cell r="AX1261" t="str">
            <v>ACMVID</v>
          </cell>
          <cell r="AY1261" t="str">
            <v>Multi V I/D</v>
          </cell>
          <cell r="AZ1261" t="str">
            <v>ACMVIDMP</v>
          </cell>
          <cell r="BA1261" t="str">
            <v>Multi V_ CST_Mechanical Part</v>
          </cell>
        </row>
        <row r="1262">
          <cell r="E1262" t="str">
            <v>PT-MCGW0.ENCXCOM</v>
          </cell>
          <cell r="F1262">
            <v>522</v>
          </cell>
          <cell r="G1262">
            <v>0</v>
          </cell>
          <cell r="H1262">
            <v>0</v>
          </cell>
          <cell r="I1262">
            <v>732</v>
          </cell>
          <cell r="J1262">
            <v>2</v>
          </cell>
          <cell r="K1262">
            <v>7</v>
          </cell>
          <cell r="L1262">
            <v>41</v>
          </cell>
          <cell r="M1262">
            <v>1</v>
          </cell>
          <cell r="N1262">
            <v>0</v>
          </cell>
          <cell r="O1262">
            <v>20</v>
          </cell>
          <cell r="P1262">
            <v>1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 t="str">
            <v>CAC</v>
          </cell>
          <cell r="AH1262" t="str">
            <v>CAC</v>
          </cell>
          <cell r="AI1262" t="str">
            <v/>
          </cell>
          <cell r="AJ1262" t="str">
            <v/>
          </cell>
          <cell r="AK1262" t="str">
            <v>0.112538</v>
          </cell>
          <cell r="AL1262" t="str">
            <v>2</v>
          </cell>
          <cell r="AM1262" t="str">
            <v>Q</v>
          </cell>
          <cell r="AN1262" t="str">
            <v>M0</v>
          </cell>
          <cell r="AO1262" t="str">
            <v>Active(Model)</v>
          </cell>
          <cell r="AP1262" t="str">
            <v/>
          </cell>
          <cell r="AQ1262" t="str">
            <v/>
          </cell>
          <cell r="AR1262" t="str">
            <v>Y</v>
          </cell>
          <cell r="AS1262" t="str">
            <v/>
          </cell>
          <cell r="AT1262" t="str">
            <v>AC</v>
          </cell>
          <cell r="AU1262" t="str">
            <v>Airconditioner</v>
          </cell>
          <cell r="AV1262" t="str">
            <v>ACMV</v>
          </cell>
          <cell r="AW1262" t="str">
            <v>Multi V</v>
          </cell>
          <cell r="AX1262" t="str">
            <v>ACMVID</v>
          </cell>
          <cell r="AY1262" t="str">
            <v>Multi V I/D</v>
          </cell>
          <cell r="AZ1262" t="str">
            <v>ACMVIDMP</v>
          </cell>
          <cell r="BA1262" t="str">
            <v>Multi V_ CST_Mechanical Part</v>
          </cell>
        </row>
        <row r="1263">
          <cell r="E1263" t="str">
            <v>PT-QAGW0.ENCXCOM</v>
          </cell>
          <cell r="F1263">
            <v>19</v>
          </cell>
          <cell r="G1263">
            <v>0</v>
          </cell>
          <cell r="H1263">
            <v>0</v>
          </cell>
          <cell r="I1263">
            <v>22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 t="str">
            <v/>
          </cell>
          <cell r="AH1263" t="str">
            <v/>
          </cell>
          <cell r="AI1263" t="str">
            <v/>
          </cell>
          <cell r="AJ1263" t="str">
            <v/>
          </cell>
          <cell r="AK1263" t="str">
            <v>0.058804</v>
          </cell>
          <cell r="AL1263" t="str">
            <v>0</v>
          </cell>
          <cell r="AM1263" t="str">
            <v>Q</v>
          </cell>
          <cell r="AN1263" t="str">
            <v>M0</v>
          </cell>
          <cell r="AO1263" t="str">
            <v>Active(Model)</v>
          </cell>
          <cell r="AP1263" t="str">
            <v/>
          </cell>
          <cell r="AQ1263" t="str">
            <v/>
          </cell>
          <cell r="AR1263" t="str">
            <v>Y</v>
          </cell>
          <cell r="AS1263" t="str">
            <v/>
          </cell>
          <cell r="AT1263" t="str">
            <v>AC</v>
          </cell>
          <cell r="AU1263" t="str">
            <v>Airconditioner</v>
          </cell>
          <cell r="AV1263" t="str">
            <v>ACMV</v>
          </cell>
          <cell r="AW1263" t="str">
            <v>Multi V</v>
          </cell>
          <cell r="AX1263" t="str">
            <v>ACMVID</v>
          </cell>
          <cell r="AY1263" t="str">
            <v>Multi V I/D</v>
          </cell>
          <cell r="AZ1263" t="str">
            <v>ACMVIDMP</v>
          </cell>
          <cell r="BA1263" t="str">
            <v>Multi V_ CST_Mechanical Part</v>
          </cell>
        </row>
        <row r="1264">
          <cell r="E1264" t="str">
            <v>PT-TAHG0.ENCXGLO</v>
          </cell>
          <cell r="F1264">
            <v>6</v>
          </cell>
          <cell r="G1264">
            <v>0</v>
          </cell>
          <cell r="H1264">
            <v>0</v>
          </cell>
          <cell r="I1264">
            <v>11</v>
          </cell>
          <cell r="J1264">
            <v>0</v>
          </cell>
          <cell r="K1264">
            <v>8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 t="str">
            <v>CAC</v>
          </cell>
          <cell r="AH1264" t="str">
            <v>CAC</v>
          </cell>
          <cell r="AI1264" t="str">
            <v/>
          </cell>
          <cell r="AJ1264" t="str">
            <v/>
          </cell>
          <cell r="AK1264" t="str">
            <v>0.095651</v>
          </cell>
          <cell r="AL1264" t="str">
            <v>0</v>
          </cell>
          <cell r="AM1264" t="str">
            <v>Q</v>
          </cell>
          <cell r="AN1264" t="str">
            <v>M0</v>
          </cell>
          <cell r="AO1264" t="str">
            <v>Active(Model)</v>
          </cell>
          <cell r="AP1264" t="str">
            <v/>
          </cell>
          <cell r="AQ1264" t="str">
            <v/>
          </cell>
          <cell r="AR1264" t="str">
            <v>Y</v>
          </cell>
          <cell r="AS1264" t="str">
            <v/>
          </cell>
          <cell r="AT1264" t="str">
            <v>AC</v>
          </cell>
          <cell r="AU1264" t="str">
            <v>Airconditioner</v>
          </cell>
          <cell r="AV1264" t="str">
            <v>ACMV</v>
          </cell>
          <cell r="AW1264" t="str">
            <v>Multi V</v>
          </cell>
          <cell r="AX1264" t="str">
            <v>ACMVID</v>
          </cell>
          <cell r="AY1264" t="str">
            <v>Multi V I/D</v>
          </cell>
          <cell r="AZ1264" t="str">
            <v>ACMVIDMP</v>
          </cell>
          <cell r="BA1264" t="str">
            <v>Multi V_ CST_Mechanical Part</v>
          </cell>
        </row>
        <row r="1265">
          <cell r="E1265" t="str">
            <v>PT-TAHW0.ENCXCOM</v>
          </cell>
          <cell r="F1265">
            <v>280</v>
          </cell>
          <cell r="G1265">
            <v>0</v>
          </cell>
          <cell r="H1265">
            <v>0</v>
          </cell>
          <cell r="I1265">
            <v>294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1</v>
          </cell>
          <cell r="O1265">
            <v>0</v>
          </cell>
          <cell r="P1265">
            <v>1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 t="str">
            <v>CAC</v>
          </cell>
          <cell r="AH1265" t="str">
            <v>CAC</v>
          </cell>
          <cell r="AI1265" t="str">
            <v/>
          </cell>
          <cell r="AJ1265" t="str">
            <v/>
          </cell>
          <cell r="AK1265" t="str">
            <v>0.110603</v>
          </cell>
          <cell r="AL1265" t="str">
            <v>2</v>
          </cell>
          <cell r="AM1265" t="str">
            <v>Q</v>
          </cell>
          <cell r="AN1265" t="str">
            <v>M0</v>
          </cell>
          <cell r="AO1265" t="str">
            <v>Active(Model)</v>
          </cell>
          <cell r="AP1265" t="str">
            <v/>
          </cell>
          <cell r="AQ1265" t="str">
            <v/>
          </cell>
          <cell r="AR1265" t="str">
            <v>Y</v>
          </cell>
          <cell r="AS1265" t="str">
            <v/>
          </cell>
          <cell r="AT1265" t="str">
            <v>AC</v>
          </cell>
          <cell r="AU1265" t="str">
            <v>Airconditioner</v>
          </cell>
          <cell r="AV1265" t="str">
            <v>ACMV</v>
          </cell>
          <cell r="AW1265" t="str">
            <v>Multi V</v>
          </cell>
          <cell r="AX1265" t="str">
            <v>ACMVID</v>
          </cell>
          <cell r="AY1265" t="str">
            <v>Multi V I/D</v>
          </cell>
          <cell r="AZ1265" t="str">
            <v>ACMVIDMP</v>
          </cell>
          <cell r="BA1265" t="str">
            <v>Multi V_ CST_Mechanical Part</v>
          </cell>
        </row>
        <row r="1266">
          <cell r="E1266" t="str">
            <v>PT-UAHG0.ENCXGLO</v>
          </cell>
          <cell r="F1266">
            <v>668</v>
          </cell>
          <cell r="G1266">
            <v>0</v>
          </cell>
          <cell r="H1266">
            <v>0</v>
          </cell>
          <cell r="I1266">
            <v>1116</v>
          </cell>
          <cell r="J1266">
            <v>0</v>
          </cell>
          <cell r="K1266">
            <v>0</v>
          </cell>
          <cell r="L1266">
            <v>448</v>
          </cell>
          <cell r="M1266">
            <v>0</v>
          </cell>
          <cell r="N1266">
            <v>0</v>
          </cell>
          <cell r="O1266">
            <v>12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 t="str">
            <v>CAC</v>
          </cell>
          <cell r="AH1266" t="str">
            <v>CAC</v>
          </cell>
          <cell r="AI1266" t="str">
            <v/>
          </cell>
          <cell r="AJ1266" t="str">
            <v/>
          </cell>
          <cell r="AK1266" t="str">
            <v>0.075514</v>
          </cell>
          <cell r="AL1266" t="str">
            <v>0</v>
          </cell>
          <cell r="AM1266" t="str">
            <v>Q</v>
          </cell>
          <cell r="AN1266" t="str">
            <v>M0</v>
          </cell>
          <cell r="AO1266" t="str">
            <v>Active(Model)</v>
          </cell>
          <cell r="AP1266" t="str">
            <v/>
          </cell>
          <cell r="AQ1266" t="str">
            <v/>
          </cell>
          <cell r="AR1266" t="str">
            <v>Y</v>
          </cell>
          <cell r="AS1266" t="str">
            <v/>
          </cell>
          <cell r="AT1266" t="str">
            <v>AC</v>
          </cell>
          <cell r="AU1266" t="str">
            <v>Airconditioner</v>
          </cell>
          <cell r="AV1266" t="str">
            <v>ACMV</v>
          </cell>
          <cell r="AW1266" t="str">
            <v>Multi V</v>
          </cell>
          <cell r="AX1266" t="str">
            <v>ACMVID</v>
          </cell>
          <cell r="AY1266" t="str">
            <v>Multi V I/D</v>
          </cell>
          <cell r="AZ1266" t="str">
            <v>ACMVIDMP</v>
          </cell>
          <cell r="BA1266" t="str">
            <v>Multi V_ CST_Mechanical Part</v>
          </cell>
        </row>
        <row r="1267">
          <cell r="E1267" t="str">
            <v>PT-UAHW0.ENCXCOM</v>
          </cell>
          <cell r="F1267">
            <v>549</v>
          </cell>
          <cell r="G1267">
            <v>0</v>
          </cell>
          <cell r="H1267">
            <v>0</v>
          </cell>
          <cell r="I1267">
            <v>555</v>
          </cell>
          <cell r="J1267">
            <v>0</v>
          </cell>
          <cell r="K1267">
            <v>0</v>
          </cell>
          <cell r="L1267">
            <v>0</v>
          </cell>
          <cell r="M1267">
            <v>2</v>
          </cell>
          <cell r="N1267">
            <v>0</v>
          </cell>
          <cell r="O1267">
            <v>0</v>
          </cell>
          <cell r="P1267">
            <v>2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 t="str">
            <v>CAC</v>
          </cell>
          <cell r="AH1267" t="str">
            <v>CAC</v>
          </cell>
          <cell r="AI1267" t="str">
            <v/>
          </cell>
          <cell r="AJ1267" t="str">
            <v/>
          </cell>
          <cell r="AK1267" t="str">
            <v>0.086526</v>
          </cell>
          <cell r="AL1267" t="str">
            <v>2</v>
          </cell>
          <cell r="AM1267" t="str">
            <v>Q</v>
          </cell>
          <cell r="AN1267" t="str">
            <v>M0</v>
          </cell>
          <cell r="AO1267" t="str">
            <v>Active(Model)</v>
          </cell>
          <cell r="AP1267" t="str">
            <v/>
          </cell>
          <cell r="AQ1267" t="str">
            <v/>
          </cell>
          <cell r="AR1267" t="str">
            <v>Y</v>
          </cell>
          <cell r="AS1267" t="str">
            <v/>
          </cell>
          <cell r="AT1267" t="str">
            <v>AC</v>
          </cell>
          <cell r="AU1267" t="str">
            <v>Airconditioner</v>
          </cell>
          <cell r="AV1267" t="str">
            <v>ACMV</v>
          </cell>
          <cell r="AW1267" t="str">
            <v>Multi V</v>
          </cell>
          <cell r="AX1267" t="str">
            <v>ACMVID</v>
          </cell>
          <cell r="AY1267" t="str">
            <v>Multi V I/D</v>
          </cell>
          <cell r="AZ1267" t="str">
            <v>ACMVIDMP</v>
          </cell>
          <cell r="BA1267" t="str">
            <v>Multi V_ CST_Mechanical Part</v>
          </cell>
        </row>
        <row r="1268">
          <cell r="E1268" t="str">
            <v>PT-USC.ENCXLEU</v>
          </cell>
          <cell r="F1268">
            <v>2</v>
          </cell>
          <cell r="G1268">
            <v>0</v>
          </cell>
          <cell r="H1268">
            <v>0</v>
          </cell>
          <cell r="I1268">
            <v>2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 t="str">
            <v>CAC</v>
          </cell>
          <cell r="AH1268" t="str">
            <v>CAC</v>
          </cell>
          <cell r="AI1268" t="str">
            <v/>
          </cell>
          <cell r="AJ1268" t="str">
            <v/>
          </cell>
          <cell r="AK1268" t="str">
            <v>0.094262</v>
          </cell>
          <cell r="AL1268" t="str">
            <v>2</v>
          </cell>
          <cell r="AM1268" t="str">
            <v>Q</v>
          </cell>
          <cell r="AN1268" t="str">
            <v>M0</v>
          </cell>
          <cell r="AO1268" t="str">
            <v>Active(Model)</v>
          </cell>
          <cell r="AP1268" t="str">
            <v/>
          </cell>
          <cell r="AQ1268" t="str">
            <v/>
          </cell>
          <cell r="AR1268" t="str">
            <v>Y</v>
          </cell>
          <cell r="AS1268" t="str">
            <v/>
          </cell>
          <cell r="AT1268" t="str">
            <v>AC</v>
          </cell>
          <cell r="AU1268" t="str">
            <v>Airconditioner</v>
          </cell>
          <cell r="AV1268" t="str">
            <v>ACMV</v>
          </cell>
          <cell r="AW1268" t="str">
            <v>Multi V</v>
          </cell>
          <cell r="AX1268" t="str">
            <v>ACMVID</v>
          </cell>
          <cell r="AY1268" t="str">
            <v>Multi V I/D</v>
          </cell>
          <cell r="AZ1268" t="str">
            <v>ACMVIDMP</v>
          </cell>
          <cell r="BA1268" t="str">
            <v>Multi V_ CST_Mechanical Part</v>
          </cell>
        </row>
        <row r="1269">
          <cell r="E1269" t="str">
            <v>PU615U.ATV</v>
          </cell>
          <cell r="F1269">
            <v>0</v>
          </cell>
          <cell r="G1269">
            <v>0</v>
          </cell>
          <cell r="H1269">
            <v>0</v>
          </cell>
          <cell r="I1269">
            <v>1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 t="str">
            <v>PRJ</v>
          </cell>
          <cell r="AH1269" t="str">
            <v>Projector</v>
          </cell>
          <cell r="AI1269" t="str">
            <v/>
          </cell>
          <cell r="AJ1269" t="str">
            <v/>
          </cell>
          <cell r="AK1269" t="str">
            <v>0.014762</v>
          </cell>
          <cell r="AL1269" t="str">
            <v>2</v>
          </cell>
          <cell r="AM1269" t="str">
            <v>Q</v>
          </cell>
          <cell r="AN1269" t="str">
            <v>M0</v>
          </cell>
          <cell r="AO1269" t="str">
            <v>Active(Model)</v>
          </cell>
          <cell r="AP1269" t="str">
            <v/>
          </cell>
          <cell r="AQ1269" t="str">
            <v/>
          </cell>
          <cell r="AR1269" t="str">
            <v>Y</v>
          </cell>
          <cell r="AS1269" t="str">
            <v/>
          </cell>
          <cell r="AT1269" t="str">
            <v>TV</v>
          </cell>
          <cell r="AU1269" t="str">
            <v>TV</v>
          </cell>
          <cell r="AV1269" t="str">
            <v>TVPR</v>
          </cell>
          <cell r="AW1269" t="str">
            <v>Projector</v>
          </cell>
          <cell r="AX1269" t="str">
            <v>TVPRPL</v>
          </cell>
          <cell r="AY1269" t="str">
            <v>PJTR Laser</v>
          </cell>
          <cell r="AZ1269" t="str">
            <v>TVPRPLNU</v>
          </cell>
          <cell r="BA1269" t="str">
            <v>PJTR Laser UHD</v>
          </cell>
        </row>
        <row r="1270">
          <cell r="E1270" t="str">
            <v>PWFMDD200.ENCXLEU</v>
          </cell>
          <cell r="F1270">
            <v>2</v>
          </cell>
          <cell r="G1270">
            <v>0</v>
          </cell>
          <cell r="H1270">
            <v>0</v>
          </cell>
          <cell r="I1270">
            <v>2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 t="str">
            <v>CAC</v>
          </cell>
          <cell r="AH1270" t="str">
            <v>CAC</v>
          </cell>
          <cell r="AI1270" t="str">
            <v/>
          </cell>
          <cell r="AJ1270" t="str">
            <v/>
          </cell>
          <cell r="AK1270" t="str">
            <v>0.002376</v>
          </cell>
          <cell r="AL1270" t="str">
            <v>2</v>
          </cell>
          <cell r="AM1270" t="str">
            <v>Q</v>
          </cell>
          <cell r="AN1270" t="str">
            <v>M0</v>
          </cell>
          <cell r="AO1270" t="str">
            <v>Active(Model)</v>
          </cell>
          <cell r="AP1270" t="str">
            <v/>
          </cell>
          <cell r="AQ1270" t="str">
            <v/>
          </cell>
          <cell r="AR1270" t="str">
            <v>Y</v>
          </cell>
          <cell r="AS1270" t="str">
            <v/>
          </cell>
          <cell r="AT1270" t="str">
            <v>AC</v>
          </cell>
          <cell r="AU1270" t="str">
            <v>Airconditioner</v>
          </cell>
          <cell r="AV1270" t="str">
            <v>ACCS</v>
          </cell>
          <cell r="AW1270" t="str">
            <v>Control Solution</v>
          </cell>
          <cell r="AX1270" t="str">
            <v>ACCSAC</v>
          </cell>
          <cell r="AY1270" t="str">
            <v>ACS ACCESSARY</v>
          </cell>
          <cell r="AZ1270" t="str">
            <v>ACCSACCS</v>
          </cell>
          <cell r="BA1270" t="str">
            <v>ACCESSARY_ETC</v>
          </cell>
        </row>
        <row r="1271">
          <cell r="E1271" t="str">
            <v>PWH8DBA.AKOR2</v>
          </cell>
          <cell r="F1271">
            <v>450</v>
          </cell>
          <cell r="G1271">
            <v>0</v>
          </cell>
          <cell r="H1271">
            <v>0</v>
          </cell>
          <cell r="I1271">
            <v>450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 t="str">
            <v/>
          </cell>
          <cell r="AH1271" t="str">
            <v/>
          </cell>
          <cell r="AI1271" t="str">
            <v/>
          </cell>
          <cell r="AJ1271" t="str">
            <v/>
          </cell>
          <cell r="AK1271" t="str">
            <v>0.014469</v>
          </cell>
          <cell r="AL1271" t="str">
            <v>0</v>
          </cell>
          <cell r="AM1271" t="str">
            <v>Q</v>
          </cell>
          <cell r="AN1271" t="str">
            <v>M0</v>
          </cell>
          <cell r="AO1271" t="str">
            <v>Active(Model)</v>
          </cell>
          <cell r="AP1271" t="str">
            <v/>
          </cell>
          <cell r="AQ1271" t="str">
            <v/>
          </cell>
          <cell r="AR1271" t="str">
            <v>Y</v>
          </cell>
          <cell r="AS1271" t="str">
            <v/>
          </cell>
          <cell r="AT1271" t="str">
            <v>HC</v>
          </cell>
          <cell r="AU1271" t="str">
            <v>Healthcare</v>
          </cell>
          <cell r="AV1271" t="str">
            <v>HCWC</v>
          </cell>
          <cell r="AW1271" t="str">
            <v>Wellness care</v>
          </cell>
          <cell r="AX1271" t="str">
            <v>HCWCAS</v>
          </cell>
          <cell r="AY1271" t="str">
            <v>Air Solution</v>
          </cell>
          <cell r="AZ1271" t="str">
            <v>HCWCASCA</v>
          </cell>
          <cell r="BA1271" t="str">
            <v>Air Cleaner_Accessory</v>
          </cell>
        </row>
        <row r="1272">
          <cell r="E1272" t="str">
            <v>PWLRVN000.ENCXLEU</v>
          </cell>
          <cell r="F1272">
            <v>3</v>
          </cell>
          <cell r="G1272">
            <v>0</v>
          </cell>
          <cell r="H1272">
            <v>0</v>
          </cell>
          <cell r="I1272">
            <v>3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 t="str">
            <v>CAC</v>
          </cell>
          <cell r="AH1272" t="str">
            <v>CAC</v>
          </cell>
          <cell r="AI1272" t="str">
            <v/>
          </cell>
          <cell r="AJ1272" t="str">
            <v/>
          </cell>
          <cell r="AK1272" t="str">
            <v>0.002376</v>
          </cell>
          <cell r="AL1272" t="str">
            <v>2</v>
          </cell>
          <cell r="AM1272" t="str">
            <v>Q</v>
          </cell>
          <cell r="AN1272" t="str">
            <v>M0</v>
          </cell>
          <cell r="AO1272" t="str">
            <v>Active(Model)</v>
          </cell>
          <cell r="AP1272" t="str">
            <v/>
          </cell>
          <cell r="AQ1272" t="str">
            <v/>
          </cell>
          <cell r="AR1272" t="str">
            <v>Y</v>
          </cell>
          <cell r="AS1272" t="str">
            <v/>
          </cell>
          <cell r="AT1272" t="str">
            <v>AC</v>
          </cell>
          <cell r="AU1272" t="str">
            <v>Airconditioner</v>
          </cell>
          <cell r="AV1272" t="str">
            <v>ACFS</v>
          </cell>
          <cell r="AW1272" t="str">
            <v>Fixed Single CAC</v>
          </cell>
          <cell r="AX1272" t="str">
            <v>ACFSCD</v>
          </cell>
          <cell r="AY1272" t="str">
            <v>Ceiling Concealed Duct</v>
          </cell>
          <cell r="AZ1272" t="str">
            <v>ACFSCDDP</v>
          </cell>
          <cell r="BA1272" t="str">
            <v>Duct_Mechanical option part</v>
          </cell>
        </row>
        <row r="1273">
          <cell r="E1273" t="str">
            <v>PWLSSB21C.ENCXLEU</v>
          </cell>
          <cell r="F1273">
            <v>1</v>
          </cell>
          <cell r="G1273">
            <v>0</v>
          </cell>
          <cell r="H1273">
            <v>0</v>
          </cell>
          <cell r="I1273">
            <v>3</v>
          </cell>
          <cell r="J1273">
            <v>0</v>
          </cell>
          <cell r="K1273">
            <v>0</v>
          </cell>
          <cell r="L1273">
            <v>2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 t="str">
            <v/>
          </cell>
          <cell r="AH1273" t="str">
            <v/>
          </cell>
          <cell r="AI1273" t="str">
            <v/>
          </cell>
          <cell r="AJ1273" t="str">
            <v/>
          </cell>
          <cell r="AK1273" t="str">
            <v>0.002760</v>
          </cell>
          <cell r="AL1273" t="str">
            <v>2</v>
          </cell>
          <cell r="AM1273" t="str">
            <v>Q</v>
          </cell>
          <cell r="AN1273" t="str">
            <v>M0</v>
          </cell>
          <cell r="AO1273" t="str">
            <v>Active(Model)</v>
          </cell>
          <cell r="AP1273" t="str">
            <v/>
          </cell>
          <cell r="AQ1273" t="str">
            <v/>
          </cell>
          <cell r="AR1273" t="str">
            <v>Y</v>
          </cell>
          <cell r="AS1273" t="str">
            <v/>
          </cell>
          <cell r="AT1273" t="str">
            <v>AC</v>
          </cell>
          <cell r="AU1273" t="str">
            <v>Airconditioner</v>
          </cell>
          <cell r="AV1273" t="str">
            <v>ACCS</v>
          </cell>
          <cell r="AW1273" t="str">
            <v>Control Solution</v>
          </cell>
          <cell r="AX1273" t="str">
            <v>ACCSID</v>
          </cell>
          <cell r="AY1273" t="str">
            <v>Multi V I/D 3</v>
          </cell>
          <cell r="AZ1273" t="str">
            <v>ACCSIDWL</v>
          </cell>
          <cell r="BA1273" t="str">
            <v>wireless remote</v>
          </cell>
        </row>
        <row r="1274">
          <cell r="E1274" t="str">
            <v>PWLSSB21H.ENCXLEU</v>
          </cell>
          <cell r="F1274">
            <v>0</v>
          </cell>
          <cell r="G1274">
            <v>0</v>
          </cell>
          <cell r="H1274">
            <v>0</v>
          </cell>
          <cell r="I1274">
            <v>31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 t="str">
            <v/>
          </cell>
          <cell r="AH1274" t="str">
            <v/>
          </cell>
          <cell r="AI1274" t="str">
            <v/>
          </cell>
          <cell r="AJ1274" t="str">
            <v/>
          </cell>
          <cell r="AK1274" t="str">
            <v>0.002760</v>
          </cell>
          <cell r="AL1274" t="str">
            <v>0</v>
          </cell>
          <cell r="AM1274" t="str">
            <v>Q</v>
          </cell>
          <cell r="AN1274" t="str">
            <v>M0</v>
          </cell>
          <cell r="AO1274" t="str">
            <v>Active(Model)</v>
          </cell>
          <cell r="AP1274" t="str">
            <v/>
          </cell>
          <cell r="AQ1274" t="str">
            <v/>
          </cell>
          <cell r="AR1274" t="str">
            <v>Y</v>
          </cell>
          <cell r="AS1274" t="str">
            <v/>
          </cell>
          <cell r="AT1274" t="str">
            <v>AC</v>
          </cell>
          <cell r="AU1274" t="str">
            <v>Airconditioner</v>
          </cell>
          <cell r="AV1274" t="str">
            <v>ACCS</v>
          </cell>
          <cell r="AW1274" t="str">
            <v>Control Solution</v>
          </cell>
          <cell r="AX1274" t="str">
            <v>ACCSID</v>
          </cell>
          <cell r="AY1274" t="str">
            <v>Multi V I/D 3</v>
          </cell>
          <cell r="AZ1274" t="str">
            <v>ACCSIDWL</v>
          </cell>
          <cell r="BA1274" t="str">
            <v>wireless remote</v>
          </cell>
        </row>
        <row r="1275">
          <cell r="E1275" t="str">
            <v>PWYREW000.ENCXLEU</v>
          </cell>
          <cell r="F1275">
            <v>2</v>
          </cell>
          <cell r="G1275">
            <v>0</v>
          </cell>
          <cell r="H1275">
            <v>0</v>
          </cell>
          <cell r="I1275">
            <v>2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 t="str">
            <v>CAC</v>
          </cell>
          <cell r="AH1275" t="str">
            <v>CAC</v>
          </cell>
          <cell r="AI1275" t="str">
            <v/>
          </cell>
          <cell r="AJ1275" t="str">
            <v/>
          </cell>
          <cell r="AK1275" t="str">
            <v>0.002376</v>
          </cell>
          <cell r="AL1275" t="str">
            <v>2</v>
          </cell>
          <cell r="AM1275" t="str">
            <v>Q</v>
          </cell>
          <cell r="AN1275" t="str">
            <v>M0</v>
          </cell>
          <cell r="AO1275" t="str">
            <v>Active(Model)</v>
          </cell>
          <cell r="AP1275" t="str">
            <v/>
          </cell>
          <cell r="AQ1275" t="str">
            <v/>
          </cell>
          <cell r="AR1275" t="str">
            <v>Y</v>
          </cell>
          <cell r="AS1275" t="str">
            <v/>
          </cell>
          <cell r="AT1275" t="str">
            <v>AC</v>
          </cell>
          <cell r="AU1275" t="str">
            <v>Airconditioner</v>
          </cell>
          <cell r="AV1275" t="str">
            <v>ACCS</v>
          </cell>
          <cell r="AW1275" t="str">
            <v>Control Solution</v>
          </cell>
          <cell r="AX1275" t="str">
            <v>ACCSAC</v>
          </cell>
          <cell r="AY1275" t="str">
            <v>ACS ACCESSARY</v>
          </cell>
          <cell r="AZ1275" t="str">
            <v>ACCSACCS</v>
          </cell>
          <cell r="BA1275" t="str">
            <v>ACCESSARY_ETC</v>
          </cell>
        </row>
        <row r="1276">
          <cell r="E1276" t="str">
            <v>RB09NHP5O.ANBPEVN</v>
          </cell>
          <cell r="F1276">
            <v>20</v>
          </cell>
          <cell r="G1276">
            <v>0</v>
          </cell>
          <cell r="H1276">
            <v>0</v>
          </cell>
          <cell r="I1276">
            <v>43</v>
          </cell>
          <cell r="J1276">
            <v>10</v>
          </cell>
          <cell r="K1276">
            <v>0</v>
          </cell>
          <cell r="L1276">
            <v>0</v>
          </cell>
          <cell r="M1276">
            <v>1</v>
          </cell>
          <cell r="N1276">
            <v>7</v>
          </cell>
          <cell r="O1276">
            <v>29</v>
          </cell>
          <cell r="P1276">
            <v>8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2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25</v>
          </cell>
          <cell r="AF1276">
            <v>0</v>
          </cell>
          <cell r="AG1276" t="str">
            <v>WMPREPLUS</v>
          </cell>
          <cell r="AH1276" t="str">
            <v>WM_Premium_Plus</v>
          </cell>
          <cell r="AI1276" t="str">
            <v/>
          </cell>
          <cell r="AJ1276" t="str">
            <v/>
          </cell>
          <cell r="AK1276" t="str">
            <v>0.414117</v>
          </cell>
          <cell r="AL1276" t="str">
            <v>2</v>
          </cell>
          <cell r="AM1276" t="str">
            <v>Q</v>
          </cell>
          <cell r="AN1276" t="str">
            <v>M0</v>
          </cell>
          <cell r="AO1276" t="str">
            <v>Active(Model)</v>
          </cell>
          <cell r="AP1276" t="str">
            <v/>
          </cell>
          <cell r="AQ1276" t="str">
            <v/>
          </cell>
          <cell r="AR1276" t="str">
            <v>Y</v>
          </cell>
          <cell r="AS1276" t="str">
            <v/>
          </cell>
          <cell r="AT1276" t="str">
            <v>WM</v>
          </cell>
          <cell r="AU1276" t="str">
            <v>Washing Machine</v>
          </cell>
          <cell r="AV1276" t="str">
            <v>WMWR</v>
          </cell>
          <cell r="AW1276" t="str">
            <v>Clothes Dryer</v>
          </cell>
          <cell r="AX1276" t="str">
            <v>WMWRWR</v>
          </cell>
          <cell r="AY1276" t="str">
            <v>Clothes Dryer</v>
          </cell>
          <cell r="AZ1276" t="str">
            <v>WMWRWRCA</v>
          </cell>
          <cell r="BA1276" t="str">
            <v>Clothes Dryer</v>
          </cell>
        </row>
        <row r="1277">
          <cell r="E1277" t="str">
            <v>RB09NHP5W.ABWPEVN</v>
          </cell>
          <cell r="F1277">
            <v>52</v>
          </cell>
          <cell r="G1277">
            <v>0</v>
          </cell>
          <cell r="H1277">
            <v>0</v>
          </cell>
          <cell r="I1277">
            <v>68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2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 t="str">
            <v>WMPREPLUS</v>
          </cell>
          <cell r="AH1277" t="str">
            <v>WM_Premium_Plus</v>
          </cell>
          <cell r="AI1277" t="str">
            <v/>
          </cell>
          <cell r="AJ1277" t="str">
            <v/>
          </cell>
          <cell r="AK1277" t="str">
            <v>0.414117</v>
          </cell>
          <cell r="AL1277" t="str">
            <v>2</v>
          </cell>
          <cell r="AM1277" t="str">
            <v>Q</v>
          </cell>
          <cell r="AN1277" t="str">
            <v>M0</v>
          </cell>
          <cell r="AO1277" t="str">
            <v>Active(Model)</v>
          </cell>
          <cell r="AP1277" t="str">
            <v/>
          </cell>
          <cell r="AQ1277" t="str">
            <v/>
          </cell>
          <cell r="AR1277" t="str">
            <v>Y</v>
          </cell>
          <cell r="AS1277" t="str">
            <v/>
          </cell>
          <cell r="AT1277" t="str">
            <v>WM</v>
          </cell>
          <cell r="AU1277" t="str">
            <v>Washing Machine</v>
          </cell>
          <cell r="AV1277" t="str">
            <v>WMWR</v>
          </cell>
          <cell r="AW1277" t="str">
            <v>Clothes Dryer</v>
          </cell>
          <cell r="AX1277" t="str">
            <v>WMWRWR</v>
          </cell>
          <cell r="AY1277" t="str">
            <v>Clothes Dryer</v>
          </cell>
          <cell r="AZ1277" t="str">
            <v>WMWRWRCA</v>
          </cell>
          <cell r="BA1277" t="str">
            <v>Clothes Dryer</v>
          </cell>
        </row>
        <row r="1278">
          <cell r="E1278" t="str">
            <v>RB09NHP6O.ANBPEVN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 t="str">
            <v>WMPREPLUS</v>
          </cell>
          <cell r="AH1278" t="str">
            <v>WM_Premium_Plus</v>
          </cell>
          <cell r="AI1278" t="str">
            <v/>
          </cell>
          <cell r="AJ1278" t="str">
            <v/>
          </cell>
          <cell r="AK1278" t="str">
            <v>0.414117</v>
          </cell>
          <cell r="AL1278" t="str">
            <v>2</v>
          </cell>
          <cell r="AM1278" t="str">
            <v>Q</v>
          </cell>
          <cell r="AN1278" t="str">
            <v>M0</v>
          </cell>
          <cell r="AO1278" t="str">
            <v>Active(Model)</v>
          </cell>
          <cell r="AP1278" t="str">
            <v/>
          </cell>
          <cell r="AQ1278" t="str">
            <v/>
          </cell>
          <cell r="AR1278" t="str">
            <v>Y</v>
          </cell>
          <cell r="AS1278" t="str">
            <v/>
          </cell>
          <cell r="AT1278" t="str">
            <v>WM</v>
          </cell>
          <cell r="AU1278" t="str">
            <v>Washing Machine</v>
          </cell>
          <cell r="AV1278" t="str">
            <v>WMWR</v>
          </cell>
          <cell r="AW1278" t="str">
            <v>Clothes Dryer</v>
          </cell>
          <cell r="AX1278" t="str">
            <v>WMWRWR</v>
          </cell>
          <cell r="AY1278" t="str">
            <v>Clothes Dryer</v>
          </cell>
          <cell r="AZ1278" t="str">
            <v>WMWRWRCA</v>
          </cell>
          <cell r="BA1278" t="str">
            <v>Clothes Dryer</v>
          </cell>
        </row>
        <row r="1279">
          <cell r="E1279" t="str">
            <v>RX11VHP5G1.AEGPEVN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1</v>
          </cell>
          <cell r="L1279">
            <v>0</v>
          </cell>
          <cell r="M1279">
            <v>0</v>
          </cell>
          <cell r="N1279">
            <v>0</v>
          </cell>
          <cell r="O1279">
            <v>21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 t="str">
            <v>WMPREPLUS</v>
          </cell>
          <cell r="AH1279" t="str">
            <v>WM_Premium_Plus</v>
          </cell>
          <cell r="AI1279" t="str">
            <v/>
          </cell>
          <cell r="AJ1279" t="str">
            <v/>
          </cell>
          <cell r="AK1279" t="str">
            <v>0.414117</v>
          </cell>
          <cell r="AL1279" t="str">
            <v>2</v>
          </cell>
          <cell r="AM1279" t="str">
            <v>Q</v>
          </cell>
          <cell r="AN1279" t="str">
            <v>M0</v>
          </cell>
          <cell r="AO1279" t="str">
            <v>Active(Model)</v>
          </cell>
          <cell r="AP1279" t="str">
            <v/>
          </cell>
          <cell r="AQ1279" t="str">
            <v/>
          </cell>
          <cell r="AR1279" t="str">
            <v>Y</v>
          </cell>
          <cell r="AS1279" t="str">
            <v/>
          </cell>
          <cell r="AT1279" t="str">
            <v>WM</v>
          </cell>
          <cell r="AU1279" t="str">
            <v>Washing Machine</v>
          </cell>
          <cell r="AV1279" t="str">
            <v>WMWR</v>
          </cell>
          <cell r="AW1279" t="str">
            <v>Clothes Dryer</v>
          </cell>
          <cell r="AX1279" t="str">
            <v>WMWRWR</v>
          </cell>
          <cell r="AY1279" t="str">
            <v>Clothes Dryer</v>
          </cell>
          <cell r="AZ1279" t="str">
            <v>WMWRWRCA</v>
          </cell>
          <cell r="BA1279" t="str">
            <v>Clothes Dryer</v>
          </cell>
        </row>
        <row r="1280">
          <cell r="E1280" t="str">
            <v>RX11VHP5S.AESPEVN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98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 t="str">
            <v>WMPREPLUS</v>
          </cell>
          <cell r="AH1280" t="str">
            <v>WM_Premium_Plus</v>
          </cell>
          <cell r="AI1280" t="str">
            <v/>
          </cell>
          <cell r="AJ1280" t="str">
            <v/>
          </cell>
          <cell r="AK1280" t="str">
            <v>0.414117</v>
          </cell>
          <cell r="AL1280" t="str">
            <v>2</v>
          </cell>
          <cell r="AM1280" t="str">
            <v>Q</v>
          </cell>
          <cell r="AN1280" t="str">
            <v>M0</v>
          </cell>
          <cell r="AO1280" t="str">
            <v>Active(Model)</v>
          </cell>
          <cell r="AP1280" t="str">
            <v/>
          </cell>
          <cell r="AQ1280" t="str">
            <v/>
          </cell>
          <cell r="AR1280" t="str">
            <v>Y</v>
          </cell>
          <cell r="AS1280" t="str">
            <v/>
          </cell>
          <cell r="AT1280" t="str">
            <v>WM</v>
          </cell>
          <cell r="AU1280" t="str">
            <v>Washing Machine</v>
          </cell>
          <cell r="AV1280" t="str">
            <v>WMWR</v>
          </cell>
          <cell r="AW1280" t="str">
            <v>Clothes Dryer</v>
          </cell>
          <cell r="AX1280" t="str">
            <v>WMWRWR</v>
          </cell>
          <cell r="AY1280" t="str">
            <v>Clothes Dryer</v>
          </cell>
          <cell r="AZ1280" t="str">
            <v>WMWRWRCA</v>
          </cell>
          <cell r="BA1280" t="str">
            <v>Clothes Dryer</v>
          </cell>
        </row>
        <row r="1281">
          <cell r="E1281" t="str">
            <v>RX12VHP3K.AEBPEVN</v>
          </cell>
          <cell r="F1281">
            <v>0</v>
          </cell>
          <cell r="G1281">
            <v>0</v>
          </cell>
          <cell r="H1281">
            <v>0</v>
          </cell>
          <cell r="I1281">
            <v>1</v>
          </cell>
          <cell r="J1281">
            <v>0</v>
          </cell>
          <cell r="K1281">
            <v>51</v>
          </cell>
          <cell r="L1281">
            <v>0</v>
          </cell>
          <cell r="M1281">
            <v>1</v>
          </cell>
          <cell r="N1281">
            <v>0</v>
          </cell>
          <cell r="O1281">
            <v>4</v>
          </cell>
          <cell r="P1281">
            <v>1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 t="str">
            <v>WMPREPLUS</v>
          </cell>
          <cell r="AH1281" t="str">
            <v>WM_Premium_Plus</v>
          </cell>
          <cell r="AI1281" t="str">
            <v/>
          </cell>
          <cell r="AJ1281" t="str">
            <v/>
          </cell>
          <cell r="AK1281" t="str">
            <v>0.414117</v>
          </cell>
          <cell r="AL1281" t="str">
            <v>2</v>
          </cell>
          <cell r="AM1281" t="str">
            <v>Q</v>
          </cell>
          <cell r="AN1281" t="str">
            <v>M0</v>
          </cell>
          <cell r="AO1281" t="str">
            <v>Active(Model)</v>
          </cell>
          <cell r="AP1281" t="str">
            <v/>
          </cell>
          <cell r="AQ1281" t="str">
            <v/>
          </cell>
          <cell r="AR1281" t="str">
            <v>Y</v>
          </cell>
          <cell r="AS1281" t="str">
            <v/>
          </cell>
          <cell r="AT1281" t="str">
            <v>WM</v>
          </cell>
          <cell r="AU1281" t="str">
            <v>Washing Machine</v>
          </cell>
          <cell r="AV1281" t="str">
            <v>WMWR</v>
          </cell>
          <cell r="AW1281" t="str">
            <v>Clothes Dryer</v>
          </cell>
          <cell r="AX1281" t="str">
            <v>WMWRWR</v>
          </cell>
          <cell r="AY1281" t="str">
            <v>Clothes Dryer</v>
          </cell>
          <cell r="AZ1281" t="str">
            <v>WMWRWRCA</v>
          </cell>
          <cell r="BA1281" t="str">
            <v>Clothes Dryer</v>
          </cell>
        </row>
        <row r="1282">
          <cell r="E1282" t="str">
            <v>RX12VHP5G.AEGPEVN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23</v>
          </cell>
          <cell r="L1282">
            <v>0</v>
          </cell>
          <cell r="M1282">
            <v>0</v>
          </cell>
          <cell r="N1282">
            <v>0</v>
          </cell>
          <cell r="O1282">
            <v>2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 t="str">
            <v>WMPREPLUS</v>
          </cell>
          <cell r="AH1282" t="str">
            <v>WM_Premium_Plus</v>
          </cell>
          <cell r="AI1282" t="str">
            <v/>
          </cell>
          <cell r="AJ1282" t="str">
            <v/>
          </cell>
          <cell r="AK1282" t="str">
            <v>0.414117</v>
          </cell>
          <cell r="AL1282" t="str">
            <v>2</v>
          </cell>
          <cell r="AM1282" t="str">
            <v>Q</v>
          </cell>
          <cell r="AN1282" t="str">
            <v>M0</v>
          </cell>
          <cell r="AO1282" t="str">
            <v>Active(Model)</v>
          </cell>
          <cell r="AP1282" t="str">
            <v/>
          </cell>
          <cell r="AQ1282" t="str">
            <v/>
          </cell>
          <cell r="AR1282" t="str">
            <v>Y</v>
          </cell>
          <cell r="AS1282" t="str">
            <v/>
          </cell>
          <cell r="AT1282" t="str">
            <v>WM</v>
          </cell>
          <cell r="AU1282" t="str">
            <v>Washing Machine</v>
          </cell>
          <cell r="AV1282" t="str">
            <v>WMWR</v>
          </cell>
          <cell r="AW1282" t="str">
            <v>Clothes Dryer</v>
          </cell>
          <cell r="AX1282" t="str">
            <v>WMWRWR</v>
          </cell>
          <cell r="AY1282" t="str">
            <v>Clothes Dryer</v>
          </cell>
          <cell r="AZ1282" t="str">
            <v>WMWRWRCA</v>
          </cell>
          <cell r="BA1282" t="str">
            <v>Clothes Dryer</v>
          </cell>
        </row>
        <row r="1283">
          <cell r="E1283" t="str">
            <v>RX12VHP5S1.AESPEVN</v>
          </cell>
          <cell r="F1283">
            <v>12</v>
          </cell>
          <cell r="G1283">
            <v>0</v>
          </cell>
          <cell r="H1283">
            <v>0</v>
          </cell>
          <cell r="I1283">
            <v>16</v>
          </cell>
          <cell r="J1283">
            <v>0</v>
          </cell>
          <cell r="K1283">
            <v>0</v>
          </cell>
          <cell r="L1283">
            <v>0</v>
          </cell>
          <cell r="M1283">
            <v>1</v>
          </cell>
          <cell r="N1283">
            <v>0</v>
          </cell>
          <cell r="O1283">
            <v>0</v>
          </cell>
          <cell r="P1283">
            <v>1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7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14</v>
          </cell>
          <cell r="AF1283">
            <v>0</v>
          </cell>
          <cell r="AG1283" t="str">
            <v>WMPREPLUS</v>
          </cell>
          <cell r="AH1283" t="str">
            <v>WM_Premium_Plus</v>
          </cell>
          <cell r="AI1283" t="str">
            <v/>
          </cell>
          <cell r="AJ1283" t="str">
            <v/>
          </cell>
          <cell r="AK1283" t="str">
            <v>0.414117</v>
          </cell>
          <cell r="AL1283" t="str">
            <v>2</v>
          </cell>
          <cell r="AM1283" t="str">
            <v>Q</v>
          </cell>
          <cell r="AN1283" t="str">
            <v>M0</v>
          </cell>
          <cell r="AO1283" t="str">
            <v>Active(Model)</v>
          </cell>
          <cell r="AP1283" t="str">
            <v/>
          </cell>
          <cell r="AQ1283" t="str">
            <v/>
          </cell>
          <cell r="AR1283" t="str">
            <v>Y</v>
          </cell>
          <cell r="AS1283" t="str">
            <v/>
          </cell>
          <cell r="AT1283" t="str">
            <v>WM</v>
          </cell>
          <cell r="AU1283" t="str">
            <v>Washing Machine</v>
          </cell>
          <cell r="AV1283" t="str">
            <v>WMWR</v>
          </cell>
          <cell r="AW1283" t="str">
            <v>Clothes Dryer</v>
          </cell>
          <cell r="AX1283" t="str">
            <v>WMWRWR</v>
          </cell>
          <cell r="AY1283" t="str">
            <v>Clothes Dryer</v>
          </cell>
          <cell r="AZ1283" t="str">
            <v>WMWRWRCA</v>
          </cell>
          <cell r="BA1283" t="str">
            <v>Clothes Dryer</v>
          </cell>
        </row>
        <row r="1284">
          <cell r="E1284" t="str">
            <v>RX12VHP5WB.AGWPEVN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 t="str">
            <v/>
          </cell>
          <cell r="AH1284" t="str">
            <v/>
          </cell>
          <cell r="AI1284" t="str">
            <v/>
          </cell>
          <cell r="AJ1284" t="str">
            <v/>
          </cell>
          <cell r="AK1284" t="str">
            <v>0.414117</v>
          </cell>
          <cell r="AL1284" t="str">
            <v>2</v>
          </cell>
          <cell r="AM1284" t="str">
            <v>Q</v>
          </cell>
          <cell r="AN1284" t="str">
            <v>M0</v>
          </cell>
          <cell r="AO1284" t="str">
            <v>Active(Model)</v>
          </cell>
          <cell r="AP1284" t="str">
            <v/>
          </cell>
          <cell r="AQ1284" t="str">
            <v/>
          </cell>
          <cell r="AR1284" t="str">
            <v>Y</v>
          </cell>
          <cell r="AS1284" t="str">
            <v/>
          </cell>
          <cell r="AT1284" t="str">
            <v>WM</v>
          </cell>
          <cell r="AU1284" t="str">
            <v>Washing Machine</v>
          </cell>
          <cell r="AV1284" t="str">
            <v>WMWR</v>
          </cell>
          <cell r="AW1284" t="str">
            <v>Clothes Dryer</v>
          </cell>
          <cell r="AX1284" t="str">
            <v>WMWRWR</v>
          </cell>
          <cell r="AY1284" t="str">
            <v>Clothes Dryer</v>
          </cell>
          <cell r="AZ1284" t="str">
            <v>WMWRWRCA</v>
          </cell>
          <cell r="BA1284" t="str">
            <v>Clothes Dryer</v>
          </cell>
        </row>
        <row r="1285">
          <cell r="E1285" t="str">
            <v>S20A.CVNMLLK</v>
          </cell>
          <cell r="F1285">
            <v>11</v>
          </cell>
          <cell r="G1285">
            <v>0</v>
          </cell>
          <cell r="H1285">
            <v>0</v>
          </cell>
          <cell r="I1285">
            <v>16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1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 t="str">
            <v/>
          </cell>
          <cell r="AH1285" t="str">
            <v/>
          </cell>
          <cell r="AI1285" t="str">
            <v/>
          </cell>
          <cell r="AJ1285" t="str">
            <v/>
          </cell>
          <cell r="AK1285" t="str">
            <v>0.014100</v>
          </cell>
          <cell r="AL1285" t="str">
            <v>0</v>
          </cell>
          <cell r="AM1285" t="str">
            <v>Q</v>
          </cell>
          <cell r="AN1285" t="str">
            <v>M0</v>
          </cell>
          <cell r="AO1285" t="str">
            <v>Active(Model)</v>
          </cell>
          <cell r="AP1285" t="str">
            <v/>
          </cell>
          <cell r="AQ1285" t="str">
            <v/>
          </cell>
          <cell r="AR1285" t="str">
            <v>Y</v>
          </cell>
          <cell r="AS1285" t="str">
            <v/>
          </cell>
          <cell r="AT1285" t="str">
            <v>AO</v>
          </cell>
          <cell r="AU1285" t="str">
            <v>AO</v>
          </cell>
          <cell r="AV1285" t="str">
            <v>AOAH</v>
          </cell>
          <cell r="AW1285" t="str">
            <v>HTS_OS</v>
          </cell>
          <cell r="AX1285" t="str">
            <v>AOAHHS</v>
          </cell>
          <cell r="AY1285" t="str">
            <v>Soundbar + HTS Speaker _OS</v>
          </cell>
          <cell r="AZ1285" t="str">
            <v>AOAHHSSO</v>
          </cell>
          <cell r="BA1285" t="str">
            <v>Soundbar_OS</v>
          </cell>
        </row>
        <row r="1286">
          <cell r="E1286" t="str">
            <v>S30A.AVNMLLK</v>
          </cell>
          <cell r="F1286">
            <v>0</v>
          </cell>
          <cell r="G1286">
            <v>0</v>
          </cell>
          <cell r="H1286">
            <v>0</v>
          </cell>
          <cell r="I1286">
            <v>15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90</v>
          </cell>
          <cell r="AB1286">
            <v>0</v>
          </cell>
          <cell r="AC1286">
            <v>3</v>
          </cell>
          <cell r="AD1286">
            <v>2</v>
          </cell>
          <cell r="AE1286">
            <v>2</v>
          </cell>
          <cell r="AF1286">
            <v>5</v>
          </cell>
          <cell r="AG1286" t="str">
            <v/>
          </cell>
          <cell r="AH1286" t="str">
            <v/>
          </cell>
          <cell r="AI1286" t="str">
            <v/>
          </cell>
          <cell r="AJ1286" t="str">
            <v/>
          </cell>
          <cell r="AK1286" t="str">
            <v>0.041388</v>
          </cell>
          <cell r="AL1286" t="str">
            <v>0</v>
          </cell>
          <cell r="AM1286" t="str">
            <v>Q</v>
          </cell>
          <cell r="AN1286" t="str">
            <v>M0</v>
          </cell>
          <cell r="AO1286" t="str">
            <v>Active(Model)</v>
          </cell>
          <cell r="AP1286" t="str">
            <v/>
          </cell>
          <cell r="AQ1286" t="str">
            <v/>
          </cell>
          <cell r="AR1286" t="str">
            <v>Y</v>
          </cell>
          <cell r="AS1286" t="str">
            <v/>
          </cell>
          <cell r="AT1286" t="str">
            <v>AO</v>
          </cell>
          <cell r="AU1286" t="str">
            <v>AO</v>
          </cell>
          <cell r="AV1286" t="str">
            <v>AOAH</v>
          </cell>
          <cell r="AW1286" t="str">
            <v>HTS_OS</v>
          </cell>
          <cell r="AX1286" t="str">
            <v>AOAHHS</v>
          </cell>
          <cell r="AY1286" t="str">
            <v>Soundbar + HTS Speaker _OS</v>
          </cell>
          <cell r="AZ1286" t="str">
            <v>AOAHHSSO</v>
          </cell>
          <cell r="BA1286" t="str">
            <v>Soundbar_OS</v>
          </cell>
        </row>
        <row r="1287">
          <cell r="E1287" t="str">
            <v>S40T.DVNMLLK</v>
          </cell>
          <cell r="F1287">
            <v>44</v>
          </cell>
          <cell r="G1287">
            <v>0</v>
          </cell>
          <cell r="H1287">
            <v>0</v>
          </cell>
          <cell r="I1287">
            <v>48</v>
          </cell>
          <cell r="J1287">
            <v>8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20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42</v>
          </cell>
          <cell r="AF1287">
            <v>0</v>
          </cell>
          <cell r="AG1287" t="str">
            <v/>
          </cell>
          <cell r="AH1287" t="str">
            <v/>
          </cell>
          <cell r="AI1287" t="str">
            <v/>
          </cell>
          <cell r="AJ1287" t="str">
            <v/>
          </cell>
          <cell r="AK1287" t="str">
            <v>0.046895</v>
          </cell>
          <cell r="AL1287" t="str">
            <v>0</v>
          </cell>
          <cell r="AM1287" t="str">
            <v>Q</v>
          </cell>
          <cell r="AN1287" t="str">
            <v>M0</v>
          </cell>
          <cell r="AO1287" t="str">
            <v>Active(Model)</v>
          </cell>
          <cell r="AP1287" t="str">
            <v/>
          </cell>
          <cell r="AQ1287" t="str">
            <v/>
          </cell>
          <cell r="AR1287" t="str">
            <v>Y</v>
          </cell>
          <cell r="AS1287" t="str">
            <v/>
          </cell>
          <cell r="AT1287" t="str">
            <v>AV</v>
          </cell>
          <cell r="AU1287" t="str">
            <v>AV</v>
          </cell>
          <cell r="AV1287" t="str">
            <v>AVAH</v>
          </cell>
          <cell r="AW1287" t="str">
            <v>HTS</v>
          </cell>
          <cell r="AX1287" t="str">
            <v>AVAHHS</v>
          </cell>
          <cell r="AY1287" t="str">
            <v>Soundbar + HTS Speaker</v>
          </cell>
          <cell r="AZ1287" t="str">
            <v>AVAHHSSO</v>
          </cell>
          <cell r="BA1287" t="str">
            <v>Soundbar</v>
          </cell>
        </row>
        <row r="1288">
          <cell r="E1288" t="str">
            <v>S60BG.ABMPEVN</v>
          </cell>
          <cell r="F1288">
            <v>0</v>
          </cell>
          <cell r="G1288">
            <v>0</v>
          </cell>
          <cell r="H1288">
            <v>0</v>
          </cell>
          <cell r="I1288">
            <v>7</v>
          </cell>
          <cell r="J1288">
            <v>0</v>
          </cell>
          <cell r="K1288">
            <v>50</v>
          </cell>
          <cell r="L1288">
            <v>0</v>
          </cell>
          <cell r="M1288">
            <v>0</v>
          </cell>
          <cell r="N1288">
            <v>0</v>
          </cell>
          <cell r="O1288">
            <v>11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 t="str">
            <v>REFPREMIUM</v>
          </cell>
          <cell r="AH1288" t="str">
            <v>REF_Premium</v>
          </cell>
          <cell r="AI1288" t="str">
            <v/>
          </cell>
          <cell r="AJ1288" t="str">
            <v/>
          </cell>
          <cell r="AK1288" t="str">
            <v>1.393595</v>
          </cell>
          <cell r="AL1288" t="str">
            <v>2</v>
          </cell>
          <cell r="AM1288" t="str">
            <v>Q</v>
          </cell>
          <cell r="AN1288" t="str">
            <v>M0</v>
          </cell>
          <cell r="AO1288" t="str">
            <v>Active(Model)</v>
          </cell>
          <cell r="AP1288" t="str">
            <v/>
          </cell>
          <cell r="AQ1288" t="str">
            <v/>
          </cell>
          <cell r="AR1288" t="str">
            <v>Y</v>
          </cell>
          <cell r="AS1288" t="str">
            <v/>
          </cell>
          <cell r="AT1288" t="str">
            <v>RF</v>
          </cell>
          <cell r="AU1288" t="str">
            <v>Refrigerator</v>
          </cell>
          <cell r="AV1288" t="str">
            <v>RFSS</v>
          </cell>
          <cell r="AW1288" t="str">
            <v>SxS</v>
          </cell>
          <cell r="AX1288" t="str">
            <v>RFSSSS</v>
          </cell>
          <cell r="AY1288" t="str">
            <v>SxS</v>
          </cell>
          <cell r="AZ1288" t="str">
            <v>RFSSSS21</v>
          </cell>
          <cell r="BA1288" t="str">
            <v>SxS 21CU</v>
          </cell>
        </row>
        <row r="1289">
          <cell r="E1289" t="str">
            <v>S60T.AVNMLLK</v>
          </cell>
          <cell r="F1289">
            <v>4</v>
          </cell>
          <cell r="G1289">
            <v>0</v>
          </cell>
          <cell r="H1289">
            <v>0</v>
          </cell>
          <cell r="I1289">
            <v>12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 t="str">
            <v/>
          </cell>
          <cell r="AH1289" t="str">
            <v/>
          </cell>
          <cell r="AI1289" t="str">
            <v/>
          </cell>
          <cell r="AJ1289" t="str">
            <v/>
          </cell>
          <cell r="AK1289" t="str">
            <v>0.113486</v>
          </cell>
          <cell r="AL1289" t="str">
            <v>0</v>
          </cell>
          <cell r="AM1289" t="str">
            <v>Q</v>
          </cell>
          <cell r="AN1289" t="str">
            <v>M0</v>
          </cell>
          <cell r="AO1289" t="str">
            <v>Active(Model)</v>
          </cell>
          <cell r="AP1289" t="str">
            <v/>
          </cell>
          <cell r="AQ1289" t="str">
            <v/>
          </cell>
          <cell r="AR1289" t="str">
            <v>Y</v>
          </cell>
          <cell r="AS1289" t="str">
            <v/>
          </cell>
          <cell r="AT1289" t="str">
            <v>AO</v>
          </cell>
          <cell r="AU1289" t="str">
            <v>AO</v>
          </cell>
          <cell r="AV1289" t="str">
            <v>AOAH</v>
          </cell>
          <cell r="AW1289" t="str">
            <v>HTS_OS</v>
          </cell>
          <cell r="AX1289" t="str">
            <v>AOAHHS</v>
          </cell>
          <cell r="AY1289" t="str">
            <v>Soundbar + HTS Speaker _OS</v>
          </cell>
          <cell r="AZ1289" t="str">
            <v>AOAHHSSO</v>
          </cell>
          <cell r="BA1289" t="str">
            <v>Soundbar_OS</v>
          </cell>
        </row>
        <row r="1290">
          <cell r="E1290" t="str">
            <v>S60TR.AVNMLLK</v>
          </cell>
          <cell r="F1290">
            <v>0</v>
          </cell>
          <cell r="G1290">
            <v>0</v>
          </cell>
          <cell r="H1290">
            <v>0</v>
          </cell>
          <cell r="I1290">
            <v>17</v>
          </cell>
          <cell r="J1290">
            <v>0</v>
          </cell>
          <cell r="K1290">
            <v>41</v>
          </cell>
          <cell r="L1290">
            <v>0</v>
          </cell>
          <cell r="M1290">
            <v>9</v>
          </cell>
          <cell r="N1290">
            <v>0</v>
          </cell>
          <cell r="O1290">
            <v>0</v>
          </cell>
          <cell r="P1290">
            <v>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1</v>
          </cell>
          <cell r="AF1290">
            <v>0</v>
          </cell>
          <cell r="AG1290" t="str">
            <v/>
          </cell>
          <cell r="AH1290" t="str">
            <v/>
          </cell>
          <cell r="AI1290" t="str">
            <v/>
          </cell>
          <cell r="AJ1290" t="str">
            <v/>
          </cell>
          <cell r="AK1290" t="str">
            <v>0.113486</v>
          </cell>
          <cell r="AL1290" t="str">
            <v>0</v>
          </cell>
          <cell r="AM1290" t="str">
            <v>Q</v>
          </cell>
          <cell r="AN1290" t="str">
            <v>M0</v>
          </cell>
          <cell r="AO1290" t="str">
            <v>Active(Model)</v>
          </cell>
          <cell r="AP1290" t="str">
            <v/>
          </cell>
          <cell r="AQ1290" t="str">
            <v/>
          </cell>
          <cell r="AR1290" t="str">
            <v>Y</v>
          </cell>
          <cell r="AS1290" t="str">
            <v/>
          </cell>
          <cell r="AT1290" t="str">
            <v>AO</v>
          </cell>
          <cell r="AU1290" t="str">
            <v>AO</v>
          </cell>
          <cell r="AV1290" t="str">
            <v>AOAH</v>
          </cell>
          <cell r="AW1290" t="str">
            <v>HTS_OS</v>
          </cell>
          <cell r="AX1290" t="str">
            <v>AOAHHS</v>
          </cell>
          <cell r="AY1290" t="str">
            <v>Soundbar + HTS Speaker _OS</v>
          </cell>
          <cell r="AZ1290" t="str">
            <v>AOAHHSSO</v>
          </cell>
          <cell r="BA1290" t="str">
            <v>Soundbar_OS</v>
          </cell>
        </row>
        <row r="1291">
          <cell r="E1291" t="str">
            <v>S65TR.AVNMMLK</v>
          </cell>
          <cell r="F1291">
            <v>129</v>
          </cell>
          <cell r="G1291">
            <v>0</v>
          </cell>
          <cell r="H1291">
            <v>0</v>
          </cell>
          <cell r="I1291">
            <v>129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 t="str">
            <v/>
          </cell>
          <cell r="AH1291" t="str">
            <v/>
          </cell>
          <cell r="AI1291" t="str">
            <v/>
          </cell>
          <cell r="AJ1291" t="str">
            <v/>
          </cell>
          <cell r="AK1291" t="str">
            <v>0.113486</v>
          </cell>
          <cell r="AL1291" t="str">
            <v>0</v>
          </cell>
          <cell r="AM1291" t="str">
            <v>Q</v>
          </cell>
          <cell r="AN1291" t="str">
            <v>M0</v>
          </cell>
          <cell r="AO1291" t="str">
            <v>Active(Model)</v>
          </cell>
          <cell r="AP1291" t="str">
            <v/>
          </cell>
          <cell r="AQ1291" t="str">
            <v/>
          </cell>
          <cell r="AR1291" t="str">
            <v>Y</v>
          </cell>
          <cell r="AS1291" t="str">
            <v/>
          </cell>
          <cell r="AT1291" t="str">
            <v>AO</v>
          </cell>
          <cell r="AU1291" t="str">
            <v>AO</v>
          </cell>
          <cell r="AV1291" t="str">
            <v>AOAH</v>
          </cell>
          <cell r="AW1291" t="str">
            <v>HTS_OS</v>
          </cell>
          <cell r="AX1291" t="str">
            <v>AOAHHS</v>
          </cell>
          <cell r="AY1291" t="str">
            <v>Soundbar + HTS Speaker _OS</v>
          </cell>
          <cell r="AZ1291" t="str">
            <v>AOAHHSSO</v>
          </cell>
          <cell r="BA1291" t="str">
            <v>Soundbar_OS</v>
          </cell>
        </row>
        <row r="1292">
          <cell r="E1292" t="str">
            <v>S70TY.AVNMLLD</v>
          </cell>
          <cell r="F1292">
            <v>6</v>
          </cell>
          <cell r="G1292">
            <v>0</v>
          </cell>
          <cell r="H1292">
            <v>0</v>
          </cell>
          <cell r="I1292">
            <v>48</v>
          </cell>
          <cell r="J1292">
            <v>12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1</v>
          </cell>
          <cell r="AD1292">
            <v>10</v>
          </cell>
          <cell r="AE1292">
            <v>192</v>
          </cell>
          <cell r="AF1292">
            <v>11</v>
          </cell>
          <cell r="AG1292" t="str">
            <v/>
          </cell>
          <cell r="AH1292" t="str">
            <v/>
          </cell>
          <cell r="AI1292" t="str">
            <v/>
          </cell>
          <cell r="AJ1292" t="str">
            <v/>
          </cell>
          <cell r="AK1292" t="str">
            <v>0.120602</v>
          </cell>
          <cell r="AL1292" t="str">
            <v>0</v>
          </cell>
          <cell r="AM1292" t="str">
            <v>Q</v>
          </cell>
          <cell r="AN1292" t="str">
            <v>M0</v>
          </cell>
          <cell r="AO1292" t="str">
            <v>Active(Model)</v>
          </cell>
          <cell r="AP1292" t="str">
            <v/>
          </cell>
          <cell r="AQ1292" t="str">
            <v/>
          </cell>
          <cell r="AR1292" t="str">
            <v>Y</v>
          </cell>
          <cell r="AS1292" t="str">
            <v/>
          </cell>
          <cell r="AT1292" t="str">
            <v>AO</v>
          </cell>
          <cell r="AU1292" t="str">
            <v>AO</v>
          </cell>
          <cell r="AV1292" t="str">
            <v>AOAH</v>
          </cell>
          <cell r="AW1292" t="str">
            <v>HTS_OS</v>
          </cell>
          <cell r="AX1292" t="str">
            <v>AOAHHS</v>
          </cell>
          <cell r="AY1292" t="str">
            <v>Soundbar + HTS Speaker _OS</v>
          </cell>
          <cell r="AZ1292" t="str">
            <v>AOAHHSSO</v>
          </cell>
          <cell r="BA1292" t="str">
            <v>Soundbar_OS</v>
          </cell>
        </row>
        <row r="1293">
          <cell r="E1293" t="str">
            <v>S95AR.DVNMLLK</v>
          </cell>
          <cell r="F1293">
            <v>0</v>
          </cell>
          <cell r="G1293">
            <v>0</v>
          </cell>
          <cell r="H1293">
            <v>0</v>
          </cell>
          <cell r="I1293">
            <v>4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3</v>
          </cell>
          <cell r="AF1293">
            <v>0</v>
          </cell>
          <cell r="AG1293" t="str">
            <v/>
          </cell>
          <cell r="AH1293" t="str">
            <v/>
          </cell>
          <cell r="AI1293" t="str">
            <v/>
          </cell>
          <cell r="AJ1293" t="str">
            <v/>
          </cell>
          <cell r="AK1293" t="str">
            <v>0.200798</v>
          </cell>
          <cell r="AL1293" t="str">
            <v>0</v>
          </cell>
          <cell r="AM1293" t="str">
            <v>Q</v>
          </cell>
          <cell r="AN1293" t="str">
            <v>M0</v>
          </cell>
          <cell r="AO1293" t="str">
            <v>Active(Model)</v>
          </cell>
          <cell r="AP1293" t="str">
            <v/>
          </cell>
          <cell r="AQ1293" t="str">
            <v/>
          </cell>
          <cell r="AR1293" t="str">
            <v>Y</v>
          </cell>
          <cell r="AS1293" t="str">
            <v/>
          </cell>
          <cell r="AT1293" t="str">
            <v>AV</v>
          </cell>
          <cell r="AU1293" t="str">
            <v>AV</v>
          </cell>
          <cell r="AV1293" t="str">
            <v>AVAH</v>
          </cell>
          <cell r="AW1293" t="str">
            <v>HTS</v>
          </cell>
          <cell r="AX1293" t="str">
            <v>AVAHHS</v>
          </cell>
          <cell r="AY1293" t="str">
            <v>Soundbar + HTS Speaker</v>
          </cell>
          <cell r="AZ1293" t="str">
            <v>AVAHHSSO</v>
          </cell>
          <cell r="BA1293" t="str">
            <v>Soundbar</v>
          </cell>
        </row>
        <row r="1294">
          <cell r="E1294" t="str">
            <v>SA-90SO8675.AL</v>
          </cell>
          <cell r="F1294">
            <v>5</v>
          </cell>
          <cell r="G1294">
            <v>0</v>
          </cell>
          <cell r="H1294">
            <v>0</v>
          </cell>
          <cell r="I1294">
            <v>5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 t="str">
            <v>LTV</v>
          </cell>
          <cell r="AH1294" t="str">
            <v>LTV</v>
          </cell>
          <cell r="AI1294" t="str">
            <v/>
          </cell>
          <cell r="AJ1294" t="str">
            <v/>
          </cell>
          <cell r="AK1294" t="str">
            <v>0.040040</v>
          </cell>
          <cell r="AL1294" t="str">
            <v>2</v>
          </cell>
          <cell r="AM1294" t="str">
            <v>Q</v>
          </cell>
          <cell r="AN1294" t="str">
            <v>M0</v>
          </cell>
          <cell r="AO1294" t="str">
            <v>Active(Model)</v>
          </cell>
          <cell r="AP1294" t="str">
            <v/>
          </cell>
          <cell r="AQ1294" t="str">
            <v/>
          </cell>
          <cell r="AR1294" t="str">
            <v>Y</v>
          </cell>
          <cell r="AS1294" t="str">
            <v/>
          </cell>
          <cell r="AT1294" t="str">
            <v>TV</v>
          </cell>
          <cell r="AU1294" t="str">
            <v>TV</v>
          </cell>
          <cell r="AV1294" t="str">
            <v>TVAC</v>
          </cell>
          <cell r="AW1294" t="str">
            <v>TV Accessory</v>
          </cell>
          <cell r="AX1294" t="str">
            <v>TVACIA</v>
          </cell>
          <cell r="AY1294" t="str">
            <v>TV Acc Instrument(Except for PDP TV)</v>
          </cell>
          <cell r="AZ1294" t="str">
            <v>TVACIANN</v>
          </cell>
          <cell r="BA1294" t="str">
            <v>TV Acc Instrument(Except for PDP TV)</v>
          </cell>
        </row>
        <row r="1295">
          <cell r="E1295" t="str">
            <v>SA-G5SN55.AL</v>
          </cell>
          <cell r="F1295">
            <v>35</v>
          </cell>
          <cell r="G1295">
            <v>0</v>
          </cell>
          <cell r="H1295">
            <v>0</v>
          </cell>
          <cell r="I1295">
            <v>35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 t="str">
            <v>LTV</v>
          </cell>
          <cell r="AH1295" t="str">
            <v>LTV</v>
          </cell>
          <cell r="AI1295" t="str">
            <v/>
          </cell>
          <cell r="AJ1295" t="str">
            <v/>
          </cell>
          <cell r="AK1295" t="str">
            <v>0.087489</v>
          </cell>
          <cell r="AL1295" t="str">
            <v>2</v>
          </cell>
          <cell r="AM1295" t="str">
            <v>Q</v>
          </cell>
          <cell r="AN1295" t="str">
            <v>M0</v>
          </cell>
          <cell r="AO1295" t="str">
            <v>Active(Model)</v>
          </cell>
          <cell r="AP1295" t="str">
            <v/>
          </cell>
          <cell r="AQ1295" t="str">
            <v/>
          </cell>
          <cell r="AR1295" t="str">
            <v>Y</v>
          </cell>
          <cell r="AS1295" t="str">
            <v/>
          </cell>
          <cell r="AT1295" t="str">
            <v>TV</v>
          </cell>
          <cell r="AU1295" t="str">
            <v>TV</v>
          </cell>
          <cell r="AV1295" t="str">
            <v>TVAC</v>
          </cell>
          <cell r="AW1295" t="str">
            <v>TV Accessory</v>
          </cell>
          <cell r="AX1295" t="str">
            <v>TVACEA</v>
          </cell>
          <cell r="AY1295" t="str">
            <v>TV etc.(Except for PDP TV)</v>
          </cell>
          <cell r="AZ1295" t="str">
            <v>TVACEANN</v>
          </cell>
          <cell r="BA1295" t="str">
            <v>TV etc.(Except for PDP TV)</v>
          </cell>
        </row>
        <row r="1296">
          <cell r="E1296" t="str">
            <v>SA-G5SN65.AL</v>
          </cell>
          <cell r="F1296">
            <v>77</v>
          </cell>
          <cell r="G1296">
            <v>0</v>
          </cell>
          <cell r="H1296">
            <v>0</v>
          </cell>
          <cell r="I1296">
            <v>77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1</v>
          </cell>
          <cell r="AF1296">
            <v>0</v>
          </cell>
          <cell r="AG1296" t="str">
            <v>LTV</v>
          </cell>
          <cell r="AH1296" t="str">
            <v>LTV</v>
          </cell>
          <cell r="AI1296" t="str">
            <v/>
          </cell>
          <cell r="AJ1296" t="str">
            <v/>
          </cell>
          <cell r="AK1296" t="str">
            <v>0.087489</v>
          </cell>
          <cell r="AL1296" t="str">
            <v>2</v>
          </cell>
          <cell r="AM1296" t="str">
            <v>Q</v>
          </cell>
          <cell r="AN1296" t="str">
            <v>M0</v>
          </cell>
          <cell r="AO1296" t="str">
            <v>Active(Model)</v>
          </cell>
          <cell r="AP1296" t="str">
            <v/>
          </cell>
          <cell r="AQ1296" t="str">
            <v/>
          </cell>
          <cell r="AR1296" t="str">
            <v>Y</v>
          </cell>
          <cell r="AS1296" t="str">
            <v/>
          </cell>
          <cell r="AT1296" t="str">
            <v>TV</v>
          </cell>
          <cell r="AU1296" t="str">
            <v>TV</v>
          </cell>
          <cell r="AV1296" t="str">
            <v>TVAC</v>
          </cell>
          <cell r="AW1296" t="str">
            <v>TV Accessory</v>
          </cell>
          <cell r="AX1296" t="str">
            <v>TVACEA</v>
          </cell>
          <cell r="AY1296" t="str">
            <v>TV etc.(Except for PDP TV)</v>
          </cell>
          <cell r="AZ1296" t="str">
            <v>TVACEANN</v>
          </cell>
          <cell r="BA1296" t="str">
            <v>TV etc.(Except for PDP TV)</v>
          </cell>
        </row>
        <row r="1297">
          <cell r="E1297" t="str">
            <v>SC5GMR80H.ABMPEVN</v>
          </cell>
          <cell r="F1297">
            <v>82</v>
          </cell>
          <cell r="G1297">
            <v>0</v>
          </cell>
          <cell r="H1297">
            <v>0</v>
          </cell>
          <cell r="I1297">
            <v>106</v>
          </cell>
          <cell r="J1297">
            <v>0</v>
          </cell>
          <cell r="K1297">
            <v>15</v>
          </cell>
          <cell r="L1297">
            <v>0</v>
          </cell>
          <cell r="M1297">
            <v>6</v>
          </cell>
          <cell r="N1297">
            <v>0</v>
          </cell>
          <cell r="O1297">
            <v>31</v>
          </cell>
          <cell r="P1297">
            <v>6</v>
          </cell>
          <cell r="Q1297">
            <v>51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 t="str">
            <v>WMPREPLUS</v>
          </cell>
          <cell r="AH1297" t="str">
            <v>WM_Premium_Plus</v>
          </cell>
          <cell r="AI1297" t="str">
            <v/>
          </cell>
          <cell r="AJ1297" t="str">
            <v/>
          </cell>
          <cell r="AK1297" t="str">
            <v>1.031835</v>
          </cell>
          <cell r="AL1297" t="str">
            <v>2</v>
          </cell>
          <cell r="AM1297" t="str">
            <v>Q</v>
          </cell>
          <cell r="AN1297" t="str">
            <v>M0</v>
          </cell>
          <cell r="AO1297" t="str">
            <v>Active(Model)</v>
          </cell>
          <cell r="AP1297" t="str">
            <v/>
          </cell>
          <cell r="AQ1297" t="str">
            <v/>
          </cell>
          <cell r="AR1297" t="str">
            <v>Y</v>
          </cell>
          <cell r="AS1297" t="str">
            <v/>
          </cell>
          <cell r="AT1297" t="str">
            <v>WM</v>
          </cell>
          <cell r="AU1297" t="str">
            <v>Washing Machine</v>
          </cell>
          <cell r="AV1297" t="str">
            <v>WMWF</v>
          </cell>
          <cell r="AW1297" t="str">
            <v>Clothes Styler</v>
          </cell>
          <cell r="AX1297" t="str">
            <v>WMWFWF</v>
          </cell>
          <cell r="AY1297" t="str">
            <v>Clothes_Styler</v>
          </cell>
          <cell r="AZ1297" t="str">
            <v>WMWFWFCA</v>
          </cell>
          <cell r="BA1297" t="str">
            <v>Clothes_Styler</v>
          </cell>
        </row>
        <row r="1298">
          <cell r="E1298" t="str">
            <v>SC5MBR80H.ASBPEVN</v>
          </cell>
          <cell r="F1298">
            <v>0</v>
          </cell>
          <cell r="G1298">
            <v>0</v>
          </cell>
          <cell r="H1298">
            <v>0</v>
          </cell>
          <cell r="I1298">
            <v>15</v>
          </cell>
          <cell r="J1298">
            <v>0</v>
          </cell>
          <cell r="K1298">
            <v>0</v>
          </cell>
          <cell r="L1298">
            <v>0</v>
          </cell>
          <cell r="M1298">
            <v>2</v>
          </cell>
          <cell r="N1298">
            <v>1</v>
          </cell>
          <cell r="O1298">
            <v>10</v>
          </cell>
          <cell r="P1298">
            <v>3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1</v>
          </cell>
          <cell r="AF1298">
            <v>0</v>
          </cell>
          <cell r="AG1298" t="str">
            <v>WMPREPLUS</v>
          </cell>
          <cell r="AH1298" t="str">
            <v>WM_Premium_Plus</v>
          </cell>
          <cell r="AI1298" t="str">
            <v/>
          </cell>
          <cell r="AJ1298" t="str">
            <v/>
          </cell>
          <cell r="AK1298" t="str">
            <v>1.031835</v>
          </cell>
          <cell r="AL1298" t="str">
            <v>2</v>
          </cell>
          <cell r="AM1298" t="str">
            <v>Q</v>
          </cell>
          <cell r="AN1298" t="str">
            <v>M0</v>
          </cell>
          <cell r="AO1298" t="str">
            <v>Active(Model)</v>
          </cell>
          <cell r="AP1298" t="str">
            <v/>
          </cell>
          <cell r="AQ1298" t="str">
            <v/>
          </cell>
          <cell r="AR1298" t="str">
            <v>Y</v>
          </cell>
          <cell r="AS1298" t="str">
            <v/>
          </cell>
          <cell r="AT1298" t="str">
            <v>WM</v>
          </cell>
          <cell r="AU1298" t="str">
            <v>Washing Machine</v>
          </cell>
          <cell r="AV1298" t="str">
            <v>WMWF</v>
          </cell>
          <cell r="AW1298" t="str">
            <v>Clothes Styler</v>
          </cell>
          <cell r="AX1298" t="str">
            <v>WMWFWF</v>
          </cell>
          <cell r="AY1298" t="str">
            <v>Clothes_Styler</v>
          </cell>
          <cell r="AZ1298" t="str">
            <v>WMWFWFCA</v>
          </cell>
          <cell r="BA1298" t="str">
            <v>Clothes_Styler</v>
          </cell>
        </row>
        <row r="1299">
          <cell r="E1299" t="str">
            <v>SC5MNR4G.ABMPEVN</v>
          </cell>
          <cell r="F1299">
            <v>0</v>
          </cell>
          <cell r="G1299">
            <v>0</v>
          </cell>
          <cell r="H1299">
            <v>0</v>
          </cell>
          <cell r="I1299">
            <v>4</v>
          </cell>
          <cell r="J1299">
            <v>0</v>
          </cell>
          <cell r="K1299">
            <v>2</v>
          </cell>
          <cell r="L1299">
            <v>3</v>
          </cell>
          <cell r="M1299">
            <v>0</v>
          </cell>
          <cell r="N1299">
            <v>0</v>
          </cell>
          <cell r="O1299">
            <v>4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 t="str">
            <v>WMPREPLUS</v>
          </cell>
          <cell r="AH1299" t="str">
            <v>WM_Premium_Plus</v>
          </cell>
          <cell r="AI1299" t="str">
            <v/>
          </cell>
          <cell r="AJ1299" t="str">
            <v/>
          </cell>
          <cell r="AK1299" t="str">
            <v>1.031835</v>
          </cell>
          <cell r="AL1299" t="str">
            <v>0</v>
          </cell>
          <cell r="AM1299" t="str">
            <v>Q</v>
          </cell>
          <cell r="AN1299" t="str">
            <v>M0</v>
          </cell>
          <cell r="AO1299" t="str">
            <v>Active(Model)</v>
          </cell>
          <cell r="AP1299" t="str">
            <v/>
          </cell>
          <cell r="AQ1299" t="str">
            <v/>
          </cell>
          <cell r="AR1299" t="str">
            <v>Y</v>
          </cell>
          <cell r="AS1299" t="str">
            <v/>
          </cell>
          <cell r="AT1299" t="str">
            <v>WM</v>
          </cell>
          <cell r="AU1299" t="str">
            <v>Washing Machine</v>
          </cell>
          <cell r="AV1299" t="str">
            <v>WMWF</v>
          </cell>
          <cell r="AW1299" t="str">
            <v>Clothes Styler</v>
          </cell>
          <cell r="AX1299" t="str">
            <v>WMWFWF</v>
          </cell>
          <cell r="AY1299" t="str">
            <v>Clothes_Styler</v>
          </cell>
          <cell r="AZ1299" t="str">
            <v>WMWFWFCA</v>
          </cell>
          <cell r="BA1299" t="str">
            <v>Clothes_Styler</v>
          </cell>
        </row>
        <row r="1300">
          <cell r="E1300" t="str">
            <v>SC9S.DVNMLLM</v>
          </cell>
          <cell r="F1300">
            <v>33</v>
          </cell>
          <cell r="G1300">
            <v>0</v>
          </cell>
          <cell r="H1300">
            <v>0</v>
          </cell>
          <cell r="I1300">
            <v>43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 t="str">
            <v/>
          </cell>
          <cell r="AH1300" t="str">
            <v/>
          </cell>
          <cell r="AI1300" t="str">
            <v/>
          </cell>
          <cell r="AJ1300" t="str">
            <v/>
          </cell>
          <cell r="AK1300" t="str">
            <v>0.165406</v>
          </cell>
          <cell r="AL1300" t="str">
            <v>0</v>
          </cell>
          <cell r="AM1300" t="str">
            <v>Q</v>
          </cell>
          <cell r="AN1300" t="str">
            <v>M0</v>
          </cell>
          <cell r="AO1300" t="str">
            <v>Active(Model)</v>
          </cell>
          <cell r="AP1300" t="str">
            <v/>
          </cell>
          <cell r="AQ1300" t="str">
            <v/>
          </cell>
          <cell r="AR1300" t="str">
            <v>Y</v>
          </cell>
          <cell r="AS1300" t="str">
            <v/>
          </cell>
          <cell r="AT1300" t="str">
            <v>AV</v>
          </cell>
          <cell r="AU1300" t="str">
            <v>AV</v>
          </cell>
          <cell r="AV1300" t="str">
            <v>AVAH</v>
          </cell>
          <cell r="AW1300" t="str">
            <v>HTS</v>
          </cell>
          <cell r="AX1300" t="str">
            <v>AVAHHS</v>
          </cell>
          <cell r="AY1300" t="str">
            <v>Soundbar + HTS Speaker</v>
          </cell>
          <cell r="AZ1300" t="str">
            <v>AVAHHSSO</v>
          </cell>
          <cell r="BA1300" t="str">
            <v>Soundbar</v>
          </cell>
        </row>
        <row r="1301">
          <cell r="E1301" t="str">
            <v>SG10TY.DVNMLLK</v>
          </cell>
          <cell r="F1301">
            <v>0</v>
          </cell>
          <cell r="G1301">
            <v>0</v>
          </cell>
          <cell r="H1301">
            <v>0</v>
          </cell>
          <cell r="I1301">
            <v>4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15</v>
          </cell>
          <cell r="AF1301">
            <v>0</v>
          </cell>
          <cell r="AG1301" t="str">
            <v/>
          </cell>
          <cell r="AH1301" t="str">
            <v/>
          </cell>
          <cell r="AI1301" t="str">
            <v/>
          </cell>
          <cell r="AJ1301" t="str">
            <v/>
          </cell>
          <cell r="AK1301" t="str">
            <v>0.164195</v>
          </cell>
          <cell r="AL1301" t="str">
            <v>0</v>
          </cell>
          <cell r="AM1301" t="str">
            <v>Q</v>
          </cell>
          <cell r="AN1301" t="str">
            <v>M0</v>
          </cell>
          <cell r="AO1301" t="str">
            <v>Active(Model)</v>
          </cell>
          <cell r="AP1301" t="str">
            <v/>
          </cell>
          <cell r="AQ1301" t="str">
            <v/>
          </cell>
          <cell r="AR1301" t="str">
            <v>Y</v>
          </cell>
          <cell r="AS1301" t="str">
            <v/>
          </cell>
          <cell r="AT1301" t="str">
            <v>AV</v>
          </cell>
          <cell r="AU1301" t="str">
            <v>AV</v>
          </cell>
          <cell r="AV1301" t="str">
            <v>AVAH</v>
          </cell>
          <cell r="AW1301" t="str">
            <v>HTS</v>
          </cell>
          <cell r="AX1301" t="str">
            <v>AVAHHS</v>
          </cell>
          <cell r="AY1301" t="str">
            <v>Soundbar + HTS Speaker</v>
          </cell>
          <cell r="AZ1301" t="str">
            <v>AVAHHSSO</v>
          </cell>
          <cell r="BA1301" t="str">
            <v>Soundbar</v>
          </cell>
        </row>
        <row r="1302">
          <cell r="E1302" t="str">
            <v>SQ-G2DT97.AL</v>
          </cell>
          <cell r="F1302">
            <v>1</v>
          </cell>
          <cell r="G1302">
            <v>0</v>
          </cell>
          <cell r="H1302">
            <v>0</v>
          </cell>
          <cell r="I1302">
            <v>1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 t="str">
            <v/>
          </cell>
          <cell r="AH1302" t="str">
            <v/>
          </cell>
          <cell r="AI1302" t="str">
            <v/>
          </cell>
          <cell r="AJ1302" t="str">
            <v/>
          </cell>
          <cell r="AK1302" t="str">
            <v>0.100855</v>
          </cell>
          <cell r="AL1302" t="str">
            <v>2</v>
          </cell>
          <cell r="AM1302" t="str">
            <v>Q</v>
          </cell>
          <cell r="AN1302" t="str">
            <v>M0</v>
          </cell>
          <cell r="AO1302" t="str">
            <v>Active(Model)</v>
          </cell>
          <cell r="AP1302" t="str">
            <v/>
          </cell>
          <cell r="AQ1302" t="str">
            <v/>
          </cell>
          <cell r="AR1302" t="str">
            <v>Y</v>
          </cell>
          <cell r="AS1302" t="str">
            <v/>
          </cell>
          <cell r="AT1302" t="str">
            <v>TV</v>
          </cell>
          <cell r="AU1302" t="str">
            <v>TV</v>
          </cell>
          <cell r="AV1302" t="str">
            <v>TVAC</v>
          </cell>
          <cell r="AW1302" t="str">
            <v>TV Accessory</v>
          </cell>
          <cell r="AX1302" t="str">
            <v>TVACIA</v>
          </cell>
          <cell r="AY1302" t="str">
            <v>TV Acc Instrument(Except for PDP TV)</v>
          </cell>
          <cell r="AZ1302" t="str">
            <v>TVACIANN</v>
          </cell>
          <cell r="BA1302" t="str">
            <v>TV Acc Instrument(Except for PDP TV)</v>
          </cell>
        </row>
        <row r="1303">
          <cell r="E1303" t="str">
            <v>ST-G4WR8377.AL</v>
          </cell>
          <cell r="F1303">
            <v>55</v>
          </cell>
          <cell r="G1303">
            <v>0</v>
          </cell>
          <cell r="H1303">
            <v>0</v>
          </cell>
          <cell r="I1303">
            <v>55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 t="str">
            <v>LTV</v>
          </cell>
          <cell r="AH1303" t="str">
            <v>LTV</v>
          </cell>
          <cell r="AI1303" t="str">
            <v/>
          </cell>
          <cell r="AJ1303" t="str">
            <v/>
          </cell>
          <cell r="AK1303" t="str">
            <v>0.089113</v>
          </cell>
          <cell r="AL1303" t="str">
            <v>2</v>
          </cell>
          <cell r="AM1303" t="str">
            <v>Q</v>
          </cell>
          <cell r="AN1303" t="str">
            <v>M0</v>
          </cell>
          <cell r="AO1303" t="str">
            <v>Active(Model)</v>
          </cell>
          <cell r="AP1303" t="str">
            <v/>
          </cell>
          <cell r="AQ1303" t="str">
            <v/>
          </cell>
          <cell r="AR1303" t="str">
            <v>Y</v>
          </cell>
          <cell r="AS1303" t="str">
            <v/>
          </cell>
          <cell r="AT1303" t="str">
            <v>TV</v>
          </cell>
          <cell r="AU1303" t="str">
            <v>TV</v>
          </cell>
          <cell r="AV1303" t="str">
            <v>TVAC</v>
          </cell>
          <cell r="AW1303" t="str">
            <v>TV Accessory</v>
          </cell>
          <cell r="AX1303" t="str">
            <v>TVACIA</v>
          </cell>
          <cell r="AY1303" t="str">
            <v>TV Acc Instrument(Except for PDP TV)</v>
          </cell>
          <cell r="AZ1303" t="str">
            <v>TVACIANN</v>
          </cell>
          <cell r="BA1303" t="str">
            <v>TV Acc Instrument(Except for PDP TV)</v>
          </cell>
        </row>
        <row r="1304">
          <cell r="E1304" t="str">
            <v>STB-6500.ATV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 t="str">
            <v>ID</v>
          </cell>
          <cell r="AH1304" t="str">
            <v>Information Display</v>
          </cell>
          <cell r="AI1304" t="str">
            <v/>
          </cell>
          <cell r="AJ1304" t="str">
            <v/>
          </cell>
          <cell r="AK1304" t="str">
            <v>0.010357</v>
          </cell>
          <cell r="AL1304" t="str">
            <v>2</v>
          </cell>
          <cell r="AM1304" t="str">
            <v>Q</v>
          </cell>
          <cell r="AN1304" t="str">
            <v>M0</v>
          </cell>
          <cell r="AO1304" t="str">
            <v>Active(Model)</v>
          </cell>
          <cell r="AP1304" t="str">
            <v/>
          </cell>
          <cell r="AQ1304" t="str">
            <v/>
          </cell>
          <cell r="AR1304" t="str">
            <v>Y</v>
          </cell>
          <cell r="AS1304" t="str">
            <v/>
          </cell>
          <cell r="AT1304" t="str">
            <v>HT</v>
          </cell>
          <cell r="AU1304" t="str">
            <v>Commercial Display_Hotel</v>
          </cell>
          <cell r="AV1304" t="str">
            <v>HTTA</v>
          </cell>
          <cell r="AW1304" t="str">
            <v>Commercial_TV Accessory</v>
          </cell>
          <cell r="AX1304" t="str">
            <v>HTTABA</v>
          </cell>
          <cell r="AY1304" t="str">
            <v>Commercial_TV Acc Set-top Box(Except for PDP TV)</v>
          </cell>
          <cell r="AZ1304" t="str">
            <v>HTTABANN</v>
          </cell>
          <cell r="BA1304" t="str">
            <v>Commercial_TV Acc Set-top Box(Except for PDP TV)</v>
          </cell>
        </row>
        <row r="1305">
          <cell r="E1305" t="str">
            <v>T19BM.AEPPEVN</v>
          </cell>
          <cell r="F1305">
            <v>10</v>
          </cell>
          <cell r="G1305">
            <v>0</v>
          </cell>
          <cell r="H1305">
            <v>0</v>
          </cell>
          <cell r="I1305">
            <v>31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2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 t="str">
            <v>REFBASIC</v>
          </cell>
          <cell r="AH1305" t="str">
            <v>REF_Basic</v>
          </cell>
          <cell r="AI1305" t="str">
            <v/>
          </cell>
          <cell r="AJ1305" t="str">
            <v/>
          </cell>
          <cell r="AK1305" t="str">
            <v>0.564152</v>
          </cell>
          <cell r="AL1305" t="str">
            <v>2</v>
          </cell>
          <cell r="AM1305" t="str">
            <v>Q</v>
          </cell>
          <cell r="AN1305" t="str">
            <v>M0</v>
          </cell>
          <cell r="AO1305" t="str">
            <v>Active(Model)</v>
          </cell>
          <cell r="AP1305" t="str">
            <v/>
          </cell>
          <cell r="AQ1305" t="str">
            <v/>
          </cell>
          <cell r="AR1305" t="str">
            <v>Y</v>
          </cell>
          <cell r="AS1305" t="str">
            <v/>
          </cell>
          <cell r="AT1305" t="str">
            <v>RF</v>
          </cell>
          <cell r="AU1305" t="str">
            <v>Refrigerator</v>
          </cell>
          <cell r="AV1305" t="str">
            <v>RFTM</v>
          </cell>
          <cell r="AW1305" t="str">
            <v>TMNF</v>
          </cell>
          <cell r="AX1305" t="str">
            <v>RFTMTM</v>
          </cell>
          <cell r="AY1305" t="str">
            <v>TMNF</v>
          </cell>
          <cell r="AZ1305" t="str">
            <v>RFTMTMMA</v>
          </cell>
          <cell r="BA1305" t="str">
            <v>Medium REF</v>
          </cell>
        </row>
        <row r="1306">
          <cell r="E1306" t="str">
            <v>T2109NT1G.ALSPEVN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24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 t="str">
            <v>WMBASIC</v>
          </cell>
          <cell r="AH1306" t="str">
            <v>WM_Basic</v>
          </cell>
          <cell r="AI1306" t="str">
            <v/>
          </cell>
          <cell r="AJ1306" t="str">
            <v/>
          </cell>
          <cell r="AK1306" t="str">
            <v>0.329466</v>
          </cell>
          <cell r="AL1306" t="str">
            <v>0</v>
          </cell>
          <cell r="AM1306" t="str">
            <v>Q</v>
          </cell>
          <cell r="AN1306" t="str">
            <v>M0</v>
          </cell>
          <cell r="AO1306" t="str">
            <v>Active(Model)</v>
          </cell>
          <cell r="AP1306" t="str">
            <v/>
          </cell>
          <cell r="AQ1306" t="str">
            <v/>
          </cell>
          <cell r="AR1306" t="str">
            <v>Y</v>
          </cell>
          <cell r="AS1306" t="str">
            <v/>
          </cell>
          <cell r="AT1306" t="str">
            <v>WM</v>
          </cell>
          <cell r="AU1306" t="str">
            <v>Washing Machine</v>
          </cell>
          <cell r="AV1306" t="str">
            <v>WMWL</v>
          </cell>
          <cell r="AW1306" t="str">
            <v>Clothes Washer</v>
          </cell>
          <cell r="AX1306" t="str">
            <v>WMWLTL</v>
          </cell>
          <cell r="AY1306" t="str">
            <v>Clothes Washer_Top Loader</v>
          </cell>
          <cell r="AZ1306" t="str">
            <v>WMWLTLFA</v>
          </cell>
          <cell r="BA1306" t="str">
            <v>Clothes Washer_Pulsator(Auto)</v>
          </cell>
        </row>
        <row r="1307">
          <cell r="E1307" t="str">
            <v>T21BG.AGKPEVN</v>
          </cell>
          <cell r="F1307">
            <v>436</v>
          </cell>
          <cell r="G1307">
            <v>0</v>
          </cell>
          <cell r="H1307">
            <v>0</v>
          </cell>
          <cell r="I1307">
            <v>456</v>
          </cell>
          <cell r="J1307">
            <v>0</v>
          </cell>
          <cell r="K1307">
            <v>100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121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 t="str">
            <v>REFBASIC</v>
          </cell>
          <cell r="AH1307" t="str">
            <v>REF_Basic</v>
          </cell>
          <cell r="AI1307" t="str">
            <v/>
          </cell>
          <cell r="AJ1307" t="str">
            <v/>
          </cell>
          <cell r="AK1307" t="str">
            <v>0.586264</v>
          </cell>
          <cell r="AL1307" t="str">
            <v>2</v>
          </cell>
          <cell r="AM1307" t="str">
            <v>Q</v>
          </cell>
          <cell r="AN1307" t="str">
            <v>M0</v>
          </cell>
          <cell r="AO1307" t="str">
            <v>Active(Model)</v>
          </cell>
          <cell r="AP1307" t="str">
            <v/>
          </cell>
          <cell r="AQ1307" t="str">
            <v/>
          </cell>
          <cell r="AR1307" t="str">
            <v>Y</v>
          </cell>
          <cell r="AS1307" t="str">
            <v/>
          </cell>
          <cell r="AT1307" t="str">
            <v>RF</v>
          </cell>
          <cell r="AU1307" t="str">
            <v>Refrigerator</v>
          </cell>
          <cell r="AV1307" t="str">
            <v>RFTM</v>
          </cell>
          <cell r="AW1307" t="str">
            <v>TMNF</v>
          </cell>
          <cell r="AX1307" t="str">
            <v>RFTMTM</v>
          </cell>
          <cell r="AY1307" t="str">
            <v>TMNF</v>
          </cell>
          <cell r="AZ1307" t="str">
            <v>RFTMTMMA</v>
          </cell>
          <cell r="BA1307" t="str">
            <v>Medium REF</v>
          </cell>
        </row>
        <row r="1308">
          <cell r="E1308" t="str">
            <v>T2313DX5N.DNBPEVN</v>
          </cell>
          <cell r="F1308">
            <v>0</v>
          </cell>
          <cell r="G1308">
            <v>0</v>
          </cell>
          <cell r="H1308">
            <v>0</v>
          </cell>
          <cell r="I1308">
            <v>6</v>
          </cell>
          <cell r="J1308">
            <v>8</v>
          </cell>
          <cell r="K1308">
            <v>6</v>
          </cell>
          <cell r="L1308">
            <v>0</v>
          </cell>
          <cell r="M1308">
            <v>0</v>
          </cell>
          <cell r="N1308">
            <v>6</v>
          </cell>
          <cell r="O1308">
            <v>102</v>
          </cell>
          <cell r="P1308">
            <v>6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24</v>
          </cell>
          <cell r="AF1308">
            <v>0</v>
          </cell>
          <cell r="AG1308" t="str">
            <v>WMPREMIUM</v>
          </cell>
          <cell r="AH1308" t="str">
            <v>WM_Premium</v>
          </cell>
          <cell r="AI1308" t="str">
            <v/>
          </cell>
          <cell r="AJ1308" t="str">
            <v/>
          </cell>
          <cell r="AK1308" t="str">
            <v>0.510098</v>
          </cell>
          <cell r="AL1308" t="str">
            <v>2</v>
          </cell>
          <cell r="AM1308" t="str">
            <v>Q</v>
          </cell>
          <cell r="AN1308" t="str">
            <v>M0</v>
          </cell>
          <cell r="AO1308" t="str">
            <v>Active(Model)</v>
          </cell>
          <cell r="AP1308" t="str">
            <v/>
          </cell>
          <cell r="AQ1308" t="str">
            <v/>
          </cell>
          <cell r="AR1308" t="str">
            <v>Y</v>
          </cell>
          <cell r="AS1308" t="str">
            <v/>
          </cell>
          <cell r="AT1308" t="str">
            <v>WM</v>
          </cell>
          <cell r="AU1308" t="str">
            <v>Washing Machine</v>
          </cell>
          <cell r="AV1308" t="str">
            <v>WMWL</v>
          </cell>
          <cell r="AW1308" t="str">
            <v>Clothes Washer</v>
          </cell>
          <cell r="AX1308" t="str">
            <v>WMWLTL</v>
          </cell>
          <cell r="AY1308" t="str">
            <v>Clothes Washer_Top Loader</v>
          </cell>
          <cell r="AZ1308" t="str">
            <v>WMWLTLTA</v>
          </cell>
          <cell r="BA1308" t="str">
            <v>Clothes Washer_Turbo Drum</v>
          </cell>
        </row>
        <row r="1309">
          <cell r="E1309" t="str">
            <v>T2314DX5G.DEGPEVN</v>
          </cell>
          <cell r="F1309">
            <v>299</v>
          </cell>
          <cell r="G1309">
            <v>0</v>
          </cell>
          <cell r="H1309">
            <v>0</v>
          </cell>
          <cell r="I1309">
            <v>317</v>
          </cell>
          <cell r="J1309">
            <v>14</v>
          </cell>
          <cell r="K1309">
            <v>0</v>
          </cell>
          <cell r="L1309">
            <v>0</v>
          </cell>
          <cell r="M1309">
            <v>0</v>
          </cell>
          <cell r="N1309">
            <v>13</v>
          </cell>
          <cell r="O1309">
            <v>114</v>
          </cell>
          <cell r="P1309">
            <v>13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 t="str">
            <v>WMPREMIUM</v>
          </cell>
          <cell r="AH1309" t="str">
            <v>WM_Premium</v>
          </cell>
          <cell r="AI1309" t="str">
            <v/>
          </cell>
          <cell r="AJ1309" t="str">
            <v/>
          </cell>
          <cell r="AK1309" t="str">
            <v>0.510098</v>
          </cell>
          <cell r="AL1309" t="str">
            <v>2</v>
          </cell>
          <cell r="AM1309" t="str">
            <v>Q</v>
          </cell>
          <cell r="AN1309" t="str">
            <v>M0</v>
          </cell>
          <cell r="AO1309" t="str">
            <v>Active(Model)</v>
          </cell>
          <cell r="AP1309" t="str">
            <v/>
          </cell>
          <cell r="AQ1309" t="str">
            <v/>
          </cell>
          <cell r="AR1309" t="str">
            <v>Y</v>
          </cell>
          <cell r="AS1309" t="str">
            <v/>
          </cell>
          <cell r="AT1309" t="str">
            <v>WM</v>
          </cell>
          <cell r="AU1309" t="str">
            <v>Washing Machine</v>
          </cell>
          <cell r="AV1309" t="str">
            <v>WMWL</v>
          </cell>
          <cell r="AW1309" t="str">
            <v>Clothes Washer</v>
          </cell>
          <cell r="AX1309" t="str">
            <v>WMWLTL</v>
          </cell>
          <cell r="AY1309" t="str">
            <v>Clothes Washer_Top Loader</v>
          </cell>
          <cell r="AZ1309" t="str">
            <v>WMWLTLTA</v>
          </cell>
          <cell r="BA1309" t="str">
            <v>Clothes Washer_Turbo Drum</v>
          </cell>
        </row>
        <row r="1310">
          <cell r="E1310" t="str">
            <v>T2315DX5G.DEGPEVN</v>
          </cell>
          <cell r="F1310">
            <v>0</v>
          </cell>
          <cell r="G1310">
            <v>0</v>
          </cell>
          <cell r="H1310">
            <v>0</v>
          </cell>
          <cell r="I1310">
            <v>153</v>
          </cell>
          <cell r="J1310">
            <v>0</v>
          </cell>
          <cell r="K1310">
            <v>206</v>
          </cell>
          <cell r="L1310">
            <v>0</v>
          </cell>
          <cell r="M1310">
            <v>150</v>
          </cell>
          <cell r="N1310">
            <v>0</v>
          </cell>
          <cell r="O1310">
            <v>4</v>
          </cell>
          <cell r="P1310">
            <v>150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 t="str">
            <v>WMPREMIUM</v>
          </cell>
          <cell r="AH1310" t="str">
            <v>WM_Premium</v>
          </cell>
          <cell r="AI1310" t="str">
            <v/>
          </cell>
          <cell r="AJ1310" t="str">
            <v/>
          </cell>
          <cell r="AK1310" t="str">
            <v>0.510098</v>
          </cell>
          <cell r="AL1310" t="str">
            <v>2</v>
          </cell>
          <cell r="AM1310" t="str">
            <v>Q</v>
          </cell>
          <cell r="AN1310" t="str">
            <v>M0</v>
          </cell>
          <cell r="AO1310" t="str">
            <v>Active(Model)</v>
          </cell>
          <cell r="AP1310" t="str">
            <v/>
          </cell>
          <cell r="AQ1310" t="str">
            <v/>
          </cell>
          <cell r="AR1310" t="str">
            <v>Y</v>
          </cell>
          <cell r="AS1310" t="str">
            <v/>
          </cell>
          <cell r="AT1310" t="str">
            <v>WM</v>
          </cell>
          <cell r="AU1310" t="str">
            <v>Washing Machine</v>
          </cell>
          <cell r="AV1310" t="str">
            <v>WMWL</v>
          </cell>
          <cell r="AW1310" t="str">
            <v>Clothes Washer</v>
          </cell>
          <cell r="AX1310" t="str">
            <v>WMWLTL</v>
          </cell>
          <cell r="AY1310" t="str">
            <v>Clothes Washer_Top Loader</v>
          </cell>
          <cell r="AZ1310" t="str">
            <v>WMWLTLTA</v>
          </cell>
          <cell r="BA1310" t="str">
            <v>Clothes Washer_Turbo Drum</v>
          </cell>
        </row>
        <row r="1311">
          <cell r="E1311" t="str">
            <v>T2516DX5G.AEGPEVN</v>
          </cell>
          <cell r="F1311">
            <v>108</v>
          </cell>
          <cell r="G1311">
            <v>0</v>
          </cell>
          <cell r="H1311">
            <v>0</v>
          </cell>
          <cell r="I1311">
            <v>179</v>
          </cell>
          <cell r="J1311">
            <v>4</v>
          </cell>
          <cell r="K1311">
            <v>0</v>
          </cell>
          <cell r="L1311">
            <v>0</v>
          </cell>
          <cell r="M1311">
            <v>40</v>
          </cell>
          <cell r="N1311">
            <v>17</v>
          </cell>
          <cell r="O1311">
            <v>74</v>
          </cell>
          <cell r="P1311">
            <v>57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7</v>
          </cell>
          <cell r="AF1311">
            <v>0</v>
          </cell>
          <cell r="AG1311" t="str">
            <v>WMPREMIUM</v>
          </cell>
          <cell r="AH1311" t="str">
            <v>WM_Premium</v>
          </cell>
          <cell r="AI1311" t="str">
            <v/>
          </cell>
          <cell r="AJ1311" t="str">
            <v/>
          </cell>
          <cell r="AK1311" t="str">
            <v>0.599580</v>
          </cell>
          <cell r="AL1311" t="str">
            <v>2</v>
          </cell>
          <cell r="AM1311" t="str">
            <v>Q</v>
          </cell>
          <cell r="AN1311" t="str">
            <v>M0</v>
          </cell>
          <cell r="AO1311" t="str">
            <v>Active(Model)</v>
          </cell>
          <cell r="AP1311" t="str">
            <v/>
          </cell>
          <cell r="AQ1311" t="str">
            <v/>
          </cell>
          <cell r="AR1311" t="str">
            <v>Y</v>
          </cell>
          <cell r="AS1311" t="str">
            <v/>
          </cell>
          <cell r="AT1311" t="str">
            <v>WM</v>
          </cell>
          <cell r="AU1311" t="str">
            <v>Washing Machine</v>
          </cell>
          <cell r="AV1311" t="str">
            <v>WMWL</v>
          </cell>
          <cell r="AW1311" t="str">
            <v>Clothes Washer</v>
          </cell>
          <cell r="AX1311" t="str">
            <v>WMWLTL</v>
          </cell>
          <cell r="AY1311" t="str">
            <v>Clothes Washer_Top Loader</v>
          </cell>
          <cell r="AZ1311" t="str">
            <v>WMWLTLTA</v>
          </cell>
          <cell r="BA1311" t="str">
            <v>Clothes Washer_Turbo Drum</v>
          </cell>
        </row>
        <row r="1312">
          <cell r="E1312" t="str">
            <v>T2519SX5G.AEGPEVN</v>
          </cell>
          <cell r="F1312">
            <v>23</v>
          </cell>
          <cell r="G1312">
            <v>0</v>
          </cell>
          <cell r="H1312">
            <v>0</v>
          </cell>
          <cell r="I1312">
            <v>36</v>
          </cell>
          <cell r="J1312">
            <v>3</v>
          </cell>
          <cell r="K1312">
            <v>30</v>
          </cell>
          <cell r="L1312">
            <v>0</v>
          </cell>
          <cell r="M1312">
            <v>10</v>
          </cell>
          <cell r="N1312">
            <v>0</v>
          </cell>
          <cell r="O1312">
            <v>25</v>
          </cell>
          <cell r="P1312">
            <v>10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 t="str">
            <v>WMPREMIUM</v>
          </cell>
          <cell r="AH1312" t="str">
            <v>WM_Premium</v>
          </cell>
          <cell r="AI1312" t="str">
            <v/>
          </cell>
          <cell r="AJ1312" t="str">
            <v/>
          </cell>
          <cell r="AK1312" t="str">
            <v>0.599580</v>
          </cell>
          <cell r="AL1312" t="str">
            <v>2</v>
          </cell>
          <cell r="AM1312" t="str">
            <v>Q</v>
          </cell>
          <cell r="AN1312" t="str">
            <v>M0</v>
          </cell>
          <cell r="AO1312" t="str">
            <v>Active(Model)</v>
          </cell>
          <cell r="AP1312" t="str">
            <v/>
          </cell>
          <cell r="AQ1312" t="str">
            <v/>
          </cell>
          <cell r="AR1312" t="str">
            <v>Y</v>
          </cell>
          <cell r="AS1312" t="str">
            <v/>
          </cell>
          <cell r="AT1312" t="str">
            <v>WM</v>
          </cell>
          <cell r="AU1312" t="str">
            <v>Washing Machine</v>
          </cell>
          <cell r="AV1312" t="str">
            <v>WMWL</v>
          </cell>
          <cell r="AW1312" t="str">
            <v>Clothes Washer</v>
          </cell>
          <cell r="AX1312" t="str">
            <v>WMWLTL</v>
          </cell>
          <cell r="AY1312" t="str">
            <v>Clothes Washer_Top Loader</v>
          </cell>
          <cell r="AZ1312" t="str">
            <v>WMWLTLTA</v>
          </cell>
          <cell r="BA1312" t="str">
            <v>Clothes Washer_Turbo Drum</v>
          </cell>
        </row>
        <row r="1313">
          <cell r="E1313" t="str">
            <v>T2522AX7G.AEGPEVN</v>
          </cell>
          <cell r="F1313">
            <v>28</v>
          </cell>
          <cell r="G1313">
            <v>0</v>
          </cell>
          <cell r="H1313">
            <v>0</v>
          </cell>
          <cell r="I1313">
            <v>46</v>
          </cell>
          <cell r="J1313">
            <v>0</v>
          </cell>
          <cell r="K1313">
            <v>20</v>
          </cell>
          <cell r="L1313">
            <v>0</v>
          </cell>
          <cell r="M1313">
            <v>10</v>
          </cell>
          <cell r="N1313">
            <v>0</v>
          </cell>
          <cell r="O1313">
            <v>6</v>
          </cell>
          <cell r="P1313">
            <v>10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 t="str">
            <v>WMPREMIUM</v>
          </cell>
          <cell r="AH1313" t="str">
            <v>WM_Premium</v>
          </cell>
          <cell r="AI1313" t="str">
            <v/>
          </cell>
          <cell r="AJ1313" t="str">
            <v/>
          </cell>
          <cell r="AK1313" t="str">
            <v>0.599580</v>
          </cell>
          <cell r="AL1313" t="str">
            <v>2</v>
          </cell>
          <cell r="AM1313" t="str">
            <v>Q</v>
          </cell>
          <cell r="AN1313" t="str">
            <v>M0</v>
          </cell>
          <cell r="AO1313" t="str">
            <v>Active(Model)</v>
          </cell>
          <cell r="AP1313" t="str">
            <v/>
          </cell>
          <cell r="AQ1313" t="str">
            <v/>
          </cell>
          <cell r="AR1313" t="str">
            <v>Y</v>
          </cell>
          <cell r="AS1313" t="str">
            <v/>
          </cell>
          <cell r="AT1313" t="str">
            <v>WM</v>
          </cell>
          <cell r="AU1313" t="str">
            <v>Washing Machine</v>
          </cell>
          <cell r="AV1313" t="str">
            <v>WMWL</v>
          </cell>
          <cell r="AW1313" t="str">
            <v>Clothes Washer</v>
          </cell>
          <cell r="AX1313" t="str">
            <v>WMWLTL</v>
          </cell>
          <cell r="AY1313" t="str">
            <v>Clothes Washer_Top Loader</v>
          </cell>
          <cell r="AZ1313" t="str">
            <v>WMWLTLTA</v>
          </cell>
          <cell r="BA1313" t="str">
            <v>Clothes Washer_Turbo Drum</v>
          </cell>
        </row>
        <row r="1314">
          <cell r="E1314" t="str">
            <v>T26BG.AGKPEVN</v>
          </cell>
          <cell r="F1314">
            <v>331</v>
          </cell>
          <cell r="G1314">
            <v>0</v>
          </cell>
          <cell r="H1314">
            <v>0</v>
          </cell>
          <cell r="I1314">
            <v>340</v>
          </cell>
          <cell r="J1314">
            <v>0</v>
          </cell>
          <cell r="K1314">
            <v>100</v>
          </cell>
          <cell r="L1314">
            <v>0</v>
          </cell>
          <cell r="M1314">
            <v>1</v>
          </cell>
          <cell r="N1314">
            <v>0</v>
          </cell>
          <cell r="O1314">
            <v>2</v>
          </cell>
          <cell r="P1314">
            <v>1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1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 t="str">
            <v>REFBASIC</v>
          </cell>
          <cell r="AH1314" t="str">
            <v>REF_Basic</v>
          </cell>
          <cell r="AI1314" t="str">
            <v/>
          </cell>
          <cell r="AJ1314" t="str">
            <v/>
          </cell>
          <cell r="AK1314" t="str">
            <v>0.672945</v>
          </cell>
          <cell r="AL1314" t="str">
            <v>2</v>
          </cell>
          <cell r="AM1314" t="str">
            <v>Q</v>
          </cell>
          <cell r="AN1314" t="str">
            <v>M0</v>
          </cell>
          <cell r="AO1314" t="str">
            <v>Active(Model)</v>
          </cell>
          <cell r="AP1314" t="str">
            <v/>
          </cell>
          <cell r="AQ1314" t="str">
            <v/>
          </cell>
          <cell r="AR1314" t="str">
            <v>Y</v>
          </cell>
          <cell r="AS1314" t="str">
            <v/>
          </cell>
          <cell r="AT1314" t="str">
            <v>RF</v>
          </cell>
          <cell r="AU1314" t="str">
            <v>Refrigerator</v>
          </cell>
          <cell r="AV1314" t="str">
            <v>RFTM</v>
          </cell>
          <cell r="AW1314" t="str">
            <v>TMNF</v>
          </cell>
          <cell r="AX1314" t="str">
            <v>RFTMTM</v>
          </cell>
          <cell r="AY1314" t="str">
            <v>TMNF</v>
          </cell>
          <cell r="AZ1314" t="str">
            <v>RFTMTMMA</v>
          </cell>
          <cell r="BA1314" t="str">
            <v>Medium REF</v>
          </cell>
        </row>
        <row r="1315">
          <cell r="E1315" t="str">
            <v>T2725SX5G.AEGPEVN</v>
          </cell>
          <cell r="F1315">
            <v>36</v>
          </cell>
          <cell r="G1315">
            <v>0</v>
          </cell>
          <cell r="H1315">
            <v>0</v>
          </cell>
          <cell r="I1315">
            <v>81</v>
          </cell>
          <cell r="J1315">
            <v>1</v>
          </cell>
          <cell r="K1315">
            <v>30</v>
          </cell>
          <cell r="L1315">
            <v>0</v>
          </cell>
          <cell r="M1315">
            <v>20</v>
          </cell>
          <cell r="N1315">
            <v>22</v>
          </cell>
          <cell r="O1315">
            <v>7</v>
          </cell>
          <cell r="P1315">
            <v>42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 t="str">
            <v>WMPREPLUS</v>
          </cell>
          <cell r="AH1315" t="str">
            <v>WM_Premium_Plus</v>
          </cell>
          <cell r="AI1315" t="str">
            <v/>
          </cell>
          <cell r="AJ1315" t="str">
            <v/>
          </cell>
          <cell r="AK1315" t="str">
            <v>0.672840</v>
          </cell>
          <cell r="AL1315" t="str">
            <v>2</v>
          </cell>
          <cell r="AM1315" t="str">
            <v>Q</v>
          </cell>
          <cell r="AN1315" t="str">
            <v>M0</v>
          </cell>
          <cell r="AO1315" t="str">
            <v>Active(Model)</v>
          </cell>
          <cell r="AP1315" t="str">
            <v/>
          </cell>
          <cell r="AQ1315" t="str">
            <v/>
          </cell>
          <cell r="AR1315" t="str">
            <v>Y</v>
          </cell>
          <cell r="AS1315" t="str">
            <v/>
          </cell>
          <cell r="AT1315" t="str">
            <v>WM</v>
          </cell>
          <cell r="AU1315" t="str">
            <v>Washing Machine</v>
          </cell>
          <cell r="AV1315" t="str">
            <v>WMWL</v>
          </cell>
          <cell r="AW1315" t="str">
            <v>Clothes Washer</v>
          </cell>
          <cell r="AX1315" t="str">
            <v>WMWLTL</v>
          </cell>
          <cell r="AY1315" t="str">
            <v>Clothes Washer_Top Loader</v>
          </cell>
          <cell r="AZ1315" t="str">
            <v>WMWLTLTA</v>
          </cell>
          <cell r="BA1315" t="str">
            <v>Clothes Washer_Turbo Drum</v>
          </cell>
        </row>
        <row r="1316">
          <cell r="E1316" t="str">
            <v>T30SV.APYPEVN</v>
          </cell>
          <cell r="F1316">
            <v>71</v>
          </cell>
          <cell r="G1316">
            <v>0</v>
          </cell>
          <cell r="H1316">
            <v>0</v>
          </cell>
          <cell r="I1316">
            <v>88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1</v>
          </cell>
          <cell r="AF1316">
            <v>0</v>
          </cell>
          <cell r="AG1316" t="str">
            <v>REFBASIC</v>
          </cell>
          <cell r="AH1316" t="str">
            <v>REF_Basic</v>
          </cell>
          <cell r="AI1316" t="str">
            <v/>
          </cell>
          <cell r="AJ1316" t="str">
            <v/>
          </cell>
          <cell r="AK1316" t="str">
            <v>0.717709</v>
          </cell>
          <cell r="AL1316" t="str">
            <v>2</v>
          </cell>
          <cell r="AM1316" t="str">
            <v>Q</v>
          </cell>
          <cell r="AN1316" t="str">
            <v>M0</v>
          </cell>
          <cell r="AO1316" t="str">
            <v>Active(Model)</v>
          </cell>
          <cell r="AP1316" t="str">
            <v/>
          </cell>
          <cell r="AQ1316" t="str">
            <v/>
          </cell>
          <cell r="AR1316" t="str">
            <v>Y</v>
          </cell>
          <cell r="AS1316" t="str">
            <v/>
          </cell>
          <cell r="AT1316" t="str">
            <v>RF</v>
          </cell>
          <cell r="AU1316" t="str">
            <v>Refrigerator</v>
          </cell>
          <cell r="AV1316" t="str">
            <v>RFTM</v>
          </cell>
          <cell r="AW1316" t="str">
            <v>TMNF</v>
          </cell>
          <cell r="AX1316" t="str">
            <v>RFTMTM</v>
          </cell>
          <cell r="AY1316" t="str">
            <v>TMNF</v>
          </cell>
          <cell r="AZ1316" t="str">
            <v>RFTMTMMA</v>
          </cell>
          <cell r="BA1316" t="str">
            <v>Medium REF</v>
          </cell>
        </row>
        <row r="1317">
          <cell r="E1317" t="str">
            <v>T33SV2.ADSPEVN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 t="str">
            <v>REFBASIC</v>
          </cell>
          <cell r="AH1317" t="str">
            <v>REF_Basic</v>
          </cell>
          <cell r="AI1317" t="str">
            <v/>
          </cell>
          <cell r="AJ1317" t="str">
            <v/>
          </cell>
          <cell r="AK1317" t="str">
            <v>0.872636</v>
          </cell>
          <cell r="AL1317" t="str">
            <v>2</v>
          </cell>
          <cell r="AM1317" t="str">
            <v>Q</v>
          </cell>
          <cell r="AN1317" t="str">
            <v>M0</v>
          </cell>
          <cell r="AO1317" t="str">
            <v>Active(Model)</v>
          </cell>
          <cell r="AP1317" t="str">
            <v/>
          </cell>
          <cell r="AQ1317" t="str">
            <v/>
          </cell>
          <cell r="AR1317" t="str">
            <v>Y</v>
          </cell>
          <cell r="AS1317" t="str">
            <v/>
          </cell>
          <cell r="AT1317" t="str">
            <v>RF</v>
          </cell>
          <cell r="AU1317" t="str">
            <v>Refrigerator</v>
          </cell>
          <cell r="AV1317" t="str">
            <v>RFTM</v>
          </cell>
          <cell r="AW1317" t="str">
            <v>TMNF</v>
          </cell>
          <cell r="AX1317" t="str">
            <v>RFTMTM</v>
          </cell>
          <cell r="AY1317" t="str">
            <v>TMNF</v>
          </cell>
          <cell r="AZ1317" t="str">
            <v>RFTMTMMA</v>
          </cell>
          <cell r="BA1317" t="str">
            <v>Medium REF</v>
          </cell>
        </row>
        <row r="1318">
          <cell r="E1318" t="str">
            <v>T39SV.ADSPEVN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 t="str">
            <v>REFBASIC</v>
          </cell>
          <cell r="AH1318" t="str">
            <v>REF_Basic</v>
          </cell>
          <cell r="AI1318" t="str">
            <v/>
          </cell>
          <cell r="AJ1318" t="str">
            <v/>
          </cell>
          <cell r="AK1318" t="str">
            <v>0.984785</v>
          </cell>
          <cell r="AL1318" t="str">
            <v>2</v>
          </cell>
          <cell r="AM1318" t="str">
            <v>Q</v>
          </cell>
          <cell r="AN1318" t="str">
            <v>M0</v>
          </cell>
          <cell r="AO1318" t="str">
            <v>Active(Model)</v>
          </cell>
          <cell r="AP1318" t="str">
            <v/>
          </cell>
          <cell r="AQ1318" t="str">
            <v/>
          </cell>
          <cell r="AR1318" t="str">
            <v>Y</v>
          </cell>
          <cell r="AS1318" t="str">
            <v/>
          </cell>
          <cell r="AT1318" t="str">
            <v>RF</v>
          </cell>
          <cell r="AU1318" t="str">
            <v>Refrigerator</v>
          </cell>
          <cell r="AV1318" t="str">
            <v>RFTM</v>
          </cell>
          <cell r="AW1318" t="str">
            <v>TMNF</v>
          </cell>
          <cell r="AX1318" t="str">
            <v>RFTMTM</v>
          </cell>
          <cell r="AY1318" t="str">
            <v>TMNF</v>
          </cell>
          <cell r="AZ1318" t="str">
            <v>RFTMTMLA</v>
          </cell>
          <cell r="BA1318" t="str">
            <v>Large REF</v>
          </cell>
        </row>
        <row r="1319">
          <cell r="E1319" t="str">
            <v>TK2109NKMO.DNBPEVN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 t="str">
            <v>WMBASIC</v>
          </cell>
          <cell r="AH1319" t="str">
            <v>WM_Basic</v>
          </cell>
          <cell r="AI1319" t="str">
            <v/>
          </cell>
          <cell r="AJ1319" t="str">
            <v/>
          </cell>
          <cell r="AK1319" t="str">
            <v>0.325206</v>
          </cell>
          <cell r="AL1319" t="str">
            <v>2</v>
          </cell>
          <cell r="AM1319" t="str">
            <v>Q</v>
          </cell>
          <cell r="AN1319" t="str">
            <v>M0</v>
          </cell>
          <cell r="AO1319" t="str">
            <v>Active(Model)</v>
          </cell>
          <cell r="AP1319" t="str">
            <v/>
          </cell>
          <cell r="AQ1319" t="str">
            <v/>
          </cell>
          <cell r="AR1319" t="str">
            <v>Y</v>
          </cell>
          <cell r="AS1319" t="str">
            <v/>
          </cell>
          <cell r="AT1319" t="str">
            <v>WM</v>
          </cell>
          <cell r="AU1319" t="str">
            <v>Washing Machine</v>
          </cell>
          <cell r="AV1319" t="str">
            <v>WMWL</v>
          </cell>
          <cell r="AW1319" t="str">
            <v>Clothes Washer</v>
          </cell>
          <cell r="AX1319" t="str">
            <v>WMWLTL</v>
          </cell>
          <cell r="AY1319" t="str">
            <v>Clothes Washer_Top Loader</v>
          </cell>
          <cell r="AZ1319" t="str">
            <v>WMWLTLFA</v>
          </cell>
          <cell r="BA1319" t="str">
            <v>Clothes Washer_Pulsator(Auto)</v>
          </cell>
        </row>
        <row r="1320">
          <cell r="E1320" t="str">
            <v>TK2110NKMO.DNBPEVN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 t="str">
            <v>WMBASIC</v>
          </cell>
          <cell r="AH1320" t="str">
            <v>WM_Basic</v>
          </cell>
          <cell r="AI1320" t="str">
            <v/>
          </cell>
          <cell r="AJ1320" t="str">
            <v/>
          </cell>
          <cell r="AK1320" t="str">
            <v>0.325206</v>
          </cell>
          <cell r="AL1320" t="str">
            <v>2</v>
          </cell>
          <cell r="AM1320" t="str">
            <v>Q</v>
          </cell>
          <cell r="AN1320" t="str">
            <v>M0</v>
          </cell>
          <cell r="AO1320" t="str">
            <v>Active(Model)</v>
          </cell>
          <cell r="AP1320" t="str">
            <v/>
          </cell>
          <cell r="AQ1320" t="str">
            <v/>
          </cell>
          <cell r="AR1320" t="str">
            <v>Y</v>
          </cell>
          <cell r="AS1320" t="str">
            <v/>
          </cell>
          <cell r="AT1320" t="str">
            <v>WM</v>
          </cell>
          <cell r="AU1320" t="str">
            <v>Washing Machine</v>
          </cell>
          <cell r="AV1320" t="str">
            <v>WMWL</v>
          </cell>
          <cell r="AW1320" t="str">
            <v>Clothes Washer</v>
          </cell>
          <cell r="AX1320" t="str">
            <v>WMWLTL</v>
          </cell>
          <cell r="AY1320" t="str">
            <v>Clothes Washer_Top Loader</v>
          </cell>
          <cell r="AZ1320" t="str">
            <v>WMWLTLFA</v>
          </cell>
          <cell r="BA1320" t="str">
            <v>Clothes Washer_Pulsator(Auto)</v>
          </cell>
        </row>
        <row r="1321">
          <cell r="E1321" t="str">
            <v>TX2312DT3O.DNBPEVN</v>
          </cell>
          <cell r="F1321">
            <v>163</v>
          </cell>
          <cell r="G1321">
            <v>0</v>
          </cell>
          <cell r="H1321">
            <v>0</v>
          </cell>
          <cell r="I1321">
            <v>217</v>
          </cell>
          <cell r="J1321">
            <v>0</v>
          </cell>
          <cell r="K1321">
            <v>200</v>
          </cell>
          <cell r="L1321">
            <v>0</v>
          </cell>
          <cell r="M1321">
            <v>51</v>
          </cell>
          <cell r="N1321">
            <v>0</v>
          </cell>
          <cell r="O1321">
            <v>1</v>
          </cell>
          <cell r="P1321">
            <v>51</v>
          </cell>
          <cell r="Q1321">
            <v>108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 t="str">
            <v>WMPREMIUM</v>
          </cell>
          <cell r="AH1321" t="str">
            <v>WM_Premium</v>
          </cell>
          <cell r="AI1321" t="str">
            <v/>
          </cell>
          <cell r="AJ1321" t="str">
            <v/>
          </cell>
          <cell r="AK1321" t="str">
            <v>0.510098</v>
          </cell>
          <cell r="AL1321" t="str">
            <v>2</v>
          </cell>
          <cell r="AM1321" t="str">
            <v>Q</v>
          </cell>
          <cell r="AN1321" t="str">
            <v>M0</v>
          </cell>
          <cell r="AO1321" t="str">
            <v>Active(Model)</v>
          </cell>
          <cell r="AP1321" t="str">
            <v/>
          </cell>
          <cell r="AQ1321" t="str">
            <v/>
          </cell>
          <cell r="AR1321" t="str">
            <v>Y</v>
          </cell>
          <cell r="AS1321" t="str">
            <v/>
          </cell>
          <cell r="AT1321" t="str">
            <v>WM</v>
          </cell>
          <cell r="AU1321" t="str">
            <v>Washing Machine</v>
          </cell>
          <cell r="AV1321" t="str">
            <v>WMWL</v>
          </cell>
          <cell r="AW1321" t="str">
            <v>Clothes Washer</v>
          </cell>
          <cell r="AX1321" t="str">
            <v>WMWLTL</v>
          </cell>
          <cell r="AY1321" t="str">
            <v>Clothes Washer_Top Loader</v>
          </cell>
          <cell r="AZ1321" t="str">
            <v>WMWLTLTA</v>
          </cell>
          <cell r="BA1321" t="str">
            <v>Clothes Washer_Turbo Drum</v>
          </cell>
        </row>
        <row r="1322">
          <cell r="E1322" t="str">
            <v>TX2312DT5O.DNBPEVN</v>
          </cell>
          <cell r="F1322">
            <v>0</v>
          </cell>
          <cell r="G1322">
            <v>0</v>
          </cell>
          <cell r="H1322">
            <v>0</v>
          </cell>
          <cell r="I1322">
            <v>26</v>
          </cell>
          <cell r="J1322">
            <v>7</v>
          </cell>
          <cell r="K1322">
            <v>22</v>
          </cell>
          <cell r="L1322">
            <v>0</v>
          </cell>
          <cell r="M1322">
            <v>0</v>
          </cell>
          <cell r="N1322">
            <v>20</v>
          </cell>
          <cell r="O1322">
            <v>6</v>
          </cell>
          <cell r="P1322">
            <v>20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 t="str">
            <v>WMPREMIUM</v>
          </cell>
          <cell r="AH1322" t="str">
            <v>WM_Premium</v>
          </cell>
          <cell r="AI1322" t="str">
            <v/>
          </cell>
          <cell r="AJ1322" t="str">
            <v/>
          </cell>
          <cell r="AK1322" t="str">
            <v>0.510098</v>
          </cell>
          <cell r="AL1322" t="str">
            <v>2</v>
          </cell>
          <cell r="AM1322" t="str">
            <v>Q</v>
          </cell>
          <cell r="AN1322" t="str">
            <v>M0</v>
          </cell>
          <cell r="AO1322" t="str">
            <v>Active(Model)</v>
          </cell>
          <cell r="AP1322" t="str">
            <v/>
          </cell>
          <cell r="AQ1322" t="str">
            <v/>
          </cell>
          <cell r="AR1322" t="str">
            <v>Y</v>
          </cell>
          <cell r="AS1322" t="str">
            <v/>
          </cell>
          <cell r="AT1322" t="str">
            <v>WM</v>
          </cell>
          <cell r="AU1322" t="str">
            <v>Washing Machine</v>
          </cell>
          <cell r="AV1322" t="str">
            <v>WMWL</v>
          </cell>
          <cell r="AW1322" t="str">
            <v>Clothes Washer</v>
          </cell>
          <cell r="AX1322" t="str">
            <v>WMWLTL</v>
          </cell>
          <cell r="AY1322" t="str">
            <v>Clothes Washer_Top Loader</v>
          </cell>
          <cell r="AZ1322" t="str">
            <v>WMWLTLTA</v>
          </cell>
          <cell r="BA1322" t="str">
            <v>Clothes Washer_Turbo Drum</v>
          </cell>
        </row>
        <row r="1323">
          <cell r="E1323" t="str">
            <v>TX2516DT3O.ANBPEVN</v>
          </cell>
          <cell r="F1323">
            <v>11</v>
          </cell>
          <cell r="G1323">
            <v>0</v>
          </cell>
          <cell r="H1323">
            <v>0</v>
          </cell>
          <cell r="I1323">
            <v>25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6</v>
          </cell>
          <cell r="O1323">
            <v>0</v>
          </cell>
          <cell r="P1323">
            <v>6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 t="str">
            <v>WMPREMIUM</v>
          </cell>
          <cell r="AH1323" t="str">
            <v>WM_Premium</v>
          </cell>
          <cell r="AI1323" t="str">
            <v/>
          </cell>
          <cell r="AJ1323" t="str">
            <v/>
          </cell>
          <cell r="AK1323" t="str">
            <v>0.599580</v>
          </cell>
          <cell r="AL1323" t="str">
            <v>2</v>
          </cell>
          <cell r="AM1323" t="str">
            <v>Q</v>
          </cell>
          <cell r="AN1323" t="str">
            <v>M0</v>
          </cell>
          <cell r="AO1323" t="str">
            <v>Active(Model)</v>
          </cell>
          <cell r="AP1323" t="str">
            <v/>
          </cell>
          <cell r="AQ1323" t="str">
            <v/>
          </cell>
          <cell r="AR1323" t="str">
            <v>Y</v>
          </cell>
          <cell r="AS1323" t="str">
            <v/>
          </cell>
          <cell r="AT1323" t="str">
            <v>WM</v>
          </cell>
          <cell r="AU1323" t="str">
            <v>Washing Machine</v>
          </cell>
          <cell r="AV1323" t="str">
            <v>WMWL</v>
          </cell>
          <cell r="AW1323" t="str">
            <v>Clothes Washer</v>
          </cell>
          <cell r="AX1323" t="str">
            <v>WMWLTL</v>
          </cell>
          <cell r="AY1323" t="str">
            <v>Clothes Washer_Top Loader</v>
          </cell>
          <cell r="AZ1323" t="str">
            <v>WMWLTLTA</v>
          </cell>
          <cell r="BA1323" t="str">
            <v>Clothes Washer_Turbo Drum</v>
          </cell>
        </row>
        <row r="1324">
          <cell r="E1324" t="str">
            <v>TX2725AT9G.AEGPEVN</v>
          </cell>
          <cell r="F1324">
            <v>73</v>
          </cell>
          <cell r="G1324">
            <v>0</v>
          </cell>
          <cell r="H1324">
            <v>0</v>
          </cell>
          <cell r="I1324">
            <v>86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11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 t="str">
            <v>WMPREPLUS</v>
          </cell>
          <cell r="AH1324" t="str">
            <v>WM_Premium_Plus</v>
          </cell>
          <cell r="AI1324" t="str">
            <v/>
          </cell>
          <cell r="AJ1324" t="str">
            <v/>
          </cell>
          <cell r="AK1324" t="str">
            <v>0.672840</v>
          </cell>
          <cell r="AL1324" t="str">
            <v>2</v>
          </cell>
          <cell r="AM1324" t="str">
            <v>Q</v>
          </cell>
          <cell r="AN1324" t="str">
            <v>M0</v>
          </cell>
          <cell r="AO1324" t="str">
            <v>Active(Model)</v>
          </cell>
          <cell r="AP1324" t="str">
            <v/>
          </cell>
          <cell r="AQ1324" t="str">
            <v/>
          </cell>
          <cell r="AR1324" t="str">
            <v>Y</v>
          </cell>
          <cell r="AS1324" t="str">
            <v/>
          </cell>
          <cell r="AT1324" t="str">
            <v>WM</v>
          </cell>
          <cell r="AU1324" t="str">
            <v>Washing Machine</v>
          </cell>
          <cell r="AV1324" t="str">
            <v>WMWL</v>
          </cell>
          <cell r="AW1324" t="str">
            <v>Clothes Washer</v>
          </cell>
          <cell r="AX1324" t="str">
            <v>WMWLTL</v>
          </cell>
          <cell r="AY1324" t="str">
            <v>Clothes Washer_Top Loader</v>
          </cell>
          <cell r="AZ1324" t="str">
            <v>WMWLTLTA</v>
          </cell>
          <cell r="BA1324" t="str">
            <v>Clothes Washer_Turbo Drum</v>
          </cell>
        </row>
        <row r="1325">
          <cell r="E1325" t="str">
            <v>V24PACU.EWGBEVH</v>
          </cell>
          <cell r="F1325">
            <v>2</v>
          </cell>
          <cell r="G1325">
            <v>0</v>
          </cell>
          <cell r="H1325">
            <v>0</v>
          </cell>
          <cell r="I1325">
            <v>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 t="str">
            <v>RACPREMIUM</v>
          </cell>
          <cell r="AH1325" t="str">
            <v>RAC_Premium</v>
          </cell>
          <cell r="AI1325" t="str">
            <v/>
          </cell>
          <cell r="AJ1325" t="str">
            <v/>
          </cell>
          <cell r="AK1325" t="str">
            <v>0.343813</v>
          </cell>
          <cell r="AL1325" t="str">
            <v>0</v>
          </cell>
          <cell r="AM1325" t="str">
            <v>Q</v>
          </cell>
          <cell r="AN1325" t="str">
            <v>M0</v>
          </cell>
          <cell r="AO1325" t="str">
            <v>Active(Model)</v>
          </cell>
          <cell r="AP1325" t="str">
            <v/>
          </cell>
          <cell r="AQ1325" t="str">
            <v/>
          </cell>
          <cell r="AR1325" t="str">
            <v>Y</v>
          </cell>
          <cell r="AS1325" t="str">
            <v/>
          </cell>
          <cell r="AT1325" t="str">
            <v>AC</v>
          </cell>
          <cell r="AU1325" t="str">
            <v>Airconditioner</v>
          </cell>
          <cell r="AV1325" t="str">
            <v>ACPS</v>
          </cell>
          <cell r="AW1325" t="str">
            <v>PAC_Slim</v>
          </cell>
          <cell r="AX1325" t="str">
            <v>ACPSPR</v>
          </cell>
          <cell r="AY1325" t="str">
            <v>PAC_Slim Premium</v>
          </cell>
          <cell r="AZ1325" t="str">
            <v>ACPSPRIU</v>
          </cell>
          <cell r="BA1325" t="str">
            <v>PAC_Slim Inverter_O/D</v>
          </cell>
        </row>
        <row r="1326">
          <cell r="E1326" t="str">
            <v>VCQ-MBS10.AML</v>
          </cell>
          <cell r="F1326">
            <v>1</v>
          </cell>
          <cell r="G1326">
            <v>0</v>
          </cell>
          <cell r="H1326">
            <v>0</v>
          </cell>
          <cell r="I1326">
            <v>1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 t="str">
            <v/>
          </cell>
          <cell r="AH1326" t="str">
            <v/>
          </cell>
          <cell r="AI1326" t="str">
            <v/>
          </cell>
          <cell r="AJ1326" t="str">
            <v/>
          </cell>
          <cell r="AK1326" t="str">
            <v>0.001212</v>
          </cell>
          <cell r="AL1326" t="str">
            <v>0</v>
          </cell>
          <cell r="AM1326" t="str">
            <v>Q</v>
          </cell>
          <cell r="AN1326" t="str">
            <v>M0</v>
          </cell>
          <cell r="AO1326" t="str">
            <v>Active(Model)</v>
          </cell>
          <cell r="AP1326" t="str">
            <v/>
          </cell>
          <cell r="AQ1326" t="str">
            <v/>
          </cell>
          <cell r="AR1326" t="str">
            <v>Y</v>
          </cell>
          <cell r="AS1326" t="str">
            <v/>
          </cell>
          <cell r="AT1326" t="str">
            <v>AC</v>
          </cell>
          <cell r="AU1326" t="str">
            <v>Airconditioner</v>
          </cell>
          <cell r="AV1326" t="str">
            <v>ACCS</v>
          </cell>
          <cell r="AW1326" t="str">
            <v>Control Solution</v>
          </cell>
          <cell r="AX1326" t="str">
            <v>ACCSBM</v>
          </cell>
          <cell r="AY1326" t="str">
            <v>Building Management</v>
          </cell>
          <cell r="AZ1326" t="str">
            <v>ACCSBMSW</v>
          </cell>
          <cell r="BA1326" t="str">
            <v>BECON Software</v>
          </cell>
        </row>
        <row r="1327">
          <cell r="E1327" t="str">
            <v>W60GLGG0.ABAE</v>
          </cell>
          <cell r="F1327">
            <v>0</v>
          </cell>
          <cell r="G1327">
            <v>0</v>
          </cell>
          <cell r="H1327">
            <v>0</v>
          </cell>
          <cell r="I1327">
            <v>2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2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 t="str">
            <v/>
          </cell>
          <cell r="AH1327" t="str">
            <v/>
          </cell>
          <cell r="AI1327" t="str">
            <v/>
          </cell>
          <cell r="AJ1327" t="str">
            <v/>
          </cell>
          <cell r="AK1327" t="str">
            <v>0.100242</v>
          </cell>
          <cell r="AL1327" t="str">
            <v>0</v>
          </cell>
          <cell r="AM1327" t="str">
            <v>Q</v>
          </cell>
          <cell r="AN1327" t="str">
            <v>M0</v>
          </cell>
          <cell r="AO1327" t="str">
            <v>Active(Model)</v>
          </cell>
          <cell r="AP1327" t="str">
            <v/>
          </cell>
          <cell r="AQ1327" t="str">
            <v/>
          </cell>
          <cell r="AR1327" t="str">
            <v>Y</v>
          </cell>
          <cell r="AS1327" t="str">
            <v/>
          </cell>
          <cell r="AT1327" t="str">
            <v>HC</v>
          </cell>
          <cell r="AU1327" t="str">
            <v>Healthcare</v>
          </cell>
          <cell r="AV1327" t="str">
            <v>HCWC</v>
          </cell>
          <cell r="AW1327" t="str">
            <v>Wellness care</v>
          </cell>
          <cell r="AX1327" t="str">
            <v>HCWCAS</v>
          </cell>
          <cell r="AY1327" t="str">
            <v>Air Solution</v>
          </cell>
          <cell r="AZ1327" t="str">
            <v>HCWCASCO</v>
          </cell>
          <cell r="BA1327" t="str">
            <v>Air Cleaner_ODM</v>
          </cell>
        </row>
        <row r="1328">
          <cell r="E1328" t="str">
            <v>WP601-B.ATV</v>
          </cell>
          <cell r="F1328">
            <v>4</v>
          </cell>
          <cell r="G1328">
            <v>0</v>
          </cell>
          <cell r="H1328">
            <v>0</v>
          </cell>
          <cell r="I1328">
            <v>4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 t="str">
            <v/>
          </cell>
          <cell r="AH1328" t="str">
            <v/>
          </cell>
          <cell r="AI1328" t="str">
            <v/>
          </cell>
          <cell r="AJ1328" t="str">
            <v/>
          </cell>
          <cell r="AK1328" t="str">
            <v>0.013978</v>
          </cell>
          <cell r="AL1328" t="str">
            <v>2</v>
          </cell>
          <cell r="AM1328" t="str">
            <v>Q</v>
          </cell>
          <cell r="AN1328" t="str">
            <v>M0</v>
          </cell>
          <cell r="AO1328" t="str">
            <v>Active(Model)</v>
          </cell>
          <cell r="AP1328" t="str">
            <v/>
          </cell>
          <cell r="AQ1328" t="str">
            <v/>
          </cell>
          <cell r="AR1328" t="str">
            <v>Y</v>
          </cell>
          <cell r="AS1328" t="str">
            <v/>
          </cell>
          <cell r="AT1328" t="str">
            <v>CS</v>
          </cell>
          <cell r="AU1328" t="str">
            <v>Commercial Display_Signage</v>
          </cell>
          <cell r="AV1328" t="str">
            <v>CSSB</v>
          </cell>
          <cell r="AW1328" t="str">
            <v>Commercial_Signage Board</v>
          </cell>
          <cell r="AX1328" t="str">
            <v>CSSBWP</v>
          </cell>
          <cell r="AY1328" t="str">
            <v>Commercial_Signage WP</v>
          </cell>
          <cell r="AZ1328" t="str">
            <v>CSSBWPNN</v>
          </cell>
          <cell r="BA1328" t="str">
            <v>Comercial Signage WP</v>
          </cell>
        </row>
        <row r="1329">
          <cell r="E1329" t="str">
            <v>WT1410NHB.APBPPVN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 t="str">
            <v>WMPREPLUS</v>
          </cell>
          <cell r="AH1329" t="str">
            <v>WM_Premium_Plus</v>
          </cell>
          <cell r="AI1329" t="str">
            <v/>
          </cell>
          <cell r="AJ1329" t="str">
            <v/>
          </cell>
          <cell r="AK1329" t="str">
            <v>0.810080</v>
          </cell>
          <cell r="AL1329" t="str">
            <v>2</v>
          </cell>
          <cell r="AM1329" t="str">
            <v>Q</v>
          </cell>
          <cell r="AN1329" t="str">
            <v>M0</v>
          </cell>
          <cell r="AO1329" t="str">
            <v>Active(Model)</v>
          </cell>
          <cell r="AP1329" t="str">
            <v/>
          </cell>
          <cell r="AQ1329" t="str">
            <v/>
          </cell>
          <cell r="AR1329" t="str">
            <v>Y</v>
          </cell>
          <cell r="AS1329" t="str">
            <v/>
          </cell>
          <cell r="AT1329" t="str">
            <v>WM</v>
          </cell>
          <cell r="AU1329" t="str">
            <v>Washing Machine</v>
          </cell>
          <cell r="AV1329" t="str">
            <v>WMWL</v>
          </cell>
          <cell r="AW1329" t="str">
            <v>Clothes Washer</v>
          </cell>
          <cell r="AX1329" t="str">
            <v>WMWLCC</v>
          </cell>
          <cell r="AY1329" t="str">
            <v>Clothes Washer_Laundry Center</v>
          </cell>
          <cell r="AZ1329" t="str">
            <v>WMWLCCLC</v>
          </cell>
          <cell r="BA1329" t="str">
            <v>Clothes Stacked Washer Dryer</v>
          </cell>
        </row>
        <row r="1330">
          <cell r="E1330" t="str">
            <v>WT1410NHB.APBPQVN</v>
          </cell>
          <cell r="F1330">
            <v>0</v>
          </cell>
          <cell r="G1330">
            <v>0</v>
          </cell>
          <cell r="H1330">
            <v>0</v>
          </cell>
          <cell r="I1330">
            <v>15</v>
          </cell>
          <cell r="J1330">
            <v>0</v>
          </cell>
          <cell r="K1330">
            <v>0</v>
          </cell>
          <cell r="L1330">
            <v>0</v>
          </cell>
          <cell r="M1330">
            <v>2</v>
          </cell>
          <cell r="N1330">
            <v>0</v>
          </cell>
          <cell r="O1330">
            <v>3</v>
          </cell>
          <cell r="P1330">
            <v>2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 t="str">
            <v>WMPREPLUS</v>
          </cell>
          <cell r="AH1330" t="str">
            <v>WM_Premium_Plus</v>
          </cell>
          <cell r="AI1330" t="str">
            <v/>
          </cell>
          <cell r="AJ1330" t="str">
            <v/>
          </cell>
          <cell r="AK1330" t="str">
            <v>0.828623</v>
          </cell>
          <cell r="AL1330" t="str">
            <v>2</v>
          </cell>
          <cell r="AM1330" t="str">
            <v>Q</v>
          </cell>
          <cell r="AN1330" t="str">
            <v>M0</v>
          </cell>
          <cell r="AO1330" t="str">
            <v>Active(Model)</v>
          </cell>
          <cell r="AP1330" t="str">
            <v/>
          </cell>
          <cell r="AQ1330" t="str">
            <v/>
          </cell>
          <cell r="AR1330" t="str">
            <v>Y</v>
          </cell>
          <cell r="AS1330" t="str">
            <v/>
          </cell>
          <cell r="AT1330" t="str">
            <v>WM</v>
          </cell>
          <cell r="AU1330" t="str">
            <v>Washing Machine</v>
          </cell>
          <cell r="AV1330" t="str">
            <v>WMWL</v>
          </cell>
          <cell r="AW1330" t="str">
            <v>Clothes Washer</v>
          </cell>
          <cell r="AX1330" t="str">
            <v>WMWLCC</v>
          </cell>
          <cell r="AY1330" t="str">
            <v>Clothes Washer_Laundry Center</v>
          </cell>
          <cell r="AZ1330" t="str">
            <v>WMWLCCLC</v>
          </cell>
          <cell r="BA1330" t="str">
            <v>Clothes Stacked Washer Dryer</v>
          </cell>
        </row>
        <row r="1331">
          <cell r="E1331" t="str">
            <v>WT1410NHE.ABBPPVN</v>
          </cell>
          <cell r="F1331">
            <v>20</v>
          </cell>
          <cell r="G1331">
            <v>0</v>
          </cell>
          <cell r="H1331">
            <v>0</v>
          </cell>
          <cell r="I1331">
            <v>21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21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 t="str">
            <v/>
          </cell>
          <cell r="AH1331" t="str">
            <v/>
          </cell>
          <cell r="AI1331" t="str">
            <v/>
          </cell>
          <cell r="AJ1331" t="str">
            <v/>
          </cell>
          <cell r="AK1331" t="str">
            <v>0.809737</v>
          </cell>
          <cell r="AL1331" t="str">
            <v>2</v>
          </cell>
          <cell r="AM1331" t="str">
            <v>Q</v>
          </cell>
          <cell r="AN1331" t="str">
            <v>M0</v>
          </cell>
          <cell r="AO1331" t="str">
            <v>Active(Model)</v>
          </cell>
          <cell r="AP1331" t="str">
            <v/>
          </cell>
          <cell r="AQ1331" t="str">
            <v/>
          </cell>
          <cell r="AR1331" t="str">
            <v>Y</v>
          </cell>
          <cell r="AS1331" t="str">
            <v/>
          </cell>
          <cell r="AT1331" t="str">
            <v>WM</v>
          </cell>
          <cell r="AU1331" t="str">
            <v>Washing Machine</v>
          </cell>
          <cell r="AV1331" t="str">
            <v>WMWL</v>
          </cell>
          <cell r="AW1331" t="str">
            <v>Clothes Washer</v>
          </cell>
          <cell r="AX1331" t="str">
            <v>WMWLCC</v>
          </cell>
          <cell r="AY1331" t="str">
            <v>Clothes Washer_Laundry Center</v>
          </cell>
          <cell r="AZ1331" t="str">
            <v>WMWLCCLC</v>
          </cell>
          <cell r="BA1331" t="str">
            <v>Clothes Stacked Washer Dryer</v>
          </cell>
        </row>
        <row r="1332">
          <cell r="E1332" t="str">
            <v>WT1410NHE.ABBPQVN</v>
          </cell>
          <cell r="F1332">
            <v>5</v>
          </cell>
          <cell r="G1332">
            <v>0</v>
          </cell>
          <cell r="H1332">
            <v>0</v>
          </cell>
          <cell r="I1332">
            <v>5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 t="str">
            <v/>
          </cell>
          <cell r="AH1332" t="str">
            <v/>
          </cell>
          <cell r="AI1332" t="str">
            <v/>
          </cell>
          <cell r="AJ1332" t="str">
            <v/>
          </cell>
          <cell r="AK1332" t="str">
            <v>0.809737</v>
          </cell>
          <cell r="AL1332" t="str">
            <v>2</v>
          </cell>
          <cell r="AM1332" t="str">
            <v>Q</v>
          </cell>
          <cell r="AN1332" t="str">
            <v>M0</v>
          </cell>
          <cell r="AO1332" t="str">
            <v>Active(Model)</v>
          </cell>
          <cell r="AP1332" t="str">
            <v/>
          </cell>
          <cell r="AQ1332" t="str">
            <v/>
          </cell>
          <cell r="AR1332" t="str">
            <v>Y</v>
          </cell>
          <cell r="AS1332" t="str">
            <v/>
          </cell>
          <cell r="AT1332" t="str">
            <v>WM</v>
          </cell>
          <cell r="AU1332" t="str">
            <v>Washing Machine</v>
          </cell>
          <cell r="AV1332" t="str">
            <v>WMWL</v>
          </cell>
          <cell r="AW1332" t="str">
            <v>Clothes Washer</v>
          </cell>
          <cell r="AX1332" t="str">
            <v>WMWLCC</v>
          </cell>
          <cell r="AY1332" t="str">
            <v>Clothes Washer_Laundry Center</v>
          </cell>
          <cell r="AZ1332" t="str">
            <v>WMWLCCLC</v>
          </cell>
          <cell r="BA1332" t="str">
            <v>Clothes Stacked Washer Dryer</v>
          </cell>
        </row>
        <row r="1333">
          <cell r="E1333" t="str">
            <v>WT1410NHEG.ABGPEVN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 t="str">
            <v>WMPREPLUS</v>
          </cell>
          <cell r="AH1333" t="str">
            <v>WM_Premium_Plus</v>
          </cell>
          <cell r="AI1333" t="str">
            <v/>
          </cell>
          <cell r="AJ1333" t="str">
            <v/>
          </cell>
          <cell r="AK1333" t="str">
            <v>0.810080</v>
          </cell>
          <cell r="AL1333" t="str">
            <v>0</v>
          </cell>
          <cell r="AM1333" t="str">
            <v>Q</v>
          </cell>
          <cell r="AN1333" t="str">
            <v>M0</v>
          </cell>
          <cell r="AO1333" t="str">
            <v>Active(Model)</v>
          </cell>
          <cell r="AP1333" t="str">
            <v/>
          </cell>
          <cell r="AQ1333" t="str">
            <v/>
          </cell>
          <cell r="AR1333" t="str">
            <v>Y</v>
          </cell>
          <cell r="AS1333" t="str">
            <v/>
          </cell>
          <cell r="AT1333" t="str">
            <v>WM</v>
          </cell>
          <cell r="AU1333" t="str">
            <v>Washing Machine</v>
          </cell>
          <cell r="AV1333" t="str">
            <v>WMWL</v>
          </cell>
          <cell r="AW1333" t="str">
            <v>Clothes Washer</v>
          </cell>
          <cell r="AX1333" t="str">
            <v>WMWLCC</v>
          </cell>
          <cell r="AY1333" t="str">
            <v>Clothes Washer_Laundry Center</v>
          </cell>
          <cell r="AZ1333" t="str">
            <v>WMWLCCLC</v>
          </cell>
          <cell r="BA1333" t="str">
            <v>Clothes Stacked Washer Dryer</v>
          </cell>
        </row>
        <row r="1334">
          <cell r="E1334" t="str">
            <v>WT1410NHEG.ABGPQVN</v>
          </cell>
          <cell r="F1334">
            <v>0</v>
          </cell>
          <cell r="G1334">
            <v>0</v>
          </cell>
          <cell r="H1334">
            <v>0</v>
          </cell>
          <cell r="I1334">
            <v>17</v>
          </cell>
          <cell r="J1334">
            <v>0</v>
          </cell>
          <cell r="K1334">
            <v>4</v>
          </cell>
          <cell r="L1334">
            <v>0</v>
          </cell>
          <cell r="M1334">
            <v>4</v>
          </cell>
          <cell r="N1334">
            <v>0</v>
          </cell>
          <cell r="O1334">
            <v>5</v>
          </cell>
          <cell r="P1334">
            <v>4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 t="str">
            <v>WMPREPLUS</v>
          </cell>
          <cell r="AH1334" t="str">
            <v>WM_Premium_Plus</v>
          </cell>
          <cell r="AI1334" t="str">
            <v/>
          </cell>
          <cell r="AJ1334" t="str">
            <v/>
          </cell>
          <cell r="AK1334" t="str">
            <v>0.809737</v>
          </cell>
          <cell r="AL1334" t="str">
            <v>2</v>
          </cell>
          <cell r="AM1334" t="str">
            <v>Q</v>
          </cell>
          <cell r="AN1334" t="str">
            <v>M0</v>
          </cell>
          <cell r="AO1334" t="str">
            <v>Active(Model)</v>
          </cell>
          <cell r="AP1334" t="str">
            <v/>
          </cell>
          <cell r="AQ1334" t="str">
            <v/>
          </cell>
          <cell r="AR1334" t="str">
            <v>Y</v>
          </cell>
          <cell r="AS1334" t="str">
            <v/>
          </cell>
          <cell r="AT1334" t="str">
            <v>WM</v>
          </cell>
          <cell r="AU1334" t="str">
            <v>Washing Machine</v>
          </cell>
          <cell r="AV1334" t="str">
            <v>WMWL</v>
          </cell>
          <cell r="AW1334" t="str">
            <v>Clothes Washer</v>
          </cell>
          <cell r="AX1334" t="str">
            <v>WMWLCC</v>
          </cell>
          <cell r="AY1334" t="str">
            <v>Clothes Washer_Laundry Center</v>
          </cell>
          <cell r="AZ1334" t="str">
            <v>WMWLCCLC</v>
          </cell>
          <cell r="BA1334" t="str">
            <v>Clothes Stacked Washer Dryer</v>
          </cell>
        </row>
        <row r="1335">
          <cell r="E1335" t="str">
            <v>WT2517NHEG.ABGPEVN</v>
          </cell>
          <cell r="F1335">
            <v>4</v>
          </cell>
          <cell r="G1335">
            <v>0</v>
          </cell>
          <cell r="H1335">
            <v>0</v>
          </cell>
          <cell r="I1335">
            <v>29</v>
          </cell>
          <cell r="J1335">
            <v>7</v>
          </cell>
          <cell r="K1335">
            <v>8</v>
          </cell>
          <cell r="L1335">
            <v>5</v>
          </cell>
          <cell r="M1335">
            <v>2</v>
          </cell>
          <cell r="N1335">
            <v>5</v>
          </cell>
          <cell r="O1335">
            <v>1</v>
          </cell>
          <cell r="P1335">
            <v>7</v>
          </cell>
          <cell r="Q1335">
            <v>42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2</v>
          </cell>
          <cell r="AF1335">
            <v>0</v>
          </cell>
          <cell r="AG1335" t="str">
            <v>WMPREPLUS</v>
          </cell>
          <cell r="AH1335" t="str">
            <v>WM_Premium_Plus</v>
          </cell>
          <cell r="AI1335" t="str">
            <v/>
          </cell>
          <cell r="AJ1335" t="str">
            <v/>
          </cell>
          <cell r="AK1335" t="str">
            <v>1.276866</v>
          </cell>
          <cell r="AL1335" t="str">
            <v>0</v>
          </cell>
          <cell r="AM1335" t="str">
            <v>Q</v>
          </cell>
          <cell r="AN1335" t="str">
            <v>M0</v>
          </cell>
          <cell r="AO1335" t="str">
            <v>Active(Model)</v>
          </cell>
          <cell r="AP1335" t="str">
            <v/>
          </cell>
          <cell r="AQ1335" t="str">
            <v/>
          </cell>
          <cell r="AR1335" t="str">
            <v>Y</v>
          </cell>
          <cell r="AS1335" t="str">
            <v/>
          </cell>
          <cell r="AT1335" t="str">
            <v>WM</v>
          </cell>
          <cell r="AU1335" t="str">
            <v>Washing Machine</v>
          </cell>
          <cell r="AV1335" t="str">
            <v>WMWL</v>
          </cell>
          <cell r="AW1335" t="str">
            <v>Clothes Washer</v>
          </cell>
          <cell r="AX1335" t="str">
            <v>WMWLCC</v>
          </cell>
          <cell r="AY1335" t="str">
            <v>Clothes Washer_Laundry Center</v>
          </cell>
          <cell r="AZ1335" t="str">
            <v>WMWLCCLC</v>
          </cell>
          <cell r="BA1335" t="str">
            <v>Clothes Stacked Washer Dryer</v>
          </cell>
        </row>
        <row r="1336">
          <cell r="E1336" t="str">
            <v>Z2UQ18GFD0.EWGHASA</v>
          </cell>
          <cell r="F1336">
            <v>3</v>
          </cell>
          <cell r="G1336">
            <v>0</v>
          </cell>
          <cell r="H1336">
            <v>0</v>
          </cell>
          <cell r="I1336">
            <v>3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3</v>
          </cell>
          <cell r="AF1336">
            <v>0</v>
          </cell>
          <cell r="AG1336" t="str">
            <v/>
          </cell>
          <cell r="AH1336" t="str">
            <v/>
          </cell>
          <cell r="AI1336" t="str">
            <v/>
          </cell>
          <cell r="AJ1336" t="str">
            <v/>
          </cell>
          <cell r="AK1336" t="str">
            <v>0.209892</v>
          </cell>
          <cell r="AL1336" t="str">
            <v>0</v>
          </cell>
          <cell r="AM1336" t="str">
            <v>Q</v>
          </cell>
          <cell r="AN1336" t="str">
            <v>M0</v>
          </cell>
          <cell r="AO1336" t="str">
            <v>Active(Model)</v>
          </cell>
          <cell r="AP1336" t="str">
            <v/>
          </cell>
          <cell r="AQ1336" t="str">
            <v/>
          </cell>
          <cell r="AR1336" t="str">
            <v>Y</v>
          </cell>
          <cell r="AS1336" t="str">
            <v/>
          </cell>
          <cell r="AT1336" t="str">
            <v>AC</v>
          </cell>
          <cell r="AU1336" t="str">
            <v>Airconditioner</v>
          </cell>
          <cell r="AV1336" t="str">
            <v>ACMT</v>
          </cell>
          <cell r="AW1336" t="str">
            <v>Multi</v>
          </cell>
          <cell r="AX1336" t="str">
            <v>ACMTOD</v>
          </cell>
          <cell r="AY1336" t="str">
            <v>Flexible Multi-O/D(Inv.)</v>
          </cell>
          <cell r="AZ1336" t="str">
            <v>ACMTODMF</v>
          </cell>
          <cell r="BA1336" t="str">
            <v>Flexible Multi_O/D_Multi F</v>
          </cell>
        </row>
        <row r="1337">
          <cell r="E1337" t="str">
            <v>Z2UW18GFA0.EWGHASA</v>
          </cell>
          <cell r="F1337">
            <v>8</v>
          </cell>
          <cell r="G1337">
            <v>0</v>
          </cell>
          <cell r="H1337">
            <v>0</v>
          </cell>
          <cell r="I1337">
            <v>10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 t="str">
            <v/>
          </cell>
          <cell r="AH1337" t="str">
            <v/>
          </cell>
          <cell r="AI1337" t="str">
            <v/>
          </cell>
          <cell r="AJ1337" t="str">
            <v/>
          </cell>
          <cell r="AK1337" t="str">
            <v>0.212597</v>
          </cell>
          <cell r="AL1337" t="str">
            <v>0</v>
          </cell>
          <cell r="AM1337" t="str">
            <v>Q</v>
          </cell>
          <cell r="AN1337" t="str">
            <v>M0</v>
          </cell>
          <cell r="AO1337" t="str">
            <v>Active(Model)</v>
          </cell>
          <cell r="AP1337" t="str">
            <v/>
          </cell>
          <cell r="AQ1337" t="str">
            <v/>
          </cell>
          <cell r="AR1337" t="str">
            <v>Y</v>
          </cell>
          <cell r="AS1337" t="str">
            <v/>
          </cell>
          <cell r="AT1337" t="str">
            <v>AC</v>
          </cell>
          <cell r="AU1337" t="str">
            <v>Airconditioner</v>
          </cell>
          <cell r="AV1337" t="str">
            <v>ACMT</v>
          </cell>
          <cell r="AW1337" t="str">
            <v>Multi</v>
          </cell>
          <cell r="AX1337" t="str">
            <v>ACMTOD</v>
          </cell>
          <cell r="AY1337" t="str">
            <v>Flexible Multi-O/D(Inv.)</v>
          </cell>
          <cell r="AZ1337" t="str">
            <v>ACMTODMF</v>
          </cell>
          <cell r="BA1337" t="str">
            <v>Flexible Multi_O/D_Multi F</v>
          </cell>
        </row>
        <row r="1338">
          <cell r="E1338" t="str">
            <v>Z3UQ24GFD0.EWGHASA</v>
          </cell>
          <cell r="F1338">
            <v>1</v>
          </cell>
          <cell r="G1338">
            <v>0</v>
          </cell>
          <cell r="H1338">
            <v>0</v>
          </cell>
          <cell r="I1338">
            <v>1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10</v>
          </cell>
          <cell r="AF1338">
            <v>0</v>
          </cell>
          <cell r="AG1338" t="str">
            <v/>
          </cell>
          <cell r="AH1338" t="str">
            <v/>
          </cell>
          <cell r="AI1338" t="str">
            <v/>
          </cell>
          <cell r="AJ1338" t="str">
            <v/>
          </cell>
          <cell r="AK1338" t="str">
            <v>0.209892</v>
          </cell>
          <cell r="AL1338" t="str">
            <v>0</v>
          </cell>
          <cell r="AM1338" t="str">
            <v>Q</v>
          </cell>
          <cell r="AN1338" t="str">
            <v>M0</v>
          </cell>
          <cell r="AO1338" t="str">
            <v>Active(Model)</v>
          </cell>
          <cell r="AP1338" t="str">
            <v/>
          </cell>
          <cell r="AQ1338" t="str">
            <v/>
          </cell>
          <cell r="AR1338" t="str">
            <v>Y</v>
          </cell>
          <cell r="AS1338" t="str">
            <v/>
          </cell>
          <cell r="AT1338" t="str">
            <v>AC</v>
          </cell>
          <cell r="AU1338" t="str">
            <v>Airconditioner</v>
          </cell>
          <cell r="AV1338" t="str">
            <v>ACMT</v>
          </cell>
          <cell r="AW1338" t="str">
            <v>Multi</v>
          </cell>
          <cell r="AX1338" t="str">
            <v>ACMTOD</v>
          </cell>
          <cell r="AY1338" t="str">
            <v>Flexible Multi-O/D(Inv.)</v>
          </cell>
          <cell r="AZ1338" t="str">
            <v>ACMTODMF</v>
          </cell>
          <cell r="BA1338" t="str">
            <v>Flexible Multi_O/D_Multi F</v>
          </cell>
        </row>
        <row r="1339">
          <cell r="E1339" t="str">
            <v>Z3UQ30GFD0.EWGHASA</v>
          </cell>
          <cell r="F1339">
            <v>7</v>
          </cell>
          <cell r="G1339">
            <v>0</v>
          </cell>
          <cell r="H1339">
            <v>0</v>
          </cell>
          <cell r="I1339">
            <v>12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 t="str">
            <v/>
          </cell>
          <cell r="AH1339" t="str">
            <v/>
          </cell>
          <cell r="AI1339" t="str">
            <v/>
          </cell>
          <cell r="AJ1339" t="str">
            <v/>
          </cell>
          <cell r="AK1339" t="str">
            <v>0.343813</v>
          </cell>
          <cell r="AL1339" t="str">
            <v>0</v>
          </cell>
          <cell r="AM1339" t="str">
            <v>Q</v>
          </cell>
          <cell r="AN1339" t="str">
            <v>M0</v>
          </cell>
          <cell r="AO1339" t="str">
            <v>Active(Model)</v>
          </cell>
          <cell r="AP1339" t="str">
            <v/>
          </cell>
          <cell r="AQ1339" t="str">
            <v/>
          </cell>
          <cell r="AR1339" t="str">
            <v>Y</v>
          </cell>
          <cell r="AS1339" t="str">
            <v/>
          </cell>
          <cell r="AT1339" t="str">
            <v>AC</v>
          </cell>
          <cell r="AU1339" t="str">
            <v>Airconditioner</v>
          </cell>
          <cell r="AV1339" t="str">
            <v>ACMT</v>
          </cell>
          <cell r="AW1339" t="str">
            <v>Multi</v>
          </cell>
          <cell r="AX1339" t="str">
            <v>ACMTOD</v>
          </cell>
          <cell r="AY1339" t="str">
            <v>Flexible Multi-O/D(Inv.)</v>
          </cell>
          <cell r="AZ1339" t="str">
            <v>ACMTODMF</v>
          </cell>
          <cell r="BA1339" t="str">
            <v>Flexible Multi_O/D_Multi F</v>
          </cell>
        </row>
        <row r="1340">
          <cell r="E1340" t="str">
            <v>Z3UW24GFA0.EWGHASA</v>
          </cell>
          <cell r="F1340">
            <v>44</v>
          </cell>
          <cell r="G1340">
            <v>0</v>
          </cell>
          <cell r="H1340">
            <v>0</v>
          </cell>
          <cell r="I1340">
            <v>45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26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 t="str">
            <v/>
          </cell>
          <cell r="AH1340" t="str">
            <v/>
          </cell>
          <cell r="AI1340" t="str">
            <v/>
          </cell>
          <cell r="AJ1340" t="str">
            <v/>
          </cell>
          <cell r="AK1340" t="str">
            <v>0.335972</v>
          </cell>
          <cell r="AL1340" t="str">
            <v>0</v>
          </cell>
          <cell r="AM1340" t="str">
            <v>Q</v>
          </cell>
          <cell r="AN1340" t="str">
            <v>M0</v>
          </cell>
          <cell r="AO1340" t="str">
            <v>Active(Model)</v>
          </cell>
          <cell r="AP1340" t="str">
            <v/>
          </cell>
          <cell r="AQ1340" t="str">
            <v/>
          </cell>
          <cell r="AR1340" t="str">
            <v>Y</v>
          </cell>
          <cell r="AS1340" t="str">
            <v/>
          </cell>
          <cell r="AT1340" t="str">
            <v>AC</v>
          </cell>
          <cell r="AU1340" t="str">
            <v>Airconditioner</v>
          </cell>
          <cell r="AV1340" t="str">
            <v>ACMT</v>
          </cell>
          <cell r="AW1340" t="str">
            <v>Multi</v>
          </cell>
          <cell r="AX1340" t="str">
            <v>ACMTOD</v>
          </cell>
          <cell r="AY1340" t="str">
            <v>Flexible Multi-O/D(Inv.)</v>
          </cell>
          <cell r="AZ1340" t="str">
            <v>ACMTODMF</v>
          </cell>
          <cell r="BA1340" t="str">
            <v>Flexible Multi_O/D_Multi F</v>
          </cell>
        </row>
        <row r="1341">
          <cell r="E1341" t="str">
            <v>Z4UQ36GFD0.EWGHASA</v>
          </cell>
          <cell r="F1341">
            <v>4</v>
          </cell>
          <cell r="G1341">
            <v>0</v>
          </cell>
          <cell r="H1341">
            <v>0</v>
          </cell>
          <cell r="I1341">
            <v>4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4</v>
          </cell>
          <cell r="AF1341">
            <v>0</v>
          </cell>
          <cell r="AG1341" t="str">
            <v/>
          </cell>
          <cell r="AH1341" t="str">
            <v/>
          </cell>
          <cell r="AI1341" t="str">
            <v/>
          </cell>
          <cell r="AJ1341" t="str">
            <v/>
          </cell>
          <cell r="AK1341" t="str">
            <v>0.343813</v>
          </cell>
          <cell r="AL1341" t="str">
            <v>0</v>
          </cell>
          <cell r="AM1341" t="str">
            <v>Q</v>
          </cell>
          <cell r="AN1341" t="str">
            <v>M0</v>
          </cell>
          <cell r="AO1341" t="str">
            <v>Active(Model)</v>
          </cell>
          <cell r="AP1341" t="str">
            <v/>
          </cell>
          <cell r="AQ1341" t="str">
            <v/>
          </cell>
          <cell r="AR1341" t="str">
            <v>Y</v>
          </cell>
          <cell r="AS1341" t="str">
            <v/>
          </cell>
          <cell r="AT1341" t="str">
            <v>AC</v>
          </cell>
          <cell r="AU1341" t="str">
            <v>Airconditioner</v>
          </cell>
          <cell r="AV1341" t="str">
            <v>ACMT</v>
          </cell>
          <cell r="AW1341" t="str">
            <v>Multi</v>
          </cell>
          <cell r="AX1341" t="str">
            <v>ACMTOD</v>
          </cell>
          <cell r="AY1341" t="str">
            <v>Flexible Multi-O/D(Inv.)</v>
          </cell>
          <cell r="AZ1341" t="str">
            <v>ACMTODMF</v>
          </cell>
          <cell r="BA1341" t="str">
            <v>Flexible Multi_O/D_Multi F</v>
          </cell>
        </row>
        <row r="1342">
          <cell r="E1342" t="str">
            <v>Z4UQ42GFD0.EWGHASA</v>
          </cell>
          <cell r="F1342">
            <v>4</v>
          </cell>
          <cell r="G1342">
            <v>0</v>
          </cell>
          <cell r="H1342">
            <v>0</v>
          </cell>
          <cell r="I1342">
            <v>7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 t="str">
            <v/>
          </cell>
          <cell r="AH1342" t="str">
            <v/>
          </cell>
          <cell r="AI1342" t="str">
            <v/>
          </cell>
          <cell r="AJ1342" t="str">
            <v/>
          </cell>
          <cell r="AK1342" t="str">
            <v>0.482446</v>
          </cell>
          <cell r="AL1342" t="str">
            <v>0</v>
          </cell>
          <cell r="AM1342" t="str">
            <v>Q</v>
          </cell>
          <cell r="AN1342" t="str">
            <v>M0</v>
          </cell>
          <cell r="AO1342" t="str">
            <v>Active(Model)</v>
          </cell>
          <cell r="AP1342" t="str">
            <v/>
          </cell>
          <cell r="AQ1342" t="str">
            <v/>
          </cell>
          <cell r="AR1342" t="str">
            <v>Y</v>
          </cell>
          <cell r="AS1342" t="str">
            <v/>
          </cell>
          <cell r="AT1342" t="str">
            <v>AC</v>
          </cell>
          <cell r="AU1342" t="str">
            <v>Airconditioner</v>
          </cell>
          <cell r="AV1342" t="str">
            <v>ACMT</v>
          </cell>
          <cell r="AW1342" t="str">
            <v>Multi</v>
          </cell>
          <cell r="AX1342" t="str">
            <v>ACMTOD</v>
          </cell>
          <cell r="AY1342" t="str">
            <v>Flexible Multi-O/D(Inv.)</v>
          </cell>
          <cell r="AZ1342" t="str">
            <v>ACMTODMF</v>
          </cell>
          <cell r="BA1342" t="str">
            <v>Flexible Multi_O/D_Multi F</v>
          </cell>
        </row>
        <row r="1343">
          <cell r="E1343" t="str">
            <v>Z4UW30GFA0.EWGHASA</v>
          </cell>
          <cell r="F1343">
            <v>15</v>
          </cell>
          <cell r="G1343">
            <v>0</v>
          </cell>
          <cell r="H1343">
            <v>0</v>
          </cell>
          <cell r="I1343">
            <v>15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18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 t="str">
            <v/>
          </cell>
          <cell r="AH1343" t="str">
            <v/>
          </cell>
          <cell r="AI1343" t="str">
            <v/>
          </cell>
          <cell r="AJ1343" t="str">
            <v/>
          </cell>
          <cell r="AK1343" t="str">
            <v>0.482446</v>
          </cell>
          <cell r="AL1343" t="str">
            <v>0</v>
          </cell>
          <cell r="AM1343" t="str">
            <v>Q</v>
          </cell>
          <cell r="AN1343" t="str">
            <v>M0</v>
          </cell>
          <cell r="AO1343" t="str">
            <v>Active(Model)</v>
          </cell>
          <cell r="AP1343" t="str">
            <v/>
          </cell>
          <cell r="AQ1343" t="str">
            <v/>
          </cell>
          <cell r="AR1343" t="str">
            <v>Y</v>
          </cell>
          <cell r="AS1343" t="str">
            <v/>
          </cell>
          <cell r="AT1343" t="str">
            <v>AC</v>
          </cell>
          <cell r="AU1343" t="str">
            <v>Airconditioner</v>
          </cell>
          <cell r="AV1343" t="str">
            <v>ACMT</v>
          </cell>
          <cell r="AW1343" t="str">
            <v>Multi</v>
          </cell>
          <cell r="AX1343" t="str">
            <v>ACMTOD</v>
          </cell>
          <cell r="AY1343" t="str">
            <v>Flexible Multi-O/D(Inv.)</v>
          </cell>
          <cell r="AZ1343" t="str">
            <v>ACMTODMF</v>
          </cell>
          <cell r="BA1343" t="str">
            <v>Flexible Multi_O/D_Multi F</v>
          </cell>
        </row>
        <row r="1344">
          <cell r="E1344" t="str">
            <v>Z5UQ48GFD0.EWGHASA</v>
          </cell>
          <cell r="F1344">
            <v>76</v>
          </cell>
          <cell r="G1344">
            <v>0</v>
          </cell>
          <cell r="H1344">
            <v>0</v>
          </cell>
          <cell r="I1344">
            <v>85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2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 t="str">
            <v/>
          </cell>
          <cell r="AH1344" t="str">
            <v/>
          </cell>
          <cell r="AI1344" t="str">
            <v/>
          </cell>
          <cell r="AJ1344" t="str">
            <v/>
          </cell>
          <cell r="AK1344" t="str">
            <v>0.482446</v>
          </cell>
          <cell r="AL1344" t="str">
            <v>0</v>
          </cell>
          <cell r="AM1344" t="str">
            <v>Q</v>
          </cell>
          <cell r="AN1344" t="str">
            <v>M0</v>
          </cell>
          <cell r="AO1344" t="str">
            <v>Active(Model)</v>
          </cell>
          <cell r="AP1344" t="str">
            <v/>
          </cell>
          <cell r="AQ1344" t="str">
            <v/>
          </cell>
          <cell r="AR1344" t="str">
            <v>Y</v>
          </cell>
          <cell r="AS1344" t="str">
            <v/>
          </cell>
          <cell r="AT1344" t="str">
            <v>AC</v>
          </cell>
          <cell r="AU1344" t="str">
            <v>Airconditioner</v>
          </cell>
          <cell r="AV1344" t="str">
            <v>ACMT</v>
          </cell>
          <cell r="AW1344" t="str">
            <v>Multi</v>
          </cell>
          <cell r="AX1344" t="str">
            <v>ACMTOD</v>
          </cell>
          <cell r="AY1344" t="str">
            <v>Flexible Multi-O/D(Inv.)</v>
          </cell>
          <cell r="AZ1344" t="str">
            <v>ACMTODMF</v>
          </cell>
          <cell r="BA1344" t="str">
            <v>Flexible Multi_O/D_Multi F</v>
          </cell>
        </row>
        <row r="1345">
          <cell r="E1345" t="str">
            <v>Z5UW36GFA0.EWGHASA</v>
          </cell>
          <cell r="F1345">
            <v>0</v>
          </cell>
          <cell r="G1345">
            <v>0</v>
          </cell>
          <cell r="H1345">
            <v>0</v>
          </cell>
          <cell r="I1345">
            <v>10</v>
          </cell>
          <cell r="J1345">
            <v>0</v>
          </cell>
          <cell r="K1345">
            <v>7</v>
          </cell>
          <cell r="L1345">
            <v>0</v>
          </cell>
          <cell r="M1345">
            <v>0</v>
          </cell>
          <cell r="N1345">
            <v>0</v>
          </cell>
          <cell r="O1345">
            <v>32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 t="str">
            <v/>
          </cell>
          <cell r="AH1345" t="str">
            <v/>
          </cell>
          <cell r="AI1345" t="str">
            <v/>
          </cell>
          <cell r="AJ1345" t="str">
            <v/>
          </cell>
          <cell r="AK1345" t="str">
            <v>0.482446</v>
          </cell>
          <cell r="AL1345" t="str">
            <v>0</v>
          </cell>
          <cell r="AM1345" t="str">
            <v>Q</v>
          </cell>
          <cell r="AN1345" t="str">
            <v>M0</v>
          </cell>
          <cell r="AO1345" t="str">
            <v>Active(Model)</v>
          </cell>
          <cell r="AP1345" t="str">
            <v/>
          </cell>
          <cell r="AQ1345" t="str">
            <v/>
          </cell>
          <cell r="AR1345" t="str">
            <v>Y</v>
          </cell>
          <cell r="AS1345" t="str">
            <v/>
          </cell>
          <cell r="AT1345" t="str">
            <v>AC</v>
          </cell>
          <cell r="AU1345" t="str">
            <v>Airconditioner</v>
          </cell>
          <cell r="AV1345" t="str">
            <v>ACMT</v>
          </cell>
          <cell r="AW1345" t="str">
            <v>Multi</v>
          </cell>
          <cell r="AX1345" t="str">
            <v>ACMTOD</v>
          </cell>
          <cell r="AY1345" t="str">
            <v>Flexible Multi-O/D(Inv.)</v>
          </cell>
          <cell r="AZ1345" t="str">
            <v>ACMTODMF</v>
          </cell>
          <cell r="BA1345" t="str">
            <v>Flexible Multi_O/D_Multi F</v>
          </cell>
        </row>
        <row r="1346">
          <cell r="E1346" t="str">
            <v>Z5UW42GFA0.EWGHASA</v>
          </cell>
          <cell r="F1346">
            <v>0</v>
          </cell>
          <cell r="G1346">
            <v>0</v>
          </cell>
          <cell r="H1346">
            <v>0</v>
          </cell>
          <cell r="I1346">
            <v>233</v>
          </cell>
          <cell r="J1346">
            <v>0</v>
          </cell>
          <cell r="K1346">
            <v>112</v>
          </cell>
          <cell r="L1346">
            <v>22</v>
          </cell>
          <cell r="M1346">
            <v>0</v>
          </cell>
          <cell r="N1346">
            <v>0</v>
          </cell>
          <cell r="O1346">
            <v>19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 t="str">
            <v/>
          </cell>
          <cell r="AH1346" t="str">
            <v/>
          </cell>
          <cell r="AI1346" t="str">
            <v/>
          </cell>
          <cell r="AJ1346" t="str">
            <v/>
          </cell>
          <cell r="AK1346" t="str">
            <v>0.482446</v>
          </cell>
          <cell r="AL1346" t="str">
            <v>0</v>
          </cell>
          <cell r="AM1346" t="str">
            <v>Q</v>
          </cell>
          <cell r="AN1346" t="str">
            <v>M0</v>
          </cell>
          <cell r="AO1346" t="str">
            <v>Active(Model)</v>
          </cell>
          <cell r="AP1346" t="str">
            <v/>
          </cell>
          <cell r="AQ1346" t="str">
            <v/>
          </cell>
          <cell r="AR1346" t="str">
            <v>Y</v>
          </cell>
          <cell r="AS1346" t="str">
            <v/>
          </cell>
          <cell r="AT1346" t="str">
            <v>AC</v>
          </cell>
          <cell r="AU1346" t="str">
            <v>Airconditioner</v>
          </cell>
          <cell r="AV1346" t="str">
            <v>ACMT</v>
          </cell>
          <cell r="AW1346" t="str">
            <v>Multi</v>
          </cell>
          <cell r="AX1346" t="str">
            <v>ACMTOD</v>
          </cell>
          <cell r="AY1346" t="str">
            <v>Flexible Multi-O/D(Inv.)</v>
          </cell>
          <cell r="AZ1346" t="str">
            <v>ACMTODMF</v>
          </cell>
          <cell r="BA1346" t="str">
            <v>Flexible Multi_O/D_Multi F</v>
          </cell>
        </row>
        <row r="1347">
          <cell r="E1347" t="str">
            <v>Z5UW48GFA0.EWGHASA</v>
          </cell>
          <cell r="F1347">
            <v>0</v>
          </cell>
          <cell r="G1347">
            <v>0</v>
          </cell>
          <cell r="H1347">
            <v>0</v>
          </cell>
          <cell r="I1347">
            <v>103</v>
          </cell>
          <cell r="J1347">
            <v>0</v>
          </cell>
          <cell r="K1347">
            <v>205</v>
          </cell>
          <cell r="L1347">
            <v>0</v>
          </cell>
          <cell r="M1347">
            <v>0</v>
          </cell>
          <cell r="N1347">
            <v>0</v>
          </cell>
          <cell r="O1347">
            <v>48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 t="str">
            <v/>
          </cell>
          <cell r="AH1347" t="str">
            <v/>
          </cell>
          <cell r="AI1347" t="str">
            <v/>
          </cell>
          <cell r="AJ1347" t="str">
            <v/>
          </cell>
          <cell r="AK1347" t="str">
            <v>0.482446</v>
          </cell>
          <cell r="AL1347" t="str">
            <v>0</v>
          </cell>
          <cell r="AM1347" t="str">
            <v>Q</v>
          </cell>
          <cell r="AN1347" t="str">
            <v>M0</v>
          </cell>
          <cell r="AO1347" t="str">
            <v>Active(Model)</v>
          </cell>
          <cell r="AP1347" t="str">
            <v/>
          </cell>
          <cell r="AQ1347" t="str">
            <v/>
          </cell>
          <cell r="AR1347" t="str">
            <v>Y</v>
          </cell>
          <cell r="AS1347" t="str">
            <v/>
          </cell>
          <cell r="AT1347" t="str">
            <v>AC</v>
          </cell>
          <cell r="AU1347" t="str">
            <v>Airconditioner</v>
          </cell>
          <cell r="AV1347" t="str">
            <v>ACMT</v>
          </cell>
          <cell r="AW1347" t="str">
            <v>Multi</v>
          </cell>
          <cell r="AX1347" t="str">
            <v>ACMTOD</v>
          </cell>
          <cell r="AY1347" t="str">
            <v>Flexible Multi-O/D(Inv.)</v>
          </cell>
          <cell r="AZ1347" t="str">
            <v>ACMTODMF</v>
          </cell>
          <cell r="BA1347" t="str">
            <v>Flexible Multi_O/D_Multi F</v>
          </cell>
        </row>
        <row r="1348">
          <cell r="E1348" t="str">
            <v>ZBNQ09GL1D1.ENCHEVH</v>
          </cell>
          <cell r="F1348">
            <v>3</v>
          </cell>
          <cell r="G1348">
            <v>0</v>
          </cell>
          <cell r="H1348">
            <v>0</v>
          </cell>
          <cell r="I1348">
            <v>3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 t="str">
            <v/>
          </cell>
          <cell r="AH1348" t="str">
            <v/>
          </cell>
          <cell r="AI1348" t="str">
            <v/>
          </cell>
          <cell r="AJ1348" t="str">
            <v/>
          </cell>
          <cell r="AK1348" t="str">
            <v>0.171672</v>
          </cell>
          <cell r="AL1348" t="str">
            <v>0</v>
          </cell>
          <cell r="AM1348" t="str">
            <v>Q</v>
          </cell>
          <cell r="AN1348" t="str">
            <v>M0</v>
          </cell>
          <cell r="AO1348" t="str">
            <v>Active(Model)</v>
          </cell>
          <cell r="AP1348" t="str">
            <v/>
          </cell>
          <cell r="AQ1348" t="str">
            <v/>
          </cell>
          <cell r="AR1348" t="str">
            <v>Y</v>
          </cell>
          <cell r="AS1348" t="str">
            <v/>
          </cell>
          <cell r="AT1348" t="str">
            <v>AC</v>
          </cell>
          <cell r="AU1348" t="str">
            <v>Airconditioner</v>
          </cell>
          <cell r="AV1348" t="str">
            <v>ACFS</v>
          </cell>
          <cell r="AW1348" t="str">
            <v>Fixed Single CAC</v>
          </cell>
          <cell r="AX1348" t="str">
            <v>ACFSCD</v>
          </cell>
          <cell r="AY1348" t="str">
            <v>Ceiling Concealed Duct</v>
          </cell>
          <cell r="AZ1348" t="str">
            <v>ACFSCDCO</v>
          </cell>
          <cell r="BA1348" t="str">
            <v>Duct_I/D_Inverter_C/O</v>
          </cell>
        </row>
        <row r="1349">
          <cell r="E1349" t="str">
            <v>ZBNQ12GL2D1.ENCHEVH</v>
          </cell>
          <cell r="F1349">
            <v>9</v>
          </cell>
          <cell r="G1349">
            <v>0</v>
          </cell>
          <cell r="H1349">
            <v>0</v>
          </cell>
          <cell r="I1349">
            <v>9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 t="str">
            <v/>
          </cell>
          <cell r="AH1349" t="str">
            <v/>
          </cell>
          <cell r="AI1349" t="str">
            <v/>
          </cell>
          <cell r="AJ1349" t="str">
            <v/>
          </cell>
          <cell r="AK1349" t="str">
            <v>0.211503</v>
          </cell>
          <cell r="AL1349" t="str">
            <v>0</v>
          </cell>
          <cell r="AM1349" t="str">
            <v>Q</v>
          </cell>
          <cell r="AN1349" t="str">
            <v>M0</v>
          </cell>
          <cell r="AO1349" t="str">
            <v>Active(Model)</v>
          </cell>
          <cell r="AP1349" t="str">
            <v/>
          </cell>
          <cell r="AQ1349" t="str">
            <v/>
          </cell>
          <cell r="AR1349" t="str">
            <v>Y</v>
          </cell>
          <cell r="AS1349" t="str">
            <v/>
          </cell>
          <cell r="AT1349" t="str">
            <v>AC</v>
          </cell>
          <cell r="AU1349" t="str">
            <v>Airconditioner</v>
          </cell>
          <cell r="AV1349" t="str">
            <v>ACFS</v>
          </cell>
          <cell r="AW1349" t="str">
            <v>Fixed Single CAC</v>
          </cell>
          <cell r="AX1349" t="str">
            <v>ACFSCD</v>
          </cell>
          <cell r="AY1349" t="str">
            <v>Ceiling Concealed Duct</v>
          </cell>
          <cell r="AZ1349" t="str">
            <v>ACFSCDCO</v>
          </cell>
          <cell r="BA1349" t="str">
            <v>Duct_I/D_Inverter_C/O</v>
          </cell>
        </row>
        <row r="1350">
          <cell r="E1350" t="str">
            <v>ZBNQ18GL2D1.ENCHEVH</v>
          </cell>
          <cell r="F1350">
            <v>5</v>
          </cell>
          <cell r="G1350">
            <v>0</v>
          </cell>
          <cell r="H1350">
            <v>0</v>
          </cell>
          <cell r="I1350">
            <v>5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 t="str">
            <v/>
          </cell>
          <cell r="AH1350" t="str">
            <v/>
          </cell>
          <cell r="AI1350" t="str">
            <v/>
          </cell>
          <cell r="AJ1350" t="str">
            <v/>
          </cell>
          <cell r="AK1350" t="str">
            <v>0.211503</v>
          </cell>
          <cell r="AL1350" t="str">
            <v>0</v>
          </cell>
          <cell r="AM1350" t="str">
            <v>Q</v>
          </cell>
          <cell r="AN1350" t="str">
            <v>M0</v>
          </cell>
          <cell r="AO1350" t="str">
            <v>Active(Model)</v>
          </cell>
          <cell r="AP1350" t="str">
            <v/>
          </cell>
          <cell r="AQ1350" t="str">
            <v/>
          </cell>
          <cell r="AR1350" t="str">
            <v>Y</v>
          </cell>
          <cell r="AS1350" t="str">
            <v/>
          </cell>
          <cell r="AT1350" t="str">
            <v>AC</v>
          </cell>
          <cell r="AU1350" t="str">
            <v>Airconditioner</v>
          </cell>
          <cell r="AV1350" t="str">
            <v>ACFS</v>
          </cell>
          <cell r="AW1350" t="str">
            <v>Fixed Single CAC</v>
          </cell>
          <cell r="AX1350" t="str">
            <v>ACFSCD</v>
          </cell>
          <cell r="AY1350" t="str">
            <v>Ceiling Concealed Duct</v>
          </cell>
          <cell r="AZ1350" t="str">
            <v>ACFSCDCO</v>
          </cell>
          <cell r="BA1350" t="str">
            <v>Duct_I/D_Inverter_C/O</v>
          </cell>
        </row>
        <row r="1351">
          <cell r="E1351" t="str">
            <v>ZBNQ18GM1D1.ENCTEVH</v>
          </cell>
          <cell r="F1351">
            <v>3</v>
          </cell>
          <cell r="G1351">
            <v>0</v>
          </cell>
          <cell r="H1351">
            <v>0</v>
          </cell>
          <cell r="I1351">
            <v>3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 t="str">
            <v/>
          </cell>
          <cell r="AH1351" t="str">
            <v/>
          </cell>
          <cell r="AI1351" t="str">
            <v/>
          </cell>
          <cell r="AJ1351" t="str">
            <v/>
          </cell>
          <cell r="AK1351" t="str">
            <v>0.287401</v>
          </cell>
          <cell r="AL1351" t="str">
            <v>0</v>
          </cell>
          <cell r="AM1351" t="str">
            <v>Q</v>
          </cell>
          <cell r="AN1351" t="str">
            <v>M0</v>
          </cell>
          <cell r="AO1351" t="str">
            <v>Active(Model)</v>
          </cell>
          <cell r="AP1351" t="str">
            <v/>
          </cell>
          <cell r="AQ1351" t="str">
            <v/>
          </cell>
          <cell r="AR1351" t="str">
            <v>Y</v>
          </cell>
          <cell r="AS1351" t="str">
            <v/>
          </cell>
          <cell r="AT1351" t="str">
            <v>AC</v>
          </cell>
          <cell r="AU1351" t="str">
            <v>Airconditioner</v>
          </cell>
          <cell r="AV1351" t="str">
            <v>ACFS</v>
          </cell>
          <cell r="AW1351" t="str">
            <v>Fixed Single CAC</v>
          </cell>
          <cell r="AX1351" t="str">
            <v>ACFSCD</v>
          </cell>
          <cell r="AY1351" t="str">
            <v>Ceiling Concealed Duct</v>
          </cell>
          <cell r="AZ1351" t="str">
            <v>ACFSCDCO</v>
          </cell>
          <cell r="BA1351" t="str">
            <v>Duct_I/D_Inverter_C/O</v>
          </cell>
        </row>
        <row r="1352">
          <cell r="E1352" t="str">
            <v>ZBNQ24GL3D1.ENCHEVH</v>
          </cell>
          <cell r="F1352">
            <v>8</v>
          </cell>
          <cell r="G1352">
            <v>0</v>
          </cell>
          <cell r="H1352">
            <v>0</v>
          </cell>
          <cell r="I1352">
            <v>8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 t="str">
            <v/>
          </cell>
          <cell r="AH1352" t="str">
            <v/>
          </cell>
          <cell r="AI1352" t="str">
            <v/>
          </cell>
          <cell r="AJ1352" t="str">
            <v/>
          </cell>
          <cell r="AK1352" t="str">
            <v>0.251334</v>
          </cell>
          <cell r="AL1352" t="str">
            <v>0</v>
          </cell>
          <cell r="AM1352" t="str">
            <v>Q</v>
          </cell>
          <cell r="AN1352" t="str">
            <v>M0</v>
          </cell>
          <cell r="AO1352" t="str">
            <v>Active(Model)</v>
          </cell>
          <cell r="AP1352" t="str">
            <v/>
          </cell>
          <cell r="AQ1352" t="str">
            <v/>
          </cell>
          <cell r="AR1352" t="str">
            <v>Y</v>
          </cell>
          <cell r="AS1352" t="str">
            <v/>
          </cell>
          <cell r="AT1352" t="str">
            <v>AC</v>
          </cell>
          <cell r="AU1352" t="str">
            <v>Airconditioner</v>
          </cell>
          <cell r="AV1352" t="str">
            <v>ACFS</v>
          </cell>
          <cell r="AW1352" t="str">
            <v>Fixed Single CAC</v>
          </cell>
          <cell r="AX1352" t="str">
            <v>ACFSCD</v>
          </cell>
          <cell r="AY1352" t="str">
            <v>Ceiling Concealed Duct</v>
          </cell>
          <cell r="AZ1352" t="str">
            <v>ACFSCDCO</v>
          </cell>
          <cell r="BA1352" t="str">
            <v>Duct_I/D_Inverter_C/O</v>
          </cell>
        </row>
        <row r="1353">
          <cell r="E1353" t="str">
            <v>ZBNQ24GM1D1.ENCTEVH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 t="str">
            <v/>
          </cell>
          <cell r="AH1353" t="str">
            <v/>
          </cell>
          <cell r="AI1353" t="str">
            <v/>
          </cell>
          <cell r="AJ1353" t="str">
            <v/>
          </cell>
          <cell r="AK1353" t="str">
            <v>0.287401</v>
          </cell>
          <cell r="AL1353" t="str">
            <v>0</v>
          </cell>
          <cell r="AM1353" t="str">
            <v>Q</v>
          </cell>
          <cell r="AN1353" t="str">
            <v>M0</v>
          </cell>
          <cell r="AO1353" t="str">
            <v>Active(Model)</v>
          </cell>
          <cell r="AP1353" t="str">
            <v/>
          </cell>
          <cell r="AQ1353" t="str">
            <v/>
          </cell>
          <cell r="AR1353" t="str">
            <v>Y</v>
          </cell>
          <cell r="AS1353" t="str">
            <v/>
          </cell>
          <cell r="AT1353" t="str">
            <v>AC</v>
          </cell>
          <cell r="AU1353" t="str">
            <v>Airconditioner</v>
          </cell>
          <cell r="AV1353" t="str">
            <v>ACFS</v>
          </cell>
          <cell r="AW1353" t="str">
            <v>Fixed Single CAC</v>
          </cell>
          <cell r="AX1353" t="str">
            <v>ACFSCD</v>
          </cell>
          <cell r="AY1353" t="str">
            <v>Ceiling Concealed Duct</v>
          </cell>
          <cell r="AZ1353" t="str">
            <v>ACFSCDCO</v>
          </cell>
          <cell r="BA1353" t="str">
            <v>Duct_I/D_Inverter_C/O</v>
          </cell>
        </row>
        <row r="1354">
          <cell r="E1354" t="str">
            <v>ZBNQ30GM3D1.ENCTEVH</v>
          </cell>
          <cell r="F1354">
            <v>11</v>
          </cell>
          <cell r="G1354">
            <v>0</v>
          </cell>
          <cell r="H1354">
            <v>0</v>
          </cell>
          <cell r="I1354">
            <v>11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 t="str">
            <v/>
          </cell>
          <cell r="AH1354" t="str">
            <v/>
          </cell>
          <cell r="AI1354" t="str">
            <v/>
          </cell>
          <cell r="AJ1354" t="str">
            <v/>
          </cell>
          <cell r="AK1354" t="str">
            <v>0.479724</v>
          </cell>
          <cell r="AL1354" t="str">
            <v>0</v>
          </cell>
          <cell r="AM1354" t="str">
            <v>Q</v>
          </cell>
          <cell r="AN1354" t="str">
            <v>M0</v>
          </cell>
          <cell r="AO1354" t="str">
            <v>Active(Model)</v>
          </cell>
          <cell r="AP1354" t="str">
            <v/>
          </cell>
          <cell r="AQ1354" t="str">
            <v/>
          </cell>
          <cell r="AR1354" t="str">
            <v>Y</v>
          </cell>
          <cell r="AS1354" t="str">
            <v/>
          </cell>
          <cell r="AT1354" t="str">
            <v>AC</v>
          </cell>
          <cell r="AU1354" t="str">
            <v>Airconditioner</v>
          </cell>
          <cell r="AV1354" t="str">
            <v>ACFS</v>
          </cell>
          <cell r="AW1354" t="str">
            <v>Fixed Single CAC</v>
          </cell>
          <cell r="AX1354" t="str">
            <v>ACFSCD</v>
          </cell>
          <cell r="AY1354" t="str">
            <v>Ceiling Concealed Duct</v>
          </cell>
          <cell r="AZ1354" t="str">
            <v>ACFSCDCO</v>
          </cell>
          <cell r="BA1354" t="str">
            <v>Duct_I/D_Inverter_C/O</v>
          </cell>
        </row>
        <row r="1355">
          <cell r="E1355" t="str">
            <v>ZBNQ36GM3D1.ENCTEVH</v>
          </cell>
          <cell r="F1355">
            <v>13</v>
          </cell>
          <cell r="G1355">
            <v>0</v>
          </cell>
          <cell r="H1355">
            <v>0</v>
          </cell>
          <cell r="I1355">
            <v>13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 t="str">
            <v/>
          </cell>
          <cell r="AH1355" t="str">
            <v/>
          </cell>
          <cell r="AI1355" t="str">
            <v/>
          </cell>
          <cell r="AJ1355" t="str">
            <v/>
          </cell>
          <cell r="AK1355" t="str">
            <v>0.479724</v>
          </cell>
          <cell r="AL1355" t="str">
            <v>0</v>
          </cell>
          <cell r="AM1355" t="str">
            <v>Q</v>
          </cell>
          <cell r="AN1355" t="str">
            <v>M0</v>
          </cell>
          <cell r="AO1355" t="str">
            <v>Active(Model)</v>
          </cell>
          <cell r="AP1355" t="str">
            <v/>
          </cell>
          <cell r="AQ1355" t="str">
            <v/>
          </cell>
          <cell r="AR1355" t="str">
            <v>Y</v>
          </cell>
          <cell r="AS1355" t="str">
            <v/>
          </cell>
          <cell r="AT1355" t="str">
            <v>AC</v>
          </cell>
          <cell r="AU1355" t="str">
            <v>Airconditioner</v>
          </cell>
          <cell r="AV1355" t="str">
            <v>ACFS</v>
          </cell>
          <cell r="AW1355" t="str">
            <v>Fixed Single CAC</v>
          </cell>
          <cell r="AX1355" t="str">
            <v>ACFSCD</v>
          </cell>
          <cell r="AY1355" t="str">
            <v>Ceiling Concealed Duct</v>
          </cell>
          <cell r="AZ1355" t="str">
            <v>ACFSCDCO</v>
          </cell>
          <cell r="BA1355" t="str">
            <v>Duct_I/D_Inverter_C/O</v>
          </cell>
        </row>
        <row r="1356">
          <cell r="E1356" t="str">
            <v>ZBNQ36LM3A0.ENCBEVH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 t="str">
            <v/>
          </cell>
          <cell r="AH1356" t="str">
            <v/>
          </cell>
          <cell r="AI1356" t="str">
            <v/>
          </cell>
          <cell r="AJ1356" t="str">
            <v/>
          </cell>
          <cell r="AK1356" t="str">
            <v>0.479724</v>
          </cell>
          <cell r="AL1356" t="str">
            <v>0</v>
          </cell>
          <cell r="AM1356" t="str">
            <v>Q</v>
          </cell>
          <cell r="AN1356" t="str">
            <v>M0</v>
          </cell>
          <cell r="AO1356" t="str">
            <v>Active(Model)</v>
          </cell>
          <cell r="AP1356" t="str">
            <v/>
          </cell>
          <cell r="AQ1356" t="str">
            <v/>
          </cell>
          <cell r="AR1356" t="str">
            <v>Y</v>
          </cell>
          <cell r="AS1356" t="str">
            <v/>
          </cell>
          <cell r="AT1356" t="str">
            <v>AC</v>
          </cell>
          <cell r="AU1356" t="str">
            <v>Airconditioner</v>
          </cell>
          <cell r="AV1356" t="str">
            <v>ACFS</v>
          </cell>
          <cell r="AW1356" t="str">
            <v>Fixed Single CAC</v>
          </cell>
          <cell r="AX1356" t="str">
            <v>ACFSCD</v>
          </cell>
          <cell r="AY1356" t="str">
            <v>Ceiling Concealed Duct</v>
          </cell>
          <cell r="AZ1356" t="str">
            <v>ACFSCDCO</v>
          </cell>
          <cell r="BA1356" t="str">
            <v>Duct_I/D_Inverter_C/O</v>
          </cell>
        </row>
        <row r="1357">
          <cell r="E1357" t="str">
            <v>ZBNQ48GM3D1.ENCTEVH</v>
          </cell>
          <cell r="F1357">
            <v>12</v>
          </cell>
          <cell r="G1357">
            <v>0</v>
          </cell>
          <cell r="H1357">
            <v>0</v>
          </cell>
          <cell r="I1357">
            <v>12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 t="str">
            <v/>
          </cell>
          <cell r="AH1357" t="str">
            <v/>
          </cell>
          <cell r="AI1357" t="str">
            <v/>
          </cell>
          <cell r="AJ1357" t="str">
            <v/>
          </cell>
          <cell r="AK1357" t="str">
            <v>0.479724</v>
          </cell>
          <cell r="AL1357" t="str">
            <v>0</v>
          </cell>
          <cell r="AM1357" t="str">
            <v>Q</v>
          </cell>
          <cell r="AN1357" t="str">
            <v>M0</v>
          </cell>
          <cell r="AO1357" t="str">
            <v>Active(Model)</v>
          </cell>
          <cell r="AP1357" t="str">
            <v/>
          </cell>
          <cell r="AQ1357" t="str">
            <v/>
          </cell>
          <cell r="AR1357" t="str">
            <v>Y</v>
          </cell>
          <cell r="AS1357" t="str">
            <v/>
          </cell>
          <cell r="AT1357" t="str">
            <v>AC</v>
          </cell>
          <cell r="AU1357" t="str">
            <v>Airconditioner</v>
          </cell>
          <cell r="AV1357" t="str">
            <v>ACFS</v>
          </cell>
          <cell r="AW1357" t="str">
            <v>Fixed Single CAC</v>
          </cell>
          <cell r="AX1357" t="str">
            <v>ACFSCD</v>
          </cell>
          <cell r="AY1357" t="str">
            <v>Ceiling Concealed Duct</v>
          </cell>
          <cell r="AZ1357" t="str">
            <v>ACFSCDCO</v>
          </cell>
          <cell r="BA1357" t="str">
            <v>Duct_I/D_Inverter_C/O</v>
          </cell>
        </row>
        <row r="1358">
          <cell r="E1358" t="str">
            <v>ZBNQ48LM3A0.ENCBEVH</v>
          </cell>
          <cell r="F1358">
            <v>0</v>
          </cell>
          <cell r="G1358">
            <v>0</v>
          </cell>
          <cell r="H1358">
            <v>0</v>
          </cell>
          <cell r="I1358">
            <v>9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 t="str">
            <v/>
          </cell>
          <cell r="AH1358" t="str">
            <v/>
          </cell>
          <cell r="AI1358" t="str">
            <v/>
          </cell>
          <cell r="AJ1358" t="str">
            <v/>
          </cell>
          <cell r="AK1358" t="str">
            <v>0.479724</v>
          </cell>
          <cell r="AL1358" t="str">
            <v>0</v>
          </cell>
          <cell r="AM1358" t="str">
            <v>Q</v>
          </cell>
          <cell r="AN1358" t="str">
            <v>M0</v>
          </cell>
          <cell r="AO1358" t="str">
            <v>Active(Model)</v>
          </cell>
          <cell r="AP1358" t="str">
            <v/>
          </cell>
          <cell r="AQ1358" t="str">
            <v/>
          </cell>
          <cell r="AR1358" t="str">
            <v>Y</v>
          </cell>
          <cell r="AS1358" t="str">
            <v/>
          </cell>
          <cell r="AT1358" t="str">
            <v>AC</v>
          </cell>
          <cell r="AU1358" t="str">
            <v>Airconditioner</v>
          </cell>
          <cell r="AV1358" t="str">
            <v>ACFS</v>
          </cell>
          <cell r="AW1358" t="str">
            <v>Fixed Single CAC</v>
          </cell>
          <cell r="AX1358" t="str">
            <v>ACFSCD</v>
          </cell>
          <cell r="AY1358" t="str">
            <v>Ceiling Concealed Duct</v>
          </cell>
          <cell r="AZ1358" t="str">
            <v>ACFSCDCO</v>
          </cell>
          <cell r="BA1358" t="str">
            <v>Duct_I/D_Inverter_C/O</v>
          </cell>
        </row>
        <row r="1359">
          <cell r="E1359" t="str">
            <v>ZBNQ60GM3D1.ENCTEVH</v>
          </cell>
          <cell r="F1359">
            <v>9</v>
          </cell>
          <cell r="G1359">
            <v>0</v>
          </cell>
          <cell r="H1359">
            <v>0</v>
          </cell>
          <cell r="I1359">
            <v>9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 t="str">
            <v/>
          </cell>
          <cell r="AH1359" t="str">
            <v/>
          </cell>
          <cell r="AI1359" t="str">
            <v/>
          </cell>
          <cell r="AJ1359" t="str">
            <v/>
          </cell>
          <cell r="AK1359" t="str">
            <v>0.479724</v>
          </cell>
          <cell r="AL1359" t="str">
            <v>0</v>
          </cell>
          <cell r="AM1359" t="str">
            <v>Q</v>
          </cell>
          <cell r="AN1359" t="str">
            <v>M0</v>
          </cell>
          <cell r="AO1359" t="str">
            <v>Active(Model)</v>
          </cell>
          <cell r="AP1359" t="str">
            <v/>
          </cell>
          <cell r="AQ1359" t="str">
            <v/>
          </cell>
          <cell r="AR1359" t="str">
            <v>Y</v>
          </cell>
          <cell r="AS1359" t="str">
            <v/>
          </cell>
          <cell r="AT1359" t="str">
            <v>AC</v>
          </cell>
          <cell r="AU1359" t="str">
            <v>Airconditioner</v>
          </cell>
          <cell r="AV1359" t="str">
            <v>ACFS</v>
          </cell>
          <cell r="AW1359" t="str">
            <v>Fixed Single CAC</v>
          </cell>
          <cell r="AX1359" t="str">
            <v>ACFSCD</v>
          </cell>
          <cell r="AY1359" t="str">
            <v>Ceiling Concealed Duct</v>
          </cell>
          <cell r="AZ1359" t="str">
            <v>ACFSCDCO</v>
          </cell>
          <cell r="BA1359" t="str">
            <v>Duct_I/D_Inverter_C/O</v>
          </cell>
        </row>
        <row r="1360">
          <cell r="E1360" t="str">
            <v>ZBNW24GM1D1.ENCTEVH</v>
          </cell>
          <cell r="F1360">
            <v>4</v>
          </cell>
          <cell r="G1360">
            <v>0</v>
          </cell>
          <cell r="H1360">
            <v>0</v>
          </cell>
          <cell r="I1360">
            <v>4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 t="str">
            <v/>
          </cell>
          <cell r="AH1360" t="str">
            <v/>
          </cell>
          <cell r="AI1360" t="str">
            <v/>
          </cell>
          <cell r="AJ1360" t="str">
            <v/>
          </cell>
          <cell r="AK1360" t="str">
            <v>0.287401</v>
          </cell>
          <cell r="AL1360" t="str">
            <v>0</v>
          </cell>
          <cell r="AM1360" t="str">
            <v>Q</v>
          </cell>
          <cell r="AN1360" t="str">
            <v>M0</v>
          </cell>
          <cell r="AO1360" t="str">
            <v>Active(Model)</v>
          </cell>
          <cell r="AP1360" t="str">
            <v/>
          </cell>
          <cell r="AQ1360" t="str">
            <v/>
          </cell>
          <cell r="AR1360" t="str">
            <v>Y</v>
          </cell>
          <cell r="AS1360" t="str">
            <v/>
          </cell>
          <cell r="AT1360" t="str">
            <v>AC</v>
          </cell>
          <cell r="AU1360" t="str">
            <v>Airconditioner</v>
          </cell>
          <cell r="AV1360" t="str">
            <v>ACFS</v>
          </cell>
          <cell r="AW1360" t="str">
            <v>Fixed Single CAC</v>
          </cell>
          <cell r="AX1360" t="str">
            <v>ACFSCD</v>
          </cell>
          <cell r="AY1360" t="str">
            <v>Ceiling Concealed Duct</v>
          </cell>
          <cell r="AZ1360" t="str">
            <v>ACFSCDHP</v>
          </cell>
          <cell r="BA1360" t="str">
            <v>Duct_I/D_Inverter_H/P</v>
          </cell>
        </row>
        <row r="1361">
          <cell r="E1361" t="str">
            <v>ZBNW36GM3D1.ENCTEVH</v>
          </cell>
          <cell r="F1361">
            <v>8</v>
          </cell>
          <cell r="G1361">
            <v>0</v>
          </cell>
          <cell r="H1361">
            <v>0</v>
          </cell>
          <cell r="I1361">
            <v>8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 t="str">
            <v/>
          </cell>
          <cell r="AH1361" t="str">
            <v/>
          </cell>
          <cell r="AI1361" t="str">
            <v/>
          </cell>
          <cell r="AJ1361" t="str">
            <v/>
          </cell>
          <cell r="AK1361" t="str">
            <v>0.479724</v>
          </cell>
          <cell r="AL1361" t="str">
            <v>0</v>
          </cell>
          <cell r="AM1361" t="str">
            <v>Q</v>
          </cell>
          <cell r="AN1361" t="str">
            <v>M0</v>
          </cell>
          <cell r="AO1361" t="str">
            <v>Active(Model)</v>
          </cell>
          <cell r="AP1361" t="str">
            <v/>
          </cell>
          <cell r="AQ1361" t="str">
            <v/>
          </cell>
          <cell r="AR1361" t="str">
            <v>Y</v>
          </cell>
          <cell r="AS1361" t="str">
            <v/>
          </cell>
          <cell r="AT1361" t="str">
            <v>AC</v>
          </cell>
          <cell r="AU1361" t="str">
            <v>Airconditioner</v>
          </cell>
          <cell r="AV1361" t="str">
            <v>ACFS</v>
          </cell>
          <cell r="AW1361" t="str">
            <v>Fixed Single CAC</v>
          </cell>
          <cell r="AX1361" t="str">
            <v>ACFSCD</v>
          </cell>
          <cell r="AY1361" t="str">
            <v>Ceiling Concealed Duct</v>
          </cell>
          <cell r="AZ1361" t="str">
            <v>ACFSCDHP</v>
          </cell>
          <cell r="BA1361" t="str">
            <v>Duct_I/D_Inverter_H/P</v>
          </cell>
        </row>
        <row r="1362">
          <cell r="E1362" t="str">
            <v>ZBNW48GM3D1.ENCTEVH</v>
          </cell>
          <cell r="F1362">
            <v>13</v>
          </cell>
          <cell r="G1362">
            <v>0</v>
          </cell>
          <cell r="H1362">
            <v>0</v>
          </cell>
          <cell r="I1362">
            <v>13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 t="str">
            <v/>
          </cell>
          <cell r="AH1362" t="str">
            <v/>
          </cell>
          <cell r="AI1362" t="str">
            <v/>
          </cell>
          <cell r="AJ1362" t="str">
            <v/>
          </cell>
          <cell r="AK1362" t="str">
            <v>0.479724</v>
          </cell>
          <cell r="AL1362" t="str">
            <v>0</v>
          </cell>
          <cell r="AM1362" t="str">
            <v>Q</v>
          </cell>
          <cell r="AN1362" t="str">
            <v>M0</v>
          </cell>
          <cell r="AO1362" t="str">
            <v>Active(Model)</v>
          </cell>
          <cell r="AP1362" t="str">
            <v/>
          </cell>
          <cell r="AQ1362" t="str">
            <v/>
          </cell>
          <cell r="AR1362" t="str">
            <v>Y</v>
          </cell>
          <cell r="AS1362" t="str">
            <v/>
          </cell>
          <cell r="AT1362" t="str">
            <v>AC</v>
          </cell>
          <cell r="AU1362" t="str">
            <v>Airconditioner</v>
          </cell>
          <cell r="AV1362" t="str">
            <v>ACFS</v>
          </cell>
          <cell r="AW1362" t="str">
            <v>Fixed Single CAC</v>
          </cell>
          <cell r="AX1362" t="str">
            <v>ACFSCD</v>
          </cell>
          <cell r="AY1362" t="str">
            <v>Ceiling Concealed Duct</v>
          </cell>
          <cell r="AZ1362" t="str">
            <v>ACFSCDHP</v>
          </cell>
          <cell r="BA1362" t="str">
            <v>Duct_I/D_Inverter_H/P</v>
          </cell>
        </row>
        <row r="1363">
          <cell r="E1363" t="str">
            <v>ZPNQ24GS1A0.EWGBEVH</v>
          </cell>
          <cell r="F1363">
            <v>2</v>
          </cell>
          <cell r="G1363">
            <v>0</v>
          </cell>
          <cell r="H1363">
            <v>0</v>
          </cell>
          <cell r="I1363">
            <v>3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 t="str">
            <v>RACPREMIUM</v>
          </cell>
          <cell r="AH1363" t="str">
            <v>RAC_Premium</v>
          </cell>
          <cell r="AI1363" t="str">
            <v/>
          </cell>
          <cell r="AJ1363" t="str">
            <v/>
          </cell>
          <cell r="AK1363" t="str">
            <v>0.422981</v>
          </cell>
          <cell r="AL1363" t="str">
            <v>0</v>
          </cell>
          <cell r="AM1363" t="str">
            <v>Q</v>
          </cell>
          <cell r="AN1363" t="str">
            <v>M0</v>
          </cell>
          <cell r="AO1363" t="str">
            <v>Active(Model)</v>
          </cell>
          <cell r="AP1363" t="str">
            <v/>
          </cell>
          <cell r="AQ1363" t="str">
            <v/>
          </cell>
          <cell r="AR1363" t="str">
            <v>Y</v>
          </cell>
          <cell r="AS1363" t="str">
            <v/>
          </cell>
          <cell r="AT1363" t="str">
            <v>AC</v>
          </cell>
          <cell r="AU1363" t="str">
            <v>Airconditioner</v>
          </cell>
          <cell r="AV1363" t="str">
            <v>ACPS</v>
          </cell>
          <cell r="AW1363" t="str">
            <v>PAC_Slim</v>
          </cell>
          <cell r="AX1363" t="str">
            <v>ACPSPR</v>
          </cell>
          <cell r="AY1363" t="str">
            <v>PAC_Slim Premium</v>
          </cell>
          <cell r="AZ1363" t="str">
            <v>ACPSPRIN</v>
          </cell>
          <cell r="BA1363" t="str">
            <v>PAC_Slim Inverter_I/D</v>
          </cell>
        </row>
        <row r="1364">
          <cell r="E1364" t="str">
            <v>ZPNQ30GT3A1.EWGHEVH</v>
          </cell>
          <cell r="F1364">
            <v>2</v>
          </cell>
          <cell r="G1364">
            <v>0</v>
          </cell>
          <cell r="H1364">
            <v>0</v>
          </cell>
          <cell r="I1364">
            <v>6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 t="str">
            <v/>
          </cell>
          <cell r="AH1364" t="str">
            <v/>
          </cell>
          <cell r="AI1364" t="str">
            <v/>
          </cell>
          <cell r="AJ1364" t="str">
            <v/>
          </cell>
          <cell r="AK1364" t="str">
            <v>0.683702</v>
          </cell>
          <cell r="AL1364" t="str">
            <v>0</v>
          </cell>
          <cell r="AM1364" t="str">
            <v>Q</v>
          </cell>
          <cell r="AN1364" t="str">
            <v>M0</v>
          </cell>
          <cell r="AO1364" t="str">
            <v>Active(Model)</v>
          </cell>
          <cell r="AP1364" t="str">
            <v/>
          </cell>
          <cell r="AQ1364" t="str">
            <v/>
          </cell>
          <cell r="AR1364" t="str">
            <v>Y</v>
          </cell>
          <cell r="AS1364" t="str">
            <v/>
          </cell>
          <cell r="AT1364" t="str">
            <v>AC</v>
          </cell>
          <cell r="AU1364" t="str">
            <v>Airconditioner</v>
          </cell>
          <cell r="AV1364" t="str">
            <v>ACPC</v>
          </cell>
          <cell r="AW1364" t="str">
            <v>PAC</v>
          </cell>
          <cell r="AX1364" t="str">
            <v>ACPCDH</v>
          </cell>
          <cell r="AY1364" t="str">
            <v>PAC_Inverter Cooling</v>
          </cell>
          <cell r="AZ1364" t="str">
            <v>ACPCDHAA</v>
          </cell>
          <cell r="BA1364" t="str">
            <v>PAC_Inverter C/O_I/D</v>
          </cell>
        </row>
        <row r="1365">
          <cell r="E1365" t="str">
            <v>ZPNQ36GT3A1.EWGHEVH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11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 t="str">
            <v/>
          </cell>
          <cell r="AH1365" t="str">
            <v/>
          </cell>
          <cell r="AI1365" t="str">
            <v/>
          </cell>
          <cell r="AJ1365" t="str">
            <v/>
          </cell>
          <cell r="AK1365" t="str">
            <v>0.683702</v>
          </cell>
          <cell r="AL1365" t="str">
            <v>0</v>
          </cell>
          <cell r="AM1365" t="str">
            <v>Q</v>
          </cell>
          <cell r="AN1365" t="str">
            <v>M0</v>
          </cell>
          <cell r="AO1365" t="str">
            <v>Active(Model)</v>
          </cell>
          <cell r="AP1365" t="str">
            <v/>
          </cell>
          <cell r="AQ1365" t="str">
            <v/>
          </cell>
          <cell r="AR1365" t="str">
            <v>Y</v>
          </cell>
          <cell r="AS1365" t="str">
            <v/>
          </cell>
          <cell r="AT1365" t="str">
            <v>AC</v>
          </cell>
          <cell r="AU1365" t="str">
            <v>Airconditioner</v>
          </cell>
          <cell r="AV1365" t="str">
            <v>ACPC</v>
          </cell>
          <cell r="AW1365" t="str">
            <v>PAC</v>
          </cell>
          <cell r="AX1365" t="str">
            <v>ACPCDH</v>
          </cell>
          <cell r="AY1365" t="str">
            <v>PAC_Inverter Cooling</v>
          </cell>
          <cell r="AZ1365" t="str">
            <v>ACPCDHAA</v>
          </cell>
          <cell r="BA1365" t="str">
            <v>PAC_Inverter C/O_I/D</v>
          </cell>
        </row>
        <row r="1366">
          <cell r="E1366" t="str">
            <v>ZPNQ48GT3A0.EWGHASA</v>
          </cell>
          <cell r="F1366">
            <v>0</v>
          </cell>
          <cell r="G1366">
            <v>0</v>
          </cell>
          <cell r="H1366">
            <v>0</v>
          </cell>
          <cell r="I1366">
            <v>4</v>
          </cell>
          <cell r="J1366">
            <v>0</v>
          </cell>
          <cell r="K1366">
            <v>0</v>
          </cell>
          <cell r="L1366">
            <v>4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 t="str">
            <v/>
          </cell>
          <cell r="AH1366" t="str">
            <v/>
          </cell>
          <cell r="AI1366" t="str">
            <v/>
          </cell>
          <cell r="AJ1366" t="str">
            <v/>
          </cell>
          <cell r="AK1366" t="str">
            <v>0.683702</v>
          </cell>
          <cell r="AL1366" t="str">
            <v>0</v>
          </cell>
          <cell r="AM1366" t="str">
            <v>Q</v>
          </cell>
          <cell r="AN1366" t="str">
            <v>M0</v>
          </cell>
          <cell r="AO1366" t="str">
            <v>Active(Model)</v>
          </cell>
          <cell r="AP1366" t="str">
            <v/>
          </cell>
          <cell r="AQ1366" t="str">
            <v/>
          </cell>
          <cell r="AR1366" t="str">
            <v>Y</v>
          </cell>
          <cell r="AS1366" t="str">
            <v/>
          </cell>
          <cell r="AT1366" t="str">
            <v>AC</v>
          </cell>
          <cell r="AU1366" t="str">
            <v>Airconditioner</v>
          </cell>
          <cell r="AV1366" t="str">
            <v>ACPC</v>
          </cell>
          <cell r="AW1366" t="str">
            <v>PAC</v>
          </cell>
          <cell r="AX1366" t="str">
            <v>ACPCDH</v>
          </cell>
          <cell r="AY1366" t="str">
            <v>PAC_Inverter Cooling</v>
          </cell>
          <cell r="AZ1366" t="str">
            <v>ACPCDHAA</v>
          </cell>
          <cell r="BA1366" t="str">
            <v>PAC_Inverter C/O_I/D</v>
          </cell>
        </row>
        <row r="1367">
          <cell r="E1367" t="str">
            <v>ZPNQ48GT3A1.EWGHEVH</v>
          </cell>
          <cell r="F1367">
            <v>0</v>
          </cell>
          <cell r="G1367">
            <v>0</v>
          </cell>
          <cell r="H1367">
            <v>0</v>
          </cell>
          <cell r="I1367">
            <v>10</v>
          </cell>
          <cell r="J1367">
            <v>0</v>
          </cell>
          <cell r="K1367">
            <v>1</v>
          </cell>
          <cell r="L1367">
            <v>0</v>
          </cell>
          <cell r="M1367">
            <v>10</v>
          </cell>
          <cell r="N1367">
            <v>0</v>
          </cell>
          <cell r="O1367">
            <v>0</v>
          </cell>
          <cell r="P1367">
            <v>10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 t="str">
            <v/>
          </cell>
          <cell r="AH1367" t="str">
            <v/>
          </cell>
          <cell r="AI1367" t="str">
            <v/>
          </cell>
          <cell r="AJ1367" t="str">
            <v/>
          </cell>
          <cell r="AK1367" t="str">
            <v>0.683702</v>
          </cell>
          <cell r="AL1367" t="str">
            <v>0</v>
          </cell>
          <cell r="AM1367" t="str">
            <v>Q</v>
          </cell>
          <cell r="AN1367" t="str">
            <v>M0</v>
          </cell>
          <cell r="AO1367" t="str">
            <v>Active(Model)</v>
          </cell>
          <cell r="AP1367" t="str">
            <v/>
          </cell>
          <cell r="AQ1367" t="str">
            <v/>
          </cell>
          <cell r="AR1367" t="str">
            <v>Y</v>
          </cell>
          <cell r="AS1367" t="str">
            <v/>
          </cell>
          <cell r="AT1367" t="str">
            <v>AC</v>
          </cell>
          <cell r="AU1367" t="str">
            <v>Airconditioner</v>
          </cell>
          <cell r="AV1367" t="str">
            <v>ACPC</v>
          </cell>
          <cell r="AW1367" t="str">
            <v>PAC</v>
          </cell>
          <cell r="AX1367" t="str">
            <v>ACPCDH</v>
          </cell>
          <cell r="AY1367" t="str">
            <v>PAC_Inverter Cooling</v>
          </cell>
          <cell r="AZ1367" t="str">
            <v>ACPCDHAA</v>
          </cell>
          <cell r="BA1367" t="str">
            <v>PAC_Inverter C/O_I/D</v>
          </cell>
        </row>
        <row r="1368">
          <cell r="E1368" t="str">
            <v>ZPNQ60GT3A1.EWGHEVH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 t="str">
            <v/>
          </cell>
          <cell r="AH1368" t="str">
            <v/>
          </cell>
          <cell r="AI1368" t="str">
            <v/>
          </cell>
          <cell r="AJ1368" t="str">
            <v/>
          </cell>
          <cell r="AK1368" t="str">
            <v>0.683702</v>
          </cell>
          <cell r="AL1368" t="str">
            <v>0</v>
          </cell>
          <cell r="AM1368" t="str">
            <v>Q</v>
          </cell>
          <cell r="AN1368" t="str">
            <v>M0</v>
          </cell>
          <cell r="AO1368" t="str">
            <v>Active(Model)</v>
          </cell>
          <cell r="AP1368" t="str">
            <v/>
          </cell>
          <cell r="AQ1368" t="str">
            <v/>
          </cell>
          <cell r="AR1368" t="str">
            <v>Y</v>
          </cell>
          <cell r="AS1368" t="str">
            <v/>
          </cell>
          <cell r="AT1368" t="str">
            <v>AC</v>
          </cell>
          <cell r="AU1368" t="str">
            <v>Airconditioner</v>
          </cell>
          <cell r="AV1368" t="str">
            <v>ACPC</v>
          </cell>
          <cell r="AW1368" t="str">
            <v>PAC</v>
          </cell>
          <cell r="AX1368" t="str">
            <v>ACPCDH</v>
          </cell>
          <cell r="AY1368" t="str">
            <v>PAC_Inverter Cooling</v>
          </cell>
          <cell r="AZ1368" t="str">
            <v>ACPCDHAA</v>
          </cell>
          <cell r="BA1368" t="str">
            <v>PAC_Inverter C/O_I/D</v>
          </cell>
        </row>
        <row r="1369">
          <cell r="E1369" t="str">
            <v>ZTNQ09GULA1.ENWHEVH</v>
          </cell>
          <cell r="F1369">
            <v>54</v>
          </cell>
          <cell r="G1369">
            <v>0</v>
          </cell>
          <cell r="H1369">
            <v>0</v>
          </cell>
          <cell r="I1369">
            <v>71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 t="str">
            <v/>
          </cell>
          <cell r="AH1369" t="str">
            <v/>
          </cell>
          <cell r="AI1369" t="str">
            <v/>
          </cell>
          <cell r="AJ1369" t="str">
            <v/>
          </cell>
          <cell r="AK1369" t="str">
            <v>0.152523</v>
          </cell>
          <cell r="AL1369" t="str">
            <v>0</v>
          </cell>
          <cell r="AM1369" t="str">
            <v>Q</v>
          </cell>
          <cell r="AN1369" t="str">
            <v>M0</v>
          </cell>
          <cell r="AO1369" t="str">
            <v>Active(Model)</v>
          </cell>
          <cell r="AP1369" t="str">
            <v/>
          </cell>
          <cell r="AQ1369" t="str">
            <v/>
          </cell>
          <cell r="AR1369" t="str">
            <v>Y</v>
          </cell>
          <cell r="AS1369" t="str">
            <v/>
          </cell>
          <cell r="AT1369" t="str">
            <v>AC</v>
          </cell>
          <cell r="AU1369" t="str">
            <v>Airconditioner</v>
          </cell>
          <cell r="AV1369" t="str">
            <v>ACFS</v>
          </cell>
          <cell r="AW1369" t="str">
            <v>Fixed Single CAC</v>
          </cell>
          <cell r="AX1369" t="str">
            <v>ACFSCC</v>
          </cell>
          <cell r="AY1369" t="str">
            <v>Ceiling Cassette</v>
          </cell>
          <cell r="AZ1369" t="str">
            <v>ACFSCCCX</v>
          </cell>
          <cell r="BA1369" t="str">
            <v>Cassette_I/D_Inverter_C/O</v>
          </cell>
        </row>
        <row r="1370">
          <cell r="E1370" t="str">
            <v>ZTNQ12GULA0.ENWHASA</v>
          </cell>
          <cell r="F1370">
            <v>1</v>
          </cell>
          <cell r="G1370">
            <v>0</v>
          </cell>
          <cell r="H1370">
            <v>0</v>
          </cell>
          <cell r="I1370">
            <v>1</v>
          </cell>
          <cell r="J1370">
            <v>0</v>
          </cell>
          <cell r="K1370">
            <v>2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 t="str">
            <v/>
          </cell>
          <cell r="AH1370" t="str">
            <v/>
          </cell>
          <cell r="AI1370" t="str">
            <v/>
          </cell>
          <cell r="AJ1370" t="str">
            <v/>
          </cell>
          <cell r="AK1370" t="str">
            <v>0.152523</v>
          </cell>
          <cell r="AL1370" t="str">
            <v>0</v>
          </cell>
          <cell r="AM1370" t="str">
            <v>Q</v>
          </cell>
          <cell r="AN1370" t="str">
            <v>M0</v>
          </cell>
          <cell r="AO1370" t="str">
            <v>Active(Model)</v>
          </cell>
          <cell r="AP1370" t="str">
            <v/>
          </cell>
          <cell r="AQ1370" t="str">
            <v/>
          </cell>
          <cell r="AR1370" t="str">
            <v>Y</v>
          </cell>
          <cell r="AS1370" t="str">
            <v/>
          </cell>
          <cell r="AT1370" t="str">
            <v>AC</v>
          </cell>
          <cell r="AU1370" t="str">
            <v>Airconditioner</v>
          </cell>
          <cell r="AV1370" t="str">
            <v>ACFS</v>
          </cell>
          <cell r="AW1370" t="str">
            <v>Fixed Single CAC</v>
          </cell>
          <cell r="AX1370" t="str">
            <v>ACFSCC</v>
          </cell>
          <cell r="AY1370" t="str">
            <v>Ceiling Cassette</v>
          </cell>
          <cell r="AZ1370" t="str">
            <v>ACFSCCCX</v>
          </cell>
          <cell r="BA1370" t="str">
            <v>Cassette_I/D_Inverter_C/O</v>
          </cell>
        </row>
        <row r="1371">
          <cell r="E1371" t="str">
            <v>ZTNQ12GULA1.ENWHEVH</v>
          </cell>
          <cell r="F1371">
            <v>50</v>
          </cell>
          <cell r="G1371">
            <v>0</v>
          </cell>
          <cell r="H1371">
            <v>0</v>
          </cell>
          <cell r="I1371">
            <v>52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10</v>
          </cell>
          <cell r="AF1371">
            <v>0</v>
          </cell>
          <cell r="AG1371" t="str">
            <v/>
          </cell>
          <cell r="AH1371" t="str">
            <v/>
          </cell>
          <cell r="AI1371" t="str">
            <v/>
          </cell>
          <cell r="AJ1371" t="str">
            <v/>
          </cell>
          <cell r="AK1371" t="str">
            <v>0.152523</v>
          </cell>
          <cell r="AL1371" t="str">
            <v>0</v>
          </cell>
          <cell r="AM1371" t="str">
            <v>Q</v>
          </cell>
          <cell r="AN1371" t="str">
            <v>M0</v>
          </cell>
          <cell r="AO1371" t="str">
            <v>Active(Model)</v>
          </cell>
          <cell r="AP1371" t="str">
            <v/>
          </cell>
          <cell r="AQ1371" t="str">
            <v/>
          </cell>
          <cell r="AR1371" t="str">
            <v>Y</v>
          </cell>
          <cell r="AS1371" t="str">
            <v/>
          </cell>
          <cell r="AT1371" t="str">
            <v>AC</v>
          </cell>
          <cell r="AU1371" t="str">
            <v>Airconditioner</v>
          </cell>
          <cell r="AV1371" t="str">
            <v>ACFS</v>
          </cell>
          <cell r="AW1371" t="str">
            <v>Fixed Single CAC</v>
          </cell>
          <cell r="AX1371" t="str">
            <v>ACFSCC</v>
          </cell>
          <cell r="AY1371" t="str">
            <v>Ceiling Cassette</v>
          </cell>
          <cell r="AZ1371" t="str">
            <v>ACFSCCCX</v>
          </cell>
          <cell r="BA1371" t="str">
            <v>Cassette_I/D_Inverter_C/O</v>
          </cell>
        </row>
        <row r="1372">
          <cell r="E1372" t="str">
            <v>ZTNQ18GPLA1.ENWHEVH</v>
          </cell>
          <cell r="F1372">
            <v>35</v>
          </cell>
          <cell r="G1372">
            <v>0</v>
          </cell>
          <cell r="H1372">
            <v>0</v>
          </cell>
          <cell r="I1372">
            <v>38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15</v>
          </cell>
          <cell r="AF1372">
            <v>0</v>
          </cell>
          <cell r="AG1372" t="str">
            <v/>
          </cell>
          <cell r="AH1372" t="str">
            <v/>
          </cell>
          <cell r="AI1372" t="str">
            <v/>
          </cell>
          <cell r="AJ1372" t="str">
            <v/>
          </cell>
          <cell r="AK1372" t="str">
            <v>0.233351</v>
          </cell>
          <cell r="AL1372" t="str">
            <v>0</v>
          </cell>
          <cell r="AM1372" t="str">
            <v>Q</v>
          </cell>
          <cell r="AN1372" t="str">
            <v>M0</v>
          </cell>
          <cell r="AO1372" t="str">
            <v>Active(Model)</v>
          </cell>
          <cell r="AP1372" t="str">
            <v/>
          </cell>
          <cell r="AQ1372" t="str">
            <v/>
          </cell>
          <cell r="AR1372" t="str">
            <v>Y</v>
          </cell>
          <cell r="AS1372" t="str">
            <v/>
          </cell>
          <cell r="AT1372" t="str">
            <v>AC</v>
          </cell>
          <cell r="AU1372" t="str">
            <v>Airconditioner</v>
          </cell>
          <cell r="AV1372" t="str">
            <v>ACFS</v>
          </cell>
          <cell r="AW1372" t="str">
            <v>Fixed Single CAC</v>
          </cell>
          <cell r="AX1372" t="str">
            <v>ACFSCC</v>
          </cell>
          <cell r="AY1372" t="str">
            <v>Ceiling Cassette</v>
          </cell>
          <cell r="AZ1372" t="str">
            <v>ACFSCCCX</v>
          </cell>
          <cell r="BA1372" t="str">
            <v>Cassette_I/D_Inverter_C/O</v>
          </cell>
        </row>
        <row r="1373">
          <cell r="E1373" t="str">
            <v>ZTNQ18GTLA0.ENWHASA</v>
          </cell>
          <cell r="F1373">
            <v>10</v>
          </cell>
          <cell r="G1373">
            <v>0</v>
          </cell>
          <cell r="H1373">
            <v>0</v>
          </cell>
          <cell r="I1373">
            <v>10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 t="str">
            <v/>
          </cell>
          <cell r="AH1373" t="str">
            <v/>
          </cell>
          <cell r="AI1373" t="str">
            <v/>
          </cell>
          <cell r="AJ1373" t="str">
            <v/>
          </cell>
          <cell r="AK1373" t="str">
            <v>0.195907</v>
          </cell>
          <cell r="AL1373" t="str">
            <v>0</v>
          </cell>
          <cell r="AM1373" t="str">
            <v>Q</v>
          </cell>
          <cell r="AN1373" t="str">
            <v>M0</v>
          </cell>
          <cell r="AO1373" t="str">
            <v>Active(Model)</v>
          </cell>
          <cell r="AP1373" t="str">
            <v/>
          </cell>
          <cell r="AQ1373" t="str">
            <v/>
          </cell>
          <cell r="AR1373" t="str">
            <v>Y</v>
          </cell>
          <cell r="AS1373" t="str">
            <v/>
          </cell>
          <cell r="AT1373" t="str">
            <v>AC</v>
          </cell>
          <cell r="AU1373" t="str">
            <v>Airconditioner</v>
          </cell>
          <cell r="AV1373" t="str">
            <v>ACFS</v>
          </cell>
          <cell r="AW1373" t="str">
            <v>Fixed Single CAC</v>
          </cell>
          <cell r="AX1373" t="str">
            <v>ACFSCC</v>
          </cell>
          <cell r="AY1373" t="str">
            <v>Ceiling Cassette</v>
          </cell>
          <cell r="AZ1373" t="str">
            <v>ACFSCCCX</v>
          </cell>
          <cell r="BA1373" t="str">
            <v>Cassette_I/D_Inverter_C/O</v>
          </cell>
        </row>
        <row r="1374">
          <cell r="E1374" t="str">
            <v>ZTNQ18GTLA1.ENWHEVH</v>
          </cell>
          <cell r="F1374">
            <v>37</v>
          </cell>
          <cell r="G1374">
            <v>0</v>
          </cell>
          <cell r="H1374">
            <v>0</v>
          </cell>
          <cell r="I1374">
            <v>39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 t="str">
            <v/>
          </cell>
          <cell r="AH1374" t="str">
            <v/>
          </cell>
          <cell r="AI1374" t="str">
            <v/>
          </cell>
          <cell r="AJ1374" t="str">
            <v/>
          </cell>
          <cell r="AK1374" t="str">
            <v>0.195907</v>
          </cell>
          <cell r="AL1374" t="str">
            <v>0</v>
          </cell>
          <cell r="AM1374" t="str">
            <v>Q</v>
          </cell>
          <cell r="AN1374" t="str">
            <v>M0</v>
          </cell>
          <cell r="AO1374" t="str">
            <v>Active(Model)</v>
          </cell>
          <cell r="AP1374" t="str">
            <v/>
          </cell>
          <cell r="AQ1374" t="str">
            <v/>
          </cell>
          <cell r="AR1374" t="str">
            <v>Y</v>
          </cell>
          <cell r="AS1374" t="str">
            <v/>
          </cell>
          <cell r="AT1374" t="str">
            <v>AC</v>
          </cell>
          <cell r="AU1374" t="str">
            <v>Airconditioner</v>
          </cell>
          <cell r="AV1374" t="str">
            <v>ACFS</v>
          </cell>
          <cell r="AW1374" t="str">
            <v>Fixed Single CAC</v>
          </cell>
          <cell r="AX1374" t="str">
            <v>ACFSCC</v>
          </cell>
          <cell r="AY1374" t="str">
            <v>Ceiling Cassette</v>
          </cell>
          <cell r="AZ1374" t="str">
            <v>ACFSCCCX</v>
          </cell>
          <cell r="BA1374" t="str">
            <v>Cassette_I/D_Inverter_C/O</v>
          </cell>
        </row>
        <row r="1375">
          <cell r="E1375" t="str">
            <v>ZTNQ24GNLA1.ENWHEVH</v>
          </cell>
          <cell r="F1375">
            <v>29</v>
          </cell>
          <cell r="G1375">
            <v>0</v>
          </cell>
          <cell r="H1375">
            <v>0</v>
          </cell>
          <cell r="I1375">
            <v>29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 t="str">
            <v/>
          </cell>
          <cell r="AH1375" t="str">
            <v/>
          </cell>
          <cell r="AI1375" t="str">
            <v/>
          </cell>
          <cell r="AJ1375" t="str">
            <v/>
          </cell>
          <cell r="AK1375" t="str">
            <v>0.268861</v>
          </cell>
          <cell r="AL1375" t="str">
            <v>0</v>
          </cell>
          <cell r="AM1375" t="str">
            <v>Q</v>
          </cell>
          <cell r="AN1375" t="str">
            <v>M0</v>
          </cell>
          <cell r="AO1375" t="str">
            <v>Active(Model)</v>
          </cell>
          <cell r="AP1375" t="str">
            <v/>
          </cell>
          <cell r="AQ1375" t="str">
            <v/>
          </cell>
          <cell r="AR1375" t="str">
            <v>Y</v>
          </cell>
          <cell r="AS1375" t="str">
            <v/>
          </cell>
          <cell r="AT1375" t="str">
            <v>AC</v>
          </cell>
          <cell r="AU1375" t="str">
            <v>Airconditioner</v>
          </cell>
          <cell r="AV1375" t="str">
            <v>ACFS</v>
          </cell>
          <cell r="AW1375" t="str">
            <v>Fixed Single CAC</v>
          </cell>
          <cell r="AX1375" t="str">
            <v>ACFSCC</v>
          </cell>
          <cell r="AY1375" t="str">
            <v>Ceiling Cassette</v>
          </cell>
          <cell r="AZ1375" t="str">
            <v>ACFSCCCX</v>
          </cell>
          <cell r="BA1375" t="str">
            <v>Cassette_I/D_Inverter_C/O</v>
          </cell>
        </row>
        <row r="1376">
          <cell r="E1376" t="str">
            <v>ZTNQ24GPLA0.ENWHASA</v>
          </cell>
          <cell r="F1376">
            <v>3</v>
          </cell>
          <cell r="G1376">
            <v>0</v>
          </cell>
          <cell r="H1376">
            <v>0</v>
          </cell>
          <cell r="I1376">
            <v>4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 t="str">
            <v/>
          </cell>
          <cell r="AH1376" t="str">
            <v/>
          </cell>
          <cell r="AI1376" t="str">
            <v/>
          </cell>
          <cell r="AJ1376" t="str">
            <v/>
          </cell>
          <cell r="AK1376" t="str">
            <v>0.233351</v>
          </cell>
          <cell r="AL1376" t="str">
            <v>0</v>
          </cell>
          <cell r="AM1376" t="str">
            <v>Q</v>
          </cell>
          <cell r="AN1376" t="str">
            <v>M0</v>
          </cell>
          <cell r="AO1376" t="str">
            <v>Active(Model)</v>
          </cell>
          <cell r="AP1376" t="str">
            <v/>
          </cell>
          <cell r="AQ1376" t="str">
            <v/>
          </cell>
          <cell r="AR1376" t="str">
            <v>Y</v>
          </cell>
          <cell r="AS1376" t="str">
            <v/>
          </cell>
          <cell r="AT1376" t="str">
            <v>AC</v>
          </cell>
          <cell r="AU1376" t="str">
            <v>Airconditioner</v>
          </cell>
          <cell r="AV1376" t="str">
            <v>ACFS</v>
          </cell>
          <cell r="AW1376" t="str">
            <v>Fixed Single CAC</v>
          </cell>
          <cell r="AX1376" t="str">
            <v>ACFSCC</v>
          </cell>
          <cell r="AY1376" t="str">
            <v>Ceiling Cassette</v>
          </cell>
          <cell r="AZ1376" t="str">
            <v>ACFSCCCX</v>
          </cell>
          <cell r="BA1376" t="str">
            <v>Cassette_I/D_Inverter_C/O</v>
          </cell>
        </row>
        <row r="1377">
          <cell r="E1377" t="str">
            <v>ZTNQ24GPLA1.ENWHEVH</v>
          </cell>
          <cell r="F1377">
            <v>6</v>
          </cell>
          <cell r="G1377">
            <v>0</v>
          </cell>
          <cell r="H1377">
            <v>0</v>
          </cell>
          <cell r="I1377">
            <v>7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 t="str">
            <v/>
          </cell>
          <cell r="AH1377" t="str">
            <v/>
          </cell>
          <cell r="AI1377" t="str">
            <v/>
          </cell>
          <cell r="AJ1377" t="str">
            <v/>
          </cell>
          <cell r="AK1377" t="str">
            <v>0.233351</v>
          </cell>
          <cell r="AL1377" t="str">
            <v>0</v>
          </cell>
          <cell r="AM1377" t="str">
            <v>Q</v>
          </cell>
          <cell r="AN1377" t="str">
            <v>M0</v>
          </cell>
          <cell r="AO1377" t="str">
            <v>Active(Model)</v>
          </cell>
          <cell r="AP1377" t="str">
            <v/>
          </cell>
          <cell r="AQ1377" t="str">
            <v/>
          </cell>
          <cell r="AR1377" t="str">
            <v>Y</v>
          </cell>
          <cell r="AS1377" t="str">
            <v/>
          </cell>
          <cell r="AT1377" t="str">
            <v>AC</v>
          </cell>
          <cell r="AU1377" t="str">
            <v>Airconditioner</v>
          </cell>
          <cell r="AV1377" t="str">
            <v>ACFS</v>
          </cell>
          <cell r="AW1377" t="str">
            <v>Fixed Single CAC</v>
          </cell>
          <cell r="AX1377" t="str">
            <v>ACFSCC</v>
          </cell>
          <cell r="AY1377" t="str">
            <v>Ceiling Cassette</v>
          </cell>
          <cell r="AZ1377" t="str">
            <v>ACFSCCCX</v>
          </cell>
          <cell r="BA1377" t="str">
            <v>Cassette_I/D_Inverter_C/O</v>
          </cell>
        </row>
        <row r="1378">
          <cell r="E1378" t="str">
            <v>ZTNQ24GTLA1.ENWHEVH</v>
          </cell>
          <cell r="F1378">
            <v>38</v>
          </cell>
          <cell r="G1378">
            <v>0</v>
          </cell>
          <cell r="H1378">
            <v>0</v>
          </cell>
          <cell r="I1378">
            <v>40</v>
          </cell>
          <cell r="J1378">
            <v>0</v>
          </cell>
          <cell r="K1378">
            <v>8</v>
          </cell>
          <cell r="L1378">
            <v>0</v>
          </cell>
          <cell r="M1378">
            <v>0</v>
          </cell>
          <cell r="N1378">
            <v>1</v>
          </cell>
          <cell r="O1378">
            <v>0</v>
          </cell>
          <cell r="P1378">
            <v>1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 t="str">
            <v/>
          </cell>
          <cell r="AH1378" t="str">
            <v/>
          </cell>
          <cell r="AI1378" t="str">
            <v/>
          </cell>
          <cell r="AJ1378" t="str">
            <v/>
          </cell>
          <cell r="AK1378" t="str">
            <v>0.195907</v>
          </cell>
          <cell r="AL1378" t="str">
            <v>0</v>
          </cell>
          <cell r="AM1378" t="str">
            <v>Q</v>
          </cell>
          <cell r="AN1378" t="str">
            <v>M0</v>
          </cell>
          <cell r="AO1378" t="str">
            <v>Active(Model)</v>
          </cell>
          <cell r="AP1378" t="str">
            <v/>
          </cell>
          <cell r="AQ1378" t="str">
            <v/>
          </cell>
          <cell r="AR1378" t="str">
            <v>Y</v>
          </cell>
          <cell r="AS1378" t="str">
            <v/>
          </cell>
          <cell r="AT1378" t="str">
            <v>AC</v>
          </cell>
          <cell r="AU1378" t="str">
            <v>Airconditioner</v>
          </cell>
          <cell r="AV1378" t="str">
            <v>ACFS</v>
          </cell>
          <cell r="AW1378" t="str">
            <v>Fixed Single CAC</v>
          </cell>
          <cell r="AX1378" t="str">
            <v>ACFSCC</v>
          </cell>
          <cell r="AY1378" t="str">
            <v>Ceiling Cassette</v>
          </cell>
          <cell r="AZ1378" t="str">
            <v>ACFSCCCX</v>
          </cell>
          <cell r="BA1378" t="str">
            <v>Cassette_I/D_Inverter_C/O</v>
          </cell>
        </row>
        <row r="1379">
          <cell r="E1379" t="str">
            <v>ZTNQ30GNLA1.ENWHEVH</v>
          </cell>
          <cell r="F1379">
            <v>24</v>
          </cell>
          <cell r="G1379">
            <v>0</v>
          </cell>
          <cell r="H1379">
            <v>0</v>
          </cell>
          <cell r="I1379">
            <v>32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 t="str">
            <v/>
          </cell>
          <cell r="AH1379" t="str">
            <v/>
          </cell>
          <cell r="AI1379" t="str">
            <v/>
          </cell>
          <cell r="AJ1379" t="str">
            <v/>
          </cell>
          <cell r="AK1379" t="str">
            <v>0.268861</v>
          </cell>
          <cell r="AL1379" t="str">
            <v>0</v>
          </cell>
          <cell r="AM1379" t="str">
            <v>Q</v>
          </cell>
          <cell r="AN1379" t="str">
            <v>M0</v>
          </cell>
          <cell r="AO1379" t="str">
            <v>Active(Model)</v>
          </cell>
          <cell r="AP1379" t="str">
            <v/>
          </cell>
          <cell r="AQ1379" t="str">
            <v/>
          </cell>
          <cell r="AR1379" t="str">
            <v>Y</v>
          </cell>
          <cell r="AS1379" t="str">
            <v/>
          </cell>
          <cell r="AT1379" t="str">
            <v>AC</v>
          </cell>
          <cell r="AU1379" t="str">
            <v>Airconditioner</v>
          </cell>
          <cell r="AV1379" t="str">
            <v>ACFS</v>
          </cell>
          <cell r="AW1379" t="str">
            <v>Fixed Single CAC</v>
          </cell>
          <cell r="AX1379" t="str">
            <v>ACFSCC</v>
          </cell>
          <cell r="AY1379" t="str">
            <v>Ceiling Cassette</v>
          </cell>
          <cell r="AZ1379" t="str">
            <v>ACFSCCCX</v>
          </cell>
          <cell r="BA1379" t="str">
            <v>Cassette_I/D_Inverter_C/O</v>
          </cell>
        </row>
        <row r="1380">
          <cell r="E1380" t="str">
            <v>ZTNQ30GNLE0.ENWHASA</v>
          </cell>
          <cell r="F1380">
            <v>2</v>
          </cell>
          <cell r="G1380">
            <v>0</v>
          </cell>
          <cell r="H1380">
            <v>0</v>
          </cell>
          <cell r="I1380">
            <v>2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 t="str">
            <v/>
          </cell>
          <cell r="AH1380" t="str">
            <v/>
          </cell>
          <cell r="AI1380" t="str">
            <v/>
          </cell>
          <cell r="AJ1380" t="str">
            <v/>
          </cell>
          <cell r="AK1380" t="str">
            <v>0.268861</v>
          </cell>
          <cell r="AL1380" t="str">
            <v>0</v>
          </cell>
          <cell r="AM1380" t="str">
            <v>Q</v>
          </cell>
          <cell r="AN1380" t="str">
            <v>M0</v>
          </cell>
          <cell r="AO1380" t="str">
            <v>Active(Model)</v>
          </cell>
          <cell r="AP1380" t="str">
            <v/>
          </cell>
          <cell r="AQ1380" t="str">
            <v/>
          </cell>
          <cell r="AR1380" t="str">
            <v>Y</v>
          </cell>
          <cell r="AS1380" t="str">
            <v/>
          </cell>
          <cell r="AT1380" t="str">
            <v>AC</v>
          </cell>
          <cell r="AU1380" t="str">
            <v>Airconditioner</v>
          </cell>
          <cell r="AV1380" t="str">
            <v>ACFS</v>
          </cell>
          <cell r="AW1380" t="str">
            <v>Fixed Single CAC</v>
          </cell>
          <cell r="AX1380" t="str">
            <v>ACFSCC</v>
          </cell>
          <cell r="AY1380" t="str">
            <v>Ceiling Cassette</v>
          </cell>
          <cell r="AZ1380" t="str">
            <v>ACFSCCCX</v>
          </cell>
          <cell r="BA1380" t="str">
            <v>Cassette_I/D_Inverter_C/O</v>
          </cell>
        </row>
        <row r="1381">
          <cell r="E1381" t="str">
            <v>ZTNQ36GNLA1.ENWHEVH</v>
          </cell>
          <cell r="F1381">
            <v>73</v>
          </cell>
          <cell r="G1381">
            <v>0</v>
          </cell>
          <cell r="H1381">
            <v>0</v>
          </cell>
          <cell r="I1381">
            <v>107</v>
          </cell>
          <cell r="J1381">
            <v>1</v>
          </cell>
          <cell r="K1381">
            <v>0</v>
          </cell>
          <cell r="L1381">
            <v>16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 t="str">
            <v/>
          </cell>
          <cell r="AH1381" t="str">
            <v/>
          </cell>
          <cell r="AI1381" t="str">
            <v/>
          </cell>
          <cell r="AJ1381" t="str">
            <v/>
          </cell>
          <cell r="AK1381" t="str">
            <v>0.268861</v>
          </cell>
          <cell r="AL1381" t="str">
            <v>0</v>
          </cell>
          <cell r="AM1381" t="str">
            <v>Q</v>
          </cell>
          <cell r="AN1381" t="str">
            <v>M0</v>
          </cell>
          <cell r="AO1381" t="str">
            <v>Active(Model)</v>
          </cell>
          <cell r="AP1381" t="str">
            <v/>
          </cell>
          <cell r="AQ1381" t="str">
            <v/>
          </cell>
          <cell r="AR1381" t="str">
            <v>Y</v>
          </cell>
          <cell r="AS1381" t="str">
            <v/>
          </cell>
          <cell r="AT1381" t="str">
            <v>AC</v>
          </cell>
          <cell r="AU1381" t="str">
            <v>Airconditioner</v>
          </cell>
          <cell r="AV1381" t="str">
            <v>ACFS</v>
          </cell>
          <cell r="AW1381" t="str">
            <v>Fixed Single CAC</v>
          </cell>
          <cell r="AX1381" t="str">
            <v>ACFSCC</v>
          </cell>
          <cell r="AY1381" t="str">
            <v>Ceiling Cassette</v>
          </cell>
          <cell r="AZ1381" t="str">
            <v>ACFSCCCX</v>
          </cell>
          <cell r="BA1381" t="str">
            <v>Cassette_I/D_Inverter_C/O</v>
          </cell>
        </row>
        <row r="1382">
          <cell r="E1382" t="str">
            <v>ZTNQ36GYLA1.ENWBEVH</v>
          </cell>
          <cell r="F1382">
            <v>1</v>
          </cell>
          <cell r="G1382">
            <v>0</v>
          </cell>
          <cell r="H1382">
            <v>0</v>
          </cell>
          <cell r="I1382">
            <v>1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 t="str">
            <v/>
          </cell>
          <cell r="AH1382" t="str">
            <v/>
          </cell>
          <cell r="AI1382" t="str">
            <v/>
          </cell>
          <cell r="AJ1382" t="str">
            <v/>
          </cell>
          <cell r="AK1382" t="str">
            <v>0.508398</v>
          </cell>
          <cell r="AL1382" t="str">
            <v>0</v>
          </cell>
          <cell r="AM1382" t="str">
            <v>Q</v>
          </cell>
          <cell r="AN1382" t="str">
            <v>M0</v>
          </cell>
          <cell r="AO1382" t="str">
            <v>Active(Model)</v>
          </cell>
          <cell r="AP1382" t="str">
            <v/>
          </cell>
          <cell r="AQ1382" t="str">
            <v/>
          </cell>
          <cell r="AR1382" t="str">
            <v>Y</v>
          </cell>
          <cell r="AS1382" t="str">
            <v/>
          </cell>
          <cell r="AT1382" t="str">
            <v>AC</v>
          </cell>
          <cell r="AU1382" t="str">
            <v>Airconditioner</v>
          </cell>
          <cell r="AV1382" t="str">
            <v>ACFS</v>
          </cell>
          <cell r="AW1382" t="str">
            <v>Fixed Single CAC</v>
          </cell>
          <cell r="AX1382" t="str">
            <v>ACFSCC</v>
          </cell>
          <cell r="AY1382" t="str">
            <v>Ceiling Cassette</v>
          </cell>
          <cell r="AZ1382" t="str">
            <v>ACFSCCCX</v>
          </cell>
          <cell r="BA1382" t="str">
            <v>Cassette_I/D_Inverter_C/O</v>
          </cell>
        </row>
        <row r="1383">
          <cell r="E1383" t="str">
            <v>ZTNQ36LNLA0.ENWHEVH</v>
          </cell>
          <cell r="F1383">
            <v>3</v>
          </cell>
          <cell r="G1383">
            <v>0</v>
          </cell>
          <cell r="H1383">
            <v>0</v>
          </cell>
          <cell r="I1383">
            <v>4</v>
          </cell>
          <cell r="J1383">
            <v>0</v>
          </cell>
          <cell r="K1383">
            <v>0</v>
          </cell>
          <cell r="L1383">
            <v>0</v>
          </cell>
          <cell r="M1383">
            <v>1</v>
          </cell>
          <cell r="N1383">
            <v>0</v>
          </cell>
          <cell r="O1383">
            <v>0</v>
          </cell>
          <cell r="P1383">
            <v>1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 t="str">
            <v/>
          </cell>
          <cell r="AH1383" t="str">
            <v/>
          </cell>
          <cell r="AI1383" t="str">
            <v/>
          </cell>
          <cell r="AJ1383" t="str">
            <v/>
          </cell>
          <cell r="AK1383" t="str">
            <v>0.268861</v>
          </cell>
          <cell r="AL1383" t="str">
            <v>0</v>
          </cell>
          <cell r="AM1383" t="str">
            <v>Q</v>
          </cell>
          <cell r="AN1383" t="str">
            <v>M0</v>
          </cell>
          <cell r="AO1383" t="str">
            <v>Active(Model)</v>
          </cell>
          <cell r="AP1383" t="str">
            <v/>
          </cell>
          <cell r="AQ1383" t="str">
            <v/>
          </cell>
          <cell r="AR1383" t="str">
            <v>Y</v>
          </cell>
          <cell r="AS1383" t="str">
            <v/>
          </cell>
          <cell r="AT1383" t="str">
            <v>AC</v>
          </cell>
          <cell r="AU1383" t="str">
            <v>Airconditioner</v>
          </cell>
          <cell r="AV1383" t="str">
            <v>ACFS</v>
          </cell>
          <cell r="AW1383" t="str">
            <v>Fixed Single CAC</v>
          </cell>
          <cell r="AX1383" t="str">
            <v>ACFSCC</v>
          </cell>
          <cell r="AY1383" t="str">
            <v>Ceiling Cassette</v>
          </cell>
          <cell r="AZ1383" t="str">
            <v>ACFSCCCX</v>
          </cell>
          <cell r="BA1383" t="str">
            <v>Cassette_I/D_Inverter_C/O</v>
          </cell>
        </row>
        <row r="1384">
          <cell r="E1384" t="str">
            <v>ZTNQ48GMLA1.ENWHEVH</v>
          </cell>
          <cell r="F1384">
            <v>7</v>
          </cell>
          <cell r="G1384">
            <v>0</v>
          </cell>
          <cell r="H1384">
            <v>0</v>
          </cell>
          <cell r="I1384">
            <v>34</v>
          </cell>
          <cell r="J1384">
            <v>1</v>
          </cell>
          <cell r="K1384">
            <v>0</v>
          </cell>
          <cell r="L1384">
            <v>24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 t="str">
            <v/>
          </cell>
          <cell r="AH1384" t="str">
            <v/>
          </cell>
          <cell r="AI1384" t="str">
            <v/>
          </cell>
          <cell r="AJ1384" t="str">
            <v/>
          </cell>
          <cell r="AK1384" t="str">
            <v>0.304371</v>
          </cell>
          <cell r="AL1384" t="str">
            <v>0</v>
          </cell>
          <cell r="AM1384" t="str">
            <v>Q</v>
          </cell>
          <cell r="AN1384" t="str">
            <v>M0</v>
          </cell>
          <cell r="AO1384" t="str">
            <v>Active(Model)</v>
          </cell>
          <cell r="AP1384" t="str">
            <v/>
          </cell>
          <cell r="AQ1384" t="str">
            <v/>
          </cell>
          <cell r="AR1384" t="str">
            <v>Y</v>
          </cell>
          <cell r="AS1384" t="str">
            <v/>
          </cell>
          <cell r="AT1384" t="str">
            <v>AC</v>
          </cell>
          <cell r="AU1384" t="str">
            <v>Airconditioner</v>
          </cell>
          <cell r="AV1384" t="str">
            <v>ACFS</v>
          </cell>
          <cell r="AW1384" t="str">
            <v>Fixed Single CAC</v>
          </cell>
          <cell r="AX1384" t="str">
            <v>ACFSCC</v>
          </cell>
          <cell r="AY1384" t="str">
            <v>Ceiling Cassette</v>
          </cell>
          <cell r="AZ1384" t="str">
            <v>ACFSCCCX</v>
          </cell>
          <cell r="BA1384" t="str">
            <v>Cassette_I/D_Inverter_C/O</v>
          </cell>
        </row>
        <row r="1385">
          <cell r="E1385" t="str">
            <v>ZTNQ48GYLA1.ENWBEVH</v>
          </cell>
          <cell r="F1385">
            <v>5</v>
          </cell>
          <cell r="G1385">
            <v>0</v>
          </cell>
          <cell r="H1385">
            <v>0</v>
          </cell>
          <cell r="I1385">
            <v>5</v>
          </cell>
          <cell r="J1385">
            <v>2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 t="str">
            <v/>
          </cell>
          <cell r="AH1385" t="str">
            <v/>
          </cell>
          <cell r="AI1385" t="str">
            <v/>
          </cell>
          <cell r="AJ1385" t="str">
            <v/>
          </cell>
          <cell r="AK1385" t="str">
            <v>0.508398</v>
          </cell>
          <cell r="AL1385" t="str">
            <v>0</v>
          </cell>
          <cell r="AM1385" t="str">
            <v>Q</v>
          </cell>
          <cell r="AN1385" t="str">
            <v>M0</v>
          </cell>
          <cell r="AO1385" t="str">
            <v>Active(Model)</v>
          </cell>
          <cell r="AP1385" t="str">
            <v/>
          </cell>
          <cell r="AQ1385" t="str">
            <v/>
          </cell>
          <cell r="AR1385" t="str">
            <v>Y</v>
          </cell>
          <cell r="AS1385" t="str">
            <v/>
          </cell>
          <cell r="AT1385" t="str">
            <v>AC</v>
          </cell>
          <cell r="AU1385" t="str">
            <v>Airconditioner</v>
          </cell>
          <cell r="AV1385" t="str">
            <v>ACFS</v>
          </cell>
          <cell r="AW1385" t="str">
            <v>Fixed Single CAC</v>
          </cell>
          <cell r="AX1385" t="str">
            <v>ACFSCC</v>
          </cell>
          <cell r="AY1385" t="str">
            <v>Ceiling Cassette</v>
          </cell>
          <cell r="AZ1385" t="str">
            <v>ACFSCCCX</v>
          </cell>
          <cell r="BA1385" t="str">
            <v>Cassette_I/D_Inverter_C/O</v>
          </cell>
        </row>
        <row r="1386">
          <cell r="E1386" t="str">
            <v>ZTNQ48LMLA0.ENWHEVH</v>
          </cell>
          <cell r="F1386">
            <v>0</v>
          </cell>
          <cell r="G1386">
            <v>0</v>
          </cell>
          <cell r="H1386">
            <v>0</v>
          </cell>
          <cell r="I1386">
            <v>3</v>
          </cell>
          <cell r="J1386">
            <v>0</v>
          </cell>
          <cell r="K1386">
            <v>0</v>
          </cell>
          <cell r="L1386">
            <v>1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 t="str">
            <v/>
          </cell>
          <cell r="AH1386" t="str">
            <v/>
          </cell>
          <cell r="AI1386" t="str">
            <v/>
          </cell>
          <cell r="AJ1386" t="str">
            <v/>
          </cell>
          <cell r="AK1386" t="str">
            <v>0.304371</v>
          </cell>
          <cell r="AL1386" t="str">
            <v>0</v>
          </cell>
          <cell r="AM1386" t="str">
            <v>Q</v>
          </cell>
          <cell r="AN1386" t="str">
            <v>M0</v>
          </cell>
          <cell r="AO1386" t="str">
            <v>Active(Model)</v>
          </cell>
          <cell r="AP1386" t="str">
            <v/>
          </cell>
          <cell r="AQ1386" t="str">
            <v/>
          </cell>
          <cell r="AR1386" t="str">
            <v>Y</v>
          </cell>
          <cell r="AS1386" t="str">
            <v/>
          </cell>
          <cell r="AT1386" t="str">
            <v>AC</v>
          </cell>
          <cell r="AU1386" t="str">
            <v>Airconditioner</v>
          </cell>
          <cell r="AV1386" t="str">
            <v>ACFS</v>
          </cell>
          <cell r="AW1386" t="str">
            <v>Fixed Single CAC</v>
          </cell>
          <cell r="AX1386" t="str">
            <v>ACFSCC</v>
          </cell>
          <cell r="AY1386" t="str">
            <v>Ceiling Cassette</v>
          </cell>
          <cell r="AZ1386" t="str">
            <v>ACFSCCCX</v>
          </cell>
          <cell r="BA1386" t="str">
            <v>Cassette_I/D_Inverter_C/O</v>
          </cell>
        </row>
        <row r="1387">
          <cell r="E1387" t="str">
            <v>ZTNQ60GMLA1.ENWHEVH</v>
          </cell>
          <cell r="F1387">
            <v>1</v>
          </cell>
          <cell r="G1387">
            <v>0</v>
          </cell>
          <cell r="H1387">
            <v>0</v>
          </cell>
          <cell r="I1387">
            <v>15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 t="str">
            <v/>
          </cell>
          <cell r="AH1387" t="str">
            <v/>
          </cell>
          <cell r="AI1387" t="str">
            <v/>
          </cell>
          <cell r="AJ1387" t="str">
            <v/>
          </cell>
          <cell r="AK1387" t="str">
            <v>0.304371</v>
          </cell>
          <cell r="AL1387" t="str">
            <v>0</v>
          </cell>
          <cell r="AM1387" t="str">
            <v>Q</v>
          </cell>
          <cell r="AN1387" t="str">
            <v>M0</v>
          </cell>
          <cell r="AO1387" t="str">
            <v>Active(Model)</v>
          </cell>
          <cell r="AP1387" t="str">
            <v/>
          </cell>
          <cell r="AQ1387" t="str">
            <v/>
          </cell>
          <cell r="AR1387" t="str">
            <v>Y</v>
          </cell>
          <cell r="AS1387" t="str">
            <v/>
          </cell>
          <cell r="AT1387" t="str">
            <v>AC</v>
          </cell>
          <cell r="AU1387" t="str">
            <v>Airconditioner</v>
          </cell>
          <cell r="AV1387" t="str">
            <v>ACFS</v>
          </cell>
          <cell r="AW1387" t="str">
            <v>Fixed Single CAC</v>
          </cell>
          <cell r="AX1387" t="str">
            <v>ACFSCC</v>
          </cell>
          <cell r="AY1387" t="str">
            <v>Ceiling Cassette</v>
          </cell>
          <cell r="AZ1387" t="str">
            <v>ACFSCCCX</v>
          </cell>
          <cell r="BA1387" t="str">
            <v>Cassette_I/D_Inverter_C/O</v>
          </cell>
        </row>
        <row r="1388">
          <cell r="E1388" t="str">
            <v>ZTNW09GULA1.ENWHEVH</v>
          </cell>
          <cell r="F1388">
            <v>15</v>
          </cell>
          <cell r="G1388">
            <v>0</v>
          </cell>
          <cell r="H1388">
            <v>0</v>
          </cell>
          <cell r="I1388">
            <v>15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 t="str">
            <v/>
          </cell>
          <cell r="AH1388" t="str">
            <v/>
          </cell>
          <cell r="AI1388" t="str">
            <v/>
          </cell>
          <cell r="AJ1388" t="str">
            <v/>
          </cell>
          <cell r="AK1388" t="str">
            <v>0.152523</v>
          </cell>
          <cell r="AL1388" t="str">
            <v>0</v>
          </cell>
          <cell r="AM1388" t="str">
            <v>Q</v>
          </cell>
          <cell r="AN1388" t="str">
            <v>M0</v>
          </cell>
          <cell r="AO1388" t="str">
            <v>Active(Model)</v>
          </cell>
          <cell r="AP1388" t="str">
            <v/>
          </cell>
          <cell r="AQ1388" t="str">
            <v/>
          </cell>
          <cell r="AR1388" t="str">
            <v>Y</v>
          </cell>
          <cell r="AS1388" t="str">
            <v/>
          </cell>
          <cell r="AT1388" t="str">
            <v>AC</v>
          </cell>
          <cell r="AU1388" t="str">
            <v>Airconditioner</v>
          </cell>
          <cell r="AV1388" t="str">
            <v>ACFS</v>
          </cell>
          <cell r="AW1388" t="str">
            <v>Fixed Single CAC</v>
          </cell>
          <cell r="AX1388" t="str">
            <v>ACFSCC</v>
          </cell>
          <cell r="AY1388" t="str">
            <v>Ceiling Cassette</v>
          </cell>
          <cell r="AZ1388" t="str">
            <v>ACFSCCCV</v>
          </cell>
          <cell r="BA1388" t="str">
            <v>Cassette_I/D_Inverter_H/P</v>
          </cell>
        </row>
        <row r="1389">
          <cell r="E1389" t="str">
            <v>ZTNW12GULA1.ENWHEVH</v>
          </cell>
          <cell r="F1389">
            <v>14</v>
          </cell>
          <cell r="G1389">
            <v>0</v>
          </cell>
          <cell r="H1389">
            <v>0</v>
          </cell>
          <cell r="I1389">
            <v>14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 t="str">
            <v/>
          </cell>
          <cell r="AH1389" t="str">
            <v/>
          </cell>
          <cell r="AI1389" t="str">
            <v/>
          </cell>
          <cell r="AJ1389" t="str">
            <v/>
          </cell>
          <cell r="AK1389" t="str">
            <v>0.152523</v>
          </cell>
          <cell r="AL1389" t="str">
            <v>0</v>
          </cell>
          <cell r="AM1389" t="str">
            <v>Q</v>
          </cell>
          <cell r="AN1389" t="str">
            <v>M0</v>
          </cell>
          <cell r="AO1389" t="str">
            <v>Active(Model)</v>
          </cell>
          <cell r="AP1389" t="str">
            <v/>
          </cell>
          <cell r="AQ1389" t="str">
            <v/>
          </cell>
          <cell r="AR1389" t="str">
            <v>Y</v>
          </cell>
          <cell r="AS1389" t="str">
            <v/>
          </cell>
          <cell r="AT1389" t="str">
            <v>AC</v>
          </cell>
          <cell r="AU1389" t="str">
            <v>Airconditioner</v>
          </cell>
          <cell r="AV1389" t="str">
            <v>ACFS</v>
          </cell>
          <cell r="AW1389" t="str">
            <v>Fixed Single CAC</v>
          </cell>
          <cell r="AX1389" t="str">
            <v>ACFSCC</v>
          </cell>
          <cell r="AY1389" t="str">
            <v>Ceiling Cassette</v>
          </cell>
          <cell r="AZ1389" t="str">
            <v>ACFSCCCV</v>
          </cell>
          <cell r="BA1389" t="str">
            <v>Cassette_I/D_Inverter_H/P</v>
          </cell>
        </row>
        <row r="1390">
          <cell r="E1390" t="str">
            <v>ZTNW18GPLA1.ENWHEVH</v>
          </cell>
          <cell r="F1390">
            <v>12</v>
          </cell>
          <cell r="G1390">
            <v>0</v>
          </cell>
          <cell r="H1390">
            <v>0</v>
          </cell>
          <cell r="I1390">
            <v>12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 t="str">
            <v/>
          </cell>
          <cell r="AH1390" t="str">
            <v/>
          </cell>
          <cell r="AI1390" t="str">
            <v/>
          </cell>
          <cell r="AJ1390" t="str">
            <v/>
          </cell>
          <cell r="AK1390" t="str">
            <v>0.233351</v>
          </cell>
          <cell r="AL1390" t="str">
            <v>0</v>
          </cell>
          <cell r="AM1390" t="str">
            <v>Q</v>
          </cell>
          <cell r="AN1390" t="str">
            <v>M0</v>
          </cell>
          <cell r="AO1390" t="str">
            <v>Active(Model)</v>
          </cell>
          <cell r="AP1390" t="str">
            <v/>
          </cell>
          <cell r="AQ1390" t="str">
            <v/>
          </cell>
          <cell r="AR1390" t="str">
            <v>Y</v>
          </cell>
          <cell r="AS1390" t="str">
            <v/>
          </cell>
          <cell r="AT1390" t="str">
            <v>AC</v>
          </cell>
          <cell r="AU1390" t="str">
            <v>Airconditioner</v>
          </cell>
          <cell r="AV1390" t="str">
            <v>ACFS</v>
          </cell>
          <cell r="AW1390" t="str">
            <v>Fixed Single CAC</v>
          </cell>
          <cell r="AX1390" t="str">
            <v>ACFSCC</v>
          </cell>
          <cell r="AY1390" t="str">
            <v>Ceiling Cassette</v>
          </cell>
          <cell r="AZ1390" t="str">
            <v>ACFSCCCV</v>
          </cell>
          <cell r="BA1390" t="str">
            <v>Cassette_I/D_Inverter_H/P</v>
          </cell>
        </row>
        <row r="1391">
          <cell r="E1391" t="str">
            <v>ZTNW18GTLA1.ENWHEVH</v>
          </cell>
          <cell r="F1391">
            <v>15</v>
          </cell>
          <cell r="G1391">
            <v>0</v>
          </cell>
          <cell r="H1391">
            <v>0</v>
          </cell>
          <cell r="I1391">
            <v>15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 t="str">
            <v/>
          </cell>
          <cell r="AH1391" t="str">
            <v/>
          </cell>
          <cell r="AI1391" t="str">
            <v/>
          </cell>
          <cell r="AJ1391" t="str">
            <v/>
          </cell>
          <cell r="AK1391" t="str">
            <v>0.195907</v>
          </cell>
          <cell r="AL1391" t="str">
            <v>0</v>
          </cell>
          <cell r="AM1391" t="str">
            <v>Q</v>
          </cell>
          <cell r="AN1391" t="str">
            <v>M0</v>
          </cell>
          <cell r="AO1391" t="str">
            <v>Active(Model)</v>
          </cell>
          <cell r="AP1391" t="str">
            <v/>
          </cell>
          <cell r="AQ1391" t="str">
            <v/>
          </cell>
          <cell r="AR1391" t="str">
            <v>Y</v>
          </cell>
          <cell r="AS1391" t="str">
            <v/>
          </cell>
          <cell r="AT1391" t="str">
            <v>AC</v>
          </cell>
          <cell r="AU1391" t="str">
            <v>Airconditioner</v>
          </cell>
          <cell r="AV1391" t="str">
            <v>ACFS</v>
          </cell>
          <cell r="AW1391" t="str">
            <v>Fixed Single CAC</v>
          </cell>
          <cell r="AX1391" t="str">
            <v>ACFSCC</v>
          </cell>
          <cell r="AY1391" t="str">
            <v>Ceiling Cassette</v>
          </cell>
          <cell r="AZ1391" t="str">
            <v>ACFSCCCV</v>
          </cell>
          <cell r="BA1391" t="str">
            <v>Cassette_I/D_Inverter_H/P</v>
          </cell>
        </row>
        <row r="1392">
          <cell r="E1392" t="str">
            <v>ZTNW24GPLA1.ENWHEVH</v>
          </cell>
          <cell r="F1392">
            <v>15</v>
          </cell>
          <cell r="G1392">
            <v>0</v>
          </cell>
          <cell r="H1392">
            <v>0</v>
          </cell>
          <cell r="I1392">
            <v>15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 t="str">
            <v/>
          </cell>
          <cell r="AH1392" t="str">
            <v/>
          </cell>
          <cell r="AI1392" t="str">
            <v/>
          </cell>
          <cell r="AJ1392" t="str">
            <v/>
          </cell>
          <cell r="AK1392" t="str">
            <v>0.233351</v>
          </cell>
          <cell r="AL1392" t="str">
            <v>0</v>
          </cell>
          <cell r="AM1392" t="str">
            <v>Q</v>
          </cell>
          <cell r="AN1392" t="str">
            <v>M0</v>
          </cell>
          <cell r="AO1392" t="str">
            <v>Active(Model)</v>
          </cell>
          <cell r="AP1392" t="str">
            <v/>
          </cell>
          <cell r="AQ1392" t="str">
            <v/>
          </cell>
          <cell r="AR1392" t="str">
            <v>Y</v>
          </cell>
          <cell r="AS1392" t="str">
            <v/>
          </cell>
          <cell r="AT1392" t="str">
            <v>AC</v>
          </cell>
          <cell r="AU1392" t="str">
            <v>Airconditioner</v>
          </cell>
          <cell r="AV1392" t="str">
            <v>ACFS</v>
          </cell>
          <cell r="AW1392" t="str">
            <v>Fixed Single CAC</v>
          </cell>
          <cell r="AX1392" t="str">
            <v>ACFSCC</v>
          </cell>
          <cell r="AY1392" t="str">
            <v>Ceiling Cassette</v>
          </cell>
          <cell r="AZ1392" t="str">
            <v>ACFSCCCV</v>
          </cell>
          <cell r="BA1392" t="str">
            <v>Cassette_I/D_Inverter_H/P</v>
          </cell>
        </row>
        <row r="1393">
          <cell r="E1393" t="str">
            <v>ZTNW24GTLA1.ENWHEVH</v>
          </cell>
          <cell r="F1393">
            <v>15</v>
          </cell>
          <cell r="G1393">
            <v>0</v>
          </cell>
          <cell r="H1393">
            <v>0</v>
          </cell>
          <cell r="I1393">
            <v>15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 t="str">
            <v/>
          </cell>
          <cell r="AH1393" t="str">
            <v/>
          </cell>
          <cell r="AI1393" t="str">
            <v/>
          </cell>
          <cell r="AJ1393" t="str">
            <v/>
          </cell>
          <cell r="AK1393" t="str">
            <v>0.195907</v>
          </cell>
          <cell r="AL1393" t="str">
            <v>0</v>
          </cell>
          <cell r="AM1393" t="str">
            <v>Q</v>
          </cell>
          <cell r="AN1393" t="str">
            <v>M0</v>
          </cell>
          <cell r="AO1393" t="str">
            <v>Active(Model)</v>
          </cell>
          <cell r="AP1393" t="str">
            <v/>
          </cell>
          <cell r="AQ1393" t="str">
            <v/>
          </cell>
          <cell r="AR1393" t="str">
            <v>Y</v>
          </cell>
          <cell r="AS1393" t="str">
            <v/>
          </cell>
          <cell r="AT1393" t="str">
            <v>AC</v>
          </cell>
          <cell r="AU1393" t="str">
            <v>Airconditioner</v>
          </cell>
          <cell r="AV1393" t="str">
            <v>ACFS</v>
          </cell>
          <cell r="AW1393" t="str">
            <v>Fixed Single CAC</v>
          </cell>
          <cell r="AX1393" t="str">
            <v>ACFSCC</v>
          </cell>
          <cell r="AY1393" t="str">
            <v>Ceiling Cassette</v>
          </cell>
          <cell r="AZ1393" t="str">
            <v>ACFSCCCV</v>
          </cell>
          <cell r="BA1393" t="str">
            <v>Cassette_I/D_Inverter_H/P</v>
          </cell>
        </row>
        <row r="1394">
          <cell r="E1394" t="str">
            <v>ZTNW30GNLA1.ENWHEVH</v>
          </cell>
          <cell r="F1394">
            <v>11</v>
          </cell>
          <cell r="G1394">
            <v>0</v>
          </cell>
          <cell r="H1394">
            <v>0</v>
          </cell>
          <cell r="I1394">
            <v>11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 t="str">
            <v/>
          </cell>
          <cell r="AH1394" t="str">
            <v/>
          </cell>
          <cell r="AI1394" t="str">
            <v/>
          </cell>
          <cell r="AJ1394" t="str">
            <v/>
          </cell>
          <cell r="AK1394" t="str">
            <v>0.268861</v>
          </cell>
          <cell r="AL1394" t="str">
            <v>0</v>
          </cell>
          <cell r="AM1394" t="str">
            <v>Q</v>
          </cell>
          <cell r="AN1394" t="str">
            <v>M0</v>
          </cell>
          <cell r="AO1394" t="str">
            <v>Active(Model)</v>
          </cell>
          <cell r="AP1394" t="str">
            <v/>
          </cell>
          <cell r="AQ1394" t="str">
            <v/>
          </cell>
          <cell r="AR1394" t="str">
            <v>Y</v>
          </cell>
          <cell r="AS1394" t="str">
            <v/>
          </cell>
          <cell r="AT1394" t="str">
            <v>AC</v>
          </cell>
          <cell r="AU1394" t="str">
            <v>Airconditioner</v>
          </cell>
          <cell r="AV1394" t="str">
            <v>ACFS</v>
          </cell>
          <cell r="AW1394" t="str">
            <v>Fixed Single CAC</v>
          </cell>
          <cell r="AX1394" t="str">
            <v>ACFSCC</v>
          </cell>
          <cell r="AY1394" t="str">
            <v>Ceiling Cassette</v>
          </cell>
          <cell r="AZ1394" t="str">
            <v>ACFSCCCV</v>
          </cell>
          <cell r="BA1394" t="str">
            <v>Cassette_I/D_Inverter_H/P</v>
          </cell>
        </row>
        <row r="1395">
          <cell r="E1395" t="str">
            <v>ZTNW36GNLA1.ENWHEVH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4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 t="str">
            <v/>
          </cell>
          <cell r="AH1395" t="str">
            <v/>
          </cell>
          <cell r="AI1395" t="str">
            <v/>
          </cell>
          <cell r="AJ1395" t="str">
            <v/>
          </cell>
          <cell r="AK1395" t="str">
            <v>0.268861</v>
          </cell>
          <cell r="AL1395" t="str">
            <v>0</v>
          </cell>
          <cell r="AM1395" t="str">
            <v>Q</v>
          </cell>
          <cell r="AN1395" t="str">
            <v>M0</v>
          </cell>
          <cell r="AO1395" t="str">
            <v>Active(Model)</v>
          </cell>
          <cell r="AP1395" t="str">
            <v/>
          </cell>
          <cell r="AQ1395" t="str">
            <v/>
          </cell>
          <cell r="AR1395" t="str">
            <v>Y</v>
          </cell>
          <cell r="AS1395" t="str">
            <v/>
          </cell>
          <cell r="AT1395" t="str">
            <v>AC</v>
          </cell>
          <cell r="AU1395" t="str">
            <v>Airconditioner</v>
          </cell>
          <cell r="AV1395" t="str">
            <v>ACFS</v>
          </cell>
          <cell r="AW1395" t="str">
            <v>Fixed Single CAC</v>
          </cell>
          <cell r="AX1395" t="str">
            <v>ACFSCC</v>
          </cell>
          <cell r="AY1395" t="str">
            <v>Ceiling Cassette</v>
          </cell>
          <cell r="AZ1395" t="str">
            <v>ACFSCCCV</v>
          </cell>
          <cell r="BA1395" t="str">
            <v>Cassette_I/D_Inverter_H/P</v>
          </cell>
        </row>
        <row r="1396">
          <cell r="E1396" t="str">
            <v>ZTNW36GYLA1.ENWBEVH</v>
          </cell>
          <cell r="F1396">
            <v>1</v>
          </cell>
          <cell r="G1396">
            <v>0</v>
          </cell>
          <cell r="H1396">
            <v>0</v>
          </cell>
          <cell r="I1396">
            <v>1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 t="str">
            <v/>
          </cell>
          <cell r="AH1396" t="str">
            <v/>
          </cell>
          <cell r="AI1396" t="str">
            <v/>
          </cell>
          <cell r="AJ1396" t="str">
            <v/>
          </cell>
          <cell r="AK1396" t="str">
            <v>0.508398</v>
          </cell>
          <cell r="AL1396" t="str">
            <v>0</v>
          </cell>
          <cell r="AM1396" t="str">
            <v>Q</v>
          </cell>
          <cell r="AN1396" t="str">
            <v>M0</v>
          </cell>
          <cell r="AO1396" t="str">
            <v>Active(Model)</v>
          </cell>
          <cell r="AP1396" t="str">
            <v/>
          </cell>
          <cell r="AQ1396" t="str">
            <v/>
          </cell>
          <cell r="AR1396" t="str">
            <v>Y</v>
          </cell>
          <cell r="AS1396" t="str">
            <v/>
          </cell>
          <cell r="AT1396" t="str">
            <v>AC</v>
          </cell>
          <cell r="AU1396" t="str">
            <v>Airconditioner</v>
          </cell>
          <cell r="AV1396" t="str">
            <v>ACFS</v>
          </cell>
          <cell r="AW1396" t="str">
            <v>Fixed Single CAC</v>
          </cell>
          <cell r="AX1396" t="str">
            <v>ACFSCC</v>
          </cell>
          <cell r="AY1396" t="str">
            <v>Ceiling Cassette</v>
          </cell>
          <cell r="AZ1396" t="str">
            <v>ACFSCCCV</v>
          </cell>
          <cell r="BA1396" t="str">
            <v>Cassette_I/D_Inverter_H/P</v>
          </cell>
        </row>
        <row r="1397">
          <cell r="E1397" t="str">
            <v>ZTNW48GMLA1.ENWHEVH</v>
          </cell>
          <cell r="F1397">
            <v>12</v>
          </cell>
          <cell r="G1397">
            <v>0</v>
          </cell>
          <cell r="H1397">
            <v>0</v>
          </cell>
          <cell r="I1397">
            <v>12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 t="str">
            <v/>
          </cell>
          <cell r="AH1397" t="str">
            <v/>
          </cell>
          <cell r="AI1397" t="str">
            <v/>
          </cell>
          <cell r="AJ1397" t="str">
            <v/>
          </cell>
          <cell r="AK1397" t="str">
            <v>0.304371</v>
          </cell>
          <cell r="AL1397" t="str">
            <v>0</v>
          </cell>
          <cell r="AM1397" t="str">
            <v>Q</v>
          </cell>
          <cell r="AN1397" t="str">
            <v>M0</v>
          </cell>
          <cell r="AO1397" t="str">
            <v>Active(Model)</v>
          </cell>
          <cell r="AP1397" t="str">
            <v/>
          </cell>
          <cell r="AQ1397" t="str">
            <v/>
          </cell>
          <cell r="AR1397" t="str">
            <v>Y</v>
          </cell>
          <cell r="AS1397" t="str">
            <v/>
          </cell>
          <cell r="AT1397" t="str">
            <v>AC</v>
          </cell>
          <cell r="AU1397" t="str">
            <v>Airconditioner</v>
          </cell>
          <cell r="AV1397" t="str">
            <v>ACFS</v>
          </cell>
          <cell r="AW1397" t="str">
            <v>Fixed Single CAC</v>
          </cell>
          <cell r="AX1397" t="str">
            <v>ACFSCC</v>
          </cell>
          <cell r="AY1397" t="str">
            <v>Ceiling Cassette</v>
          </cell>
          <cell r="AZ1397" t="str">
            <v>ACFSCCCV</v>
          </cell>
          <cell r="BA1397" t="str">
            <v>Cassette_I/D_Inverter_H/P</v>
          </cell>
        </row>
        <row r="1398">
          <cell r="E1398" t="str">
            <v>ZTNW48GYLA1.ENWBEVH</v>
          </cell>
          <cell r="F1398">
            <v>1</v>
          </cell>
          <cell r="G1398">
            <v>0</v>
          </cell>
          <cell r="H1398">
            <v>0</v>
          </cell>
          <cell r="I1398">
            <v>1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 t="str">
            <v/>
          </cell>
          <cell r="AH1398" t="str">
            <v/>
          </cell>
          <cell r="AI1398" t="str">
            <v/>
          </cell>
          <cell r="AJ1398" t="str">
            <v/>
          </cell>
          <cell r="AK1398" t="str">
            <v>0.508398</v>
          </cell>
          <cell r="AL1398" t="str">
            <v>0</v>
          </cell>
          <cell r="AM1398" t="str">
            <v>Q</v>
          </cell>
          <cell r="AN1398" t="str">
            <v>M0</v>
          </cell>
          <cell r="AO1398" t="str">
            <v>Active(Model)</v>
          </cell>
          <cell r="AP1398" t="str">
            <v/>
          </cell>
          <cell r="AQ1398" t="str">
            <v/>
          </cell>
          <cell r="AR1398" t="str">
            <v>Y</v>
          </cell>
          <cell r="AS1398" t="str">
            <v/>
          </cell>
          <cell r="AT1398" t="str">
            <v>AC</v>
          </cell>
          <cell r="AU1398" t="str">
            <v>Airconditioner</v>
          </cell>
          <cell r="AV1398" t="str">
            <v>ACFS</v>
          </cell>
          <cell r="AW1398" t="str">
            <v>Fixed Single CAC</v>
          </cell>
          <cell r="AX1398" t="str">
            <v>ACFSCC</v>
          </cell>
          <cell r="AY1398" t="str">
            <v>Ceiling Cassette</v>
          </cell>
          <cell r="AZ1398" t="str">
            <v>ACFSCCCV</v>
          </cell>
          <cell r="BA1398" t="str">
            <v>Cassette_I/D_Inverter_H/P</v>
          </cell>
        </row>
        <row r="1399">
          <cell r="E1399" t="str">
            <v>ZUAA1.EWGHASA</v>
          </cell>
          <cell r="F1399">
            <v>4</v>
          </cell>
          <cell r="G1399">
            <v>0</v>
          </cell>
          <cell r="H1399">
            <v>0</v>
          </cell>
          <cell r="I1399">
            <v>4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 t="str">
            <v/>
          </cell>
          <cell r="AH1399" t="str">
            <v/>
          </cell>
          <cell r="AI1399" t="str">
            <v/>
          </cell>
          <cell r="AJ1399" t="str">
            <v/>
          </cell>
          <cell r="AK1399" t="str">
            <v>0.143696</v>
          </cell>
          <cell r="AL1399" t="str">
            <v>0</v>
          </cell>
          <cell r="AM1399" t="str">
            <v>Q</v>
          </cell>
          <cell r="AN1399" t="str">
            <v>M0</v>
          </cell>
          <cell r="AO1399" t="str">
            <v>Active(Model)</v>
          </cell>
          <cell r="AP1399" t="str">
            <v/>
          </cell>
          <cell r="AQ1399" t="str">
            <v/>
          </cell>
          <cell r="AR1399" t="str">
            <v>Y</v>
          </cell>
          <cell r="AS1399" t="str">
            <v/>
          </cell>
          <cell r="AT1399" t="str">
            <v>AC</v>
          </cell>
          <cell r="AU1399" t="str">
            <v>Airconditioner</v>
          </cell>
          <cell r="AV1399" t="str">
            <v>ACFS</v>
          </cell>
          <cell r="AW1399" t="str">
            <v>Fixed Single CAC</v>
          </cell>
          <cell r="AX1399" t="str">
            <v>ACFSCU</v>
          </cell>
          <cell r="AY1399" t="str">
            <v>Universal_O/D</v>
          </cell>
          <cell r="AZ1399" t="str">
            <v>ACFSCUCO</v>
          </cell>
          <cell r="BA1399" t="str">
            <v>Universal O/D_Inverter_C/O</v>
          </cell>
        </row>
        <row r="1400">
          <cell r="E1400" t="str">
            <v>ZUAB1.EWGHASA</v>
          </cell>
          <cell r="F1400">
            <v>8</v>
          </cell>
          <cell r="G1400">
            <v>0</v>
          </cell>
          <cell r="H1400">
            <v>0</v>
          </cell>
          <cell r="I1400">
            <v>8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 t="str">
            <v/>
          </cell>
          <cell r="AH1400" t="str">
            <v/>
          </cell>
          <cell r="AI1400" t="str">
            <v/>
          </cell>
          <cell r="AJ1400" t="str">
            <v/>
          </cell>
          <cell r="AK1400" t="str">
            <v>0.208822</v>
          </cell>
          <cell r="AL1400" t="str">
            <v>0</v>
          </cell>
          <cell r="AM1400" t="str">
            <v>Q</v>
          </cell>
          <cell r="AN1400" t="str">
            <v>M0</v>
          </cell>
          <cell r="AO1400" t="str">
            <v>Active(Model)</v>
          </cell>
          <cell r="AP1400" t="str">
            <v/>
          </cell>
          <cell r="AQ1400" t="str">
            <v/>
          </cell>
          <cell r="AR1400" t="str">
            <v>Y</v>
          </cell>
          <cell r="AS1400" t="str">
            <v/>
          </cell>
          <cell r="AT1400" t="str">
            <v>AC</v>
          </cell>
          <cell r="AU1400" t="str">
            <v>Airconditioner</v>
          </cell>
          <cell r="AV1400" t="str">
            <v>ACFS</v>
          </cell>
          <cell r="AW1400" t="str">
            <v>Fixed Single CAC</v>
          </cell>
          <cell r="AX1400" t="str">
            <v>ACFSCU</v>
          </cell>
          <cell r="AY1400" t="str">
            <v>Universal_O/D</v>
          </cell>
          <cell r="AZ1400" t="str">
            <v>ACFSCUCO</v>
          </cell>
          <cell r="BA1400" t="str">
            <v>Universal O/D_Inverter_C/O</v>
          </cell>
        </row>
        <row r="1401">
          <cell r="E1401" t="str">
            <v>ZUAC1.EWGHASA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 t="str">
            <v/>
          </cell>
          <cell r="AH1401" t="str">
            <v/>
          </cell>
          <cell r="AI1401" t="str">
            <v/>
          </cell>
          <cell r="AJ1401" t="str">
            <v/>
          </cell>
          <cell r="AK1401" t="str">
            <v>0.343813</v>
          </cell>
          <cell r="AL1401" t="str">
            <v>0</v>
          </cell>
          <cell r="AM1401" t="str">
            <v>Q</v>
          </cell>
          <cell r="AN1401" t="str">
            <v>M0</v>
          </cell>
          <cell r="AO1401" t="str">
            <v>Active(Model)</v>
          </cell>
          <cell r="AP1401" t="str">
            <v/>
          </cell>
          <cell r="AQ1401" t="str">
            <v/>
          </cell>
          <cell r="AR1401" t="str">
            <v>Y</v>
          </cell>
          <cell r="AS1401" t="str">
            <v/>
          </cell>
          <cell r="AT1401" t="str">
            <v>AC</v>
          </cell>
          <cell r="AU1401" t="str">
            <v>Airconditioner</v>
          </cell>
          <cell r="AV1401" t="str">
            <v>ACFS</v>
          </cell>
          <cell r="AW1401" t="str">
            <v>Fixed Single CAC</v>
          </cell>
          <cell r="AX1401" t="str">
            <v>ACFSCU</v>
          </cell>
          <cell r="AY1401" t="str">
            <v>Universal_O/D</v>
          </cell>
          <cell r="AZ1401" t="str">
            <v>ACFSCUCO</v>
          </cell>
          <cell r="BA1401" t="str">
            <v>Universal O/D_Inverter_C/O</v>
          </cell>
        </row>
        <row r="1402">
          <cell r="E1402" t="str">
            <v>ZUAD1.EWGHASA</v>
          </cell>
          <cell r="F1402">
            <v>27</v>
          </cell>
          <cell r="G1402">
            <v>0</v>
          </cell>
          <cell r="H1402">
            <v>0</v>
          </cell>
          <cell r="I1402">
            <v>43</v>
          </cell>
          <cell r="J1402">
            <v>0</v>
          </cell>
          <cell r="K1402">
            <v>0</v>
          </cell>
          <cell r="L1402">
            <v>4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 t="str">
            <v/>
          </cell>
          <cell r="AH1402" t="str">
            <v/>
          </cell>
          <cell r="AI1402" t="str">
            <v/>
          </cell>
          <cell r="AJ1402" t="str">
            <v/>
          </cell>
          <cell r="AK1402" t="str">
            <v>0.450706</v>
          </cell>
          <cell r="AL1402" t="str">
            <v>0</v>
          </cell>
          <cell r="AM1402" t="str">
            <v>Q</v>
          </cell>
          <cell r="AN1402" t="str">
            <v>M0</v>
          </cell>
          <cell r="AO1402" t="str">
            <v>Active(Model)</v>
          </cell>
          <cell r="AP1402" t="str">
            <v/>
          </cell>
          <cell r="AQ1402" t="str">
            <v/>
          </cell>
          <cell r="AR1402" t="str">
            <v>Y</v>
          </cell>
          <cell r="AS1402" t="str">
            <v/>
          </cell>
          <cell r="AT1402" t="str">
            <v>AC</v>
          </cell>
          <cell r="AU1402" t="str">
            <v>Airconditioner</v>
          </cell>
          <cell r="AV1402" t="str">
            <v>ACFS</v>
          </cell>
          <cell r="AW1402" t="str">
            <v>Fixed Single CAC</v>
          </cell>
          <cell r="AX1402" t="str">
            <v>ACFSCU</v>
          </cell>
          <cell r="AY1402" t="str">
            <v>Universal_O/D</v>
          </cell>
          <cell r="AZ1402" t="str">
            <v>ACFSCUCO</v>
          </cell>
          <cell r="BA1402" t="str">
            <v>Universal O/D_Inverter_C/O</v>
          </cell>
        </row>
        <row r="1403">
          <cell r="E1403" t="str">
            <v>ZUAD3.EWGHEVH</v>
          </cell>
          <cell r="F1403">
            <v>0</v>
          </cell>
          <cell r="G1403">
            <v>0</v>
          </cell>
          <cell r="H1403">
            <v>0</v>
          </cell>
          <cell r="I1403">
            <v>7</v>
          </cell>
          <cell r="J1403">
            <v>0</v>
          </cell>
          <cell r="K1403">
            <v>1</v>
          </cell>
          <cell r="L1403">
            <v>1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 t="str">
            <v/>
          </cell>
          <cell r="AH1403" t="str">
            <v/>
          </cell>
          <cell r="AI1403" t="str">
            <v/>
          </cell>
          <cell r="AJ1403" t="str">
            <v/>
          </cell>
          <cell r="AK1403" t="str">
            <v>0.450706</v>
          </cell>
          <cell r="AL1403" t="str">
            <v>0</v>
          </cell>
          <cell r="AM1403" t="str">
            <v>Q</v>
          </cell>
          <cell r="AN1403" t="str">
            <v>M0</v>
          </cell>
          <cell r="AO1403" t="str">
            <v>Active(Model)</v>
          </cell>
          <cell r="AP1403" t="str">
            <v/>
          </cell>
          <cell r="AQ1403" t="str">
            <v/>
          </cell>
          <cell r="AR1403" t="str">
            <v>Y</v>
          </cell>
          <cell r="AS1403" t="str">
            <v/>
          </cell>
          <cell r="AT1403" t="str">
            <v>AC</v>
          </cell>
          <cell r="AU1403" t="str">
            <v>Airconditioner</v>
          </cell>
          <cell r="AV1403" t="str">
            <v>ACFS</v>
          </cell>
          <cell r="AW1403" t="str">
            <v>Fixed Single CAC</v>
          </cell>
          <cell r="AX1403" t="str">
            <v>ACFSCU</v>
          </cell>
          <cell r="AY1403" t="str">
            <v>Universal_O/D</v>
          </cell>
          <cell r="AZ1403" t="str">
            <v>ACFSCUCO</v>
          </cell>
          <cell r="BA1403" t="str">
            <v>Universal O/D_Inverter_C/O</v>
          </cell>
        </row>
        <row r="1404">
          <cell r="E1404" t="str">
            <v>ZUUQ09GV1.EWGHEVH</v>
          </cell>
          <cell r="F1404">
            <v>51</v>
          </cell>
          <cell r="G1404">
            <v>0</v>
          </cell>
          <cell r="H1404">
            <v>0</v>
          </cell>
          <cell r="I1404">
            <v>68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 t="str">
            <v/>
          </cell>
          <cell r="AH1404" t="str">
            <v/>
          </cell>
          <cell r="AI1404" t="str">
            <v/>
          </cell>
          <cell r="AJ1404" t="str">
            <v/>
          </cell>
          <cell r="AK1404" t="str">
            <v>0.143967</v>
          </cell>
          <cell r="AL1404" t="str">
            <v>0</v>
          </cell>
          <cell r="AM1404" t="str">
            <v>Q</v>
          </cell>
          <cell r="AN1404" t="str">
            <v>M0</v>
          </cell>
          <cell r="AO1404" t="str">
            <v>Active(Model)</v>
          </cell>
          <cell r="AP1404" t="str">
            <v/>
          </cell>
          <cell r="AQ1404" t="str">
            <v/>
          </cell>
          <cell r="AR1404" t="str">
            <v>Y</v>
          </cell>
          <cell r="AS1404" t="str">
            <v/>
          </cell>
          <cell r="AT1404" t="str">
            <v>AC</v>
          </cell>
          <cell r="AU1404" t="str">
            <v>Airconditioner</v>
          </cell>
          <cell r="AV1404" t="str">
            <v>ACFS</v>
          </cell>
          <cell r="AW1404" t="str">
            <v>Fixed Single CAC</v>
          </cell>
          <cell r="AX1404" t="str">
            <v>ACFSCU</v>
          </cell>
          <cell r="AY1404" t="str">
            <v>Universal_O/D</v>
          </cell>
          <cell r="AZ1404" t="str">
            <v>ACFSCUCO</v>
          </cell>
          <cell r="BA1404" t="str">
            <v>Universal O/D_Inverter_C/O</v>
          </cell>
        </row>
        <row r="1405">
          <cell r="E1405" t="str">
            <v>ZUUQ12GV1.EWGHEVH</v>
          </cell>
          <cell r="F1405">
            <v>59</v>
          </cell>
          <cell r="G1405">
            <v>0</v>
          </cell>
          <cell r="H1405">
            <v>0</v>
          </cell>
          <cell r="I1405">
            <v>61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  <cell r="AF1405">
            <v>0</v>
          </cell>
          <cell r="AG1405" t="str">
            <v/>
          </cell>
          <cell r="AH1405" t="str">
            <v/>
          </cell>
          <cell r="AI1405" t="str">
            <v/>
          </cell>
          <cell r="AJ1405" t="str">
            <v/>
          </cell>
          <cell r="AK1405" t="str">
            <v>0.143967</v>
          </cell>
          <cell r="AL1405" t="str">
            <v>0</v>
          </cell>
          <cell r="AM1405" t="str">
            <v>Q</v>
          </cell>
          <cell r="AN1405" t="str">
            <v>M0</v>
          </cell>
          <cell r="AO1405" t="str">
            <v>Active(Model)</v>
          </cell>
          <cell r="AP1405" t="str">
            <v/>
          </cell>
          <cell r="AQ1405" t="str">
            <v/>
          </cell>
          <cell r="AR1405" t="str">
            <v>Y</v>
          </cell>
          <cell r="AS1405" t="str">
            <v/>
          </cell>
          <cell r="AT1405" t="str">
            <v>AC</v>
          </cell>
          <cell r="AU1405" t="str">
            <v>Airconditioner</v>
          </cell>
          <cell r="AV1405" t="str">
            <v>ACFS</v>
          </cell>
          <cell r="AW1405" t="str">
            <v>Fixed Single CAC</v>
          </cell>
          <cell r="AX1405" t="str">
            <v>ACFSCU</v>
          </cell>
          <cell r="AY1405" t="str">
            <v>Universal_O/D</v>
          </cell>
          <cell r="AZ1405" t="str">
            <v>ACFSCUCO</v>
          </cell>
          <cell r="BA1405" t="str">
            <v>Universal O/D_Inverter_C/O</v>
          </cell>
        </row>
        <row r="1406">
          <cell r="E1406" t="str">
            <v>ZUUQ18GE1.EWGHEVH</v>
          </cell>
          <cell r="F1406">
            <v>56</v>
          </cell>
          <cell r="G1406">
            <v>0</v>
          </cell>
          <cell r="H1406">
            <v>0</v>
          </cell>
          <cell r="I1406">
            <v>56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 t="str">
            <v/>
          </cell>
          <cell r="AH1406" t="str">
            <v/>
          </cell>
          <cell r="AI1406" t="str">
            <v/>
          </cell>
          <cell r="AJ1406" t="str">
            <v/>
          </cell>
          <cell r="AK1406" t="str">
            <v>0.143967</v>
          </cell>
          <cell r="AL1406" t="str">
            <v>0</v>
          </cell>
          <cell r="AM1406" t="str">
            <v>Q</v>
          </cell>
          <cell r="AN1406" t="str">
            <v>M0</v>
          </cell>
          <cell r="AO1406" t="str">
            <v>Active(Model)</v>
          </cell>
          <cell r="AP1406" t="str">
            <v/>
          </cell>
          <cell r="AQ1406" t="str">
            <v/>
          </cell>
          <cell r="AR1406" t="str">
            <v>Y</v>
          </cell>
          <cell r="AS1406" t="str">
            <v/>
          </cell>
          <cell r="AT1406" t="str">
            <v>AC</v>
          </cell>
          <cell r="AU1406" t="str">
            <v>Airconditioner</v>
          </cell>
          <cell r="AV1406" t="str">
            <v>ACFS</v>
          </cell>
          <cell r="AW1406" t="str">
            <v>Fixed Single CAC</v>
          </cell>
          <cell r="AX1406" t="str">
            <v>ACFSCC</v>
          </cell>
          <cell r="AY1406" t="str">
            <v>Ceiling Cassette</v>
          </cell>
          <cell r="AZ1406" t="str">
            <v>ACFSCCCZ</v>
          </cell>
          <cell r="BA1406" t="str">
            <v>Cassette_O/D_Inverter_C/O</v>
          </cell>
        </row>
        <row r="1407">
          <cell r="E1407" t="str">
            <v>ZUUQ18GV1.EWGHEVH</v>
          </cell>
          <cell r="F1407">
            <v>29</v>
          </cell>
          <cell r="G1407">
            <v>0</v>
          </cell>
          <cell r="H1407">
            <v>0</v>
          </cell>
          <cell r="I1407">
            <v>34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 t="str">
            <v/>
          </cell>
          <cell r="AH1407" t="str">
            <v/>
          </cell>
          <cell r="AI1407" t="str">
            <v/>
          </cell>
          <cell r="AJ1407" t="str">
            <v/>
          </cell>
          <cell r="AK1407" t="str">
            <v>0.212597</v>
          </cell>
          <cell r="AL1407" t="str">
            <v>0</v>
          </cell>
          <cell r="AM1407" t="str">
            <v>Q</v>
          </cell>
          <cell r="AN1407" t="str">
            <v>M0</v>
          </cell>
          <cell r="AO1407" t="str">
            <v>Active(Model)</v>
          </cell>
          <cell r="AP1407" t="str">
            <v/>
          </cell>
          <cell r="AQ1407" t="str">
            <v/>
          </cell>
          <cell r="AR1407" t="str">
            <v>Y</v>
          </cell>
          <cell r="AS1407" t="str">
            <v/>
          </cell>
          <cell r="AT1407" t="str">
            <v>AC</v>
          </cell>
          <cell r="AU1407" t="str">
            <v>Airconditioner</v>
          </cell>
          <cell r="AV1407" t="str">
            <v>ACFS</v>
          </cell>
          <cell r="AW1407" t="str">
            <v>Fixed Single CAC</v>
          </cell>
          <cell r="AX1407" t="str">
            <v>ACFSCU</v>
          </cell>
          <cell r="AY1407" t="str">
            <v>Universal_O/D</v>
          </cell>
          <cell r="AZ1407" t="str">
            <v>ACFSCUCO</v>
          </cell>
          <cell r="BA1407" t="str">
            <v>Universal O/D_Inverter_C/O</v>
          </cell>
        </row>
        <row r="1408">
          <cell r="E1408" t="str">
            <v>ZUUQ24GE1.EWGHEVH</v>
          </cell>
          <cell r="F1408">
            <v>29</v>
          </cell>
          <cell r="G1408">
            <v>0</v>
          </cell>
          <cell r="H1408">
            <v>0</v>
          </cell>
          <cell r="I1408">
            <v>29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 t="str">
            <v/>
          </cell>
          <cell r="AH1408" t="str">
            <v/>
          </cell>
          <cell r="AI1408" t="str">
            <v/>
          </cell>
          <cell r="AJ1408" t="str">
            <v/>
          </cell>
          <cell r="AK1408" t="str">
            <v>0.212597</v>
          </cell>
          <cell r="AL1408" t="str">
            <v>0</v>
          </cell>
          <cell r="AM1408" t="str">
            <v>Q</v>
          </cell>
          <cell r="AN1408" t="str">
            <v>M0</v>
          </cell>
          <cell r="AO1408" t="str">
            <v>Active(Model)</v>
          </cell>
          <cell r="AP1408" t="str">
            <v/>
          </cell>
          <cell r="AQ1408" t="str">
            <v/>
          </cell>
          <cell r="AR1408" t="str">
            <v>Y</v>
          </cell>
          <cell r="AS1408" t="str">
            <v/>
          </cell>
          <cell r="AT1408" t="str">
            <v>AC</v>
          </cell>
          <cell r="AU1408" t="str">
            <v>Airconditioner</v>
          </cell>
          <cell r="AV1408" t="str">
            <v>ACFS</v>
          </cell>
          <cell r="AW1408" t="str">
            <v>Fixed Single CAC</v>
          </cell>
          <cell r="AX1408" t="str">
            <v>ACFSCC</v>
          </cell>
          <cell r="AY1408" t="str">
            <v>Ceiling Cassette</v>
          </cell>
          <cell r="AZ1408" t="str">
            <v>ACFSCCCZ</v>
          </cell>
          <cell r="BA1408" t="str">
            <v>Cassette_O/D_Inverter_C/O</v>
          </cell>
        </row>
        <row r="1409">
          <cell r="E1409" t="str">
            <v>ZUUQ24GV1.EWGHEVH</v>
          </cell>
          <cell r="F1409">
            <v>95</v>
          </cell>
          <cell r="G1409">
            <v>0</v>
          </cell>
          <cell r="H1409">
            <v>0</v>
          </cell>
          <cell r="I1409">
            <v>100</v>
          </cell>
          <cell r="J1409">
            <v>0</v>
          </cell>
          <cell r="K1409">
            <v>8</v>
          </cell>
          <cell r="L1409">
            <v>0</v>
          </cell>
          <cell r="M1409">
            <v>0</v>
          </cell>
          <cell r="N1409">
            <v>1</v>
          </cell>
          <cell r="O1409">
            <v>0</v>
          </cell>
          <cell r="P1409">
            <v>1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200</v>
          </cell>
          <cell r="AF1409">
            <v>0</v>
          </cell>
          <cell r="AG1409" t="str">
            <v/>
          </cell>
          <cell r="AH1409" t="str">
            <v/>
          </cell>
          <cell r="AI1409" t="str">
            <v/>
          </cell>
          <cell r="AJ1409" t="str">
            <v/>
          </cell>
          <cell r="AK1409" t="str">
            <v>0.335972</v>
          </cell>
          <cell r="AL1409" t="str">
            <v>0</v>
          </cell>
          <cell r="AM1409" t="str">
            <v>Q</v>
          </cell>
          <cell r="AN1409" t="str">
            <v>M0</v>
          </cell>
          <cell r="AO1409" t="str">
            <v>Active(Model)</v>
          </cell>
          <cell r="AP1409" t="str">
            <v/>
          </cell>
          <cell r="AQ1409" t="str">
            <v/>
          </cell>
          <cell r="AR1409" t="str">
            <v>Y</v>
          </cell>
          <cell r="AS1409" t="str">
            <v/>
          </cell>
          <cell r="AT1409" t="str">
            <v>AC</v>
          </cell>
          <cell r="AU1409" t="str">
            <v>Airconditioner</v>
          </cell>
          <cell r="AV1409" t="str">
            <v>ACFS</v>
          </cell>
          <cell r="AW1409" t="str">
            <v>Fixed Single CAC</v>
          </cell>
          <cell r="AX1409" t="str">
            <v>ACFSCU</v>
          </cell>
          <cell r="AY1409" t="str">
            <v>Universal_O/D</v>
          </cell>
          <cell r="AZ1409" t="str">
            <v>ACFSCUCO</v>
          </cell>
          <cell r="BA1409" t="str">
            <v>Universal O/D_Inverter_C/O</v>
          </cell>
        </row>
        <row r="1410">
          <cell r="E1410" t="str">
            <v>ZUUQ30GV1.EWGHEVH</v>
          </cell>
          <cell r="F1410">
            <v>38</v>
          </cell>
          <cell r="G1410">
            <v>0</v>
          </cell>
          <cell r="H1410">
            <v>0</v>
          </cell>
          <cell r="I1410">
            <v>43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  <cell r="AF1410">
            <v>0</v>
          </cell>
          <cell r="AG1410" t="str">
            <v/>
          </cell>
          <cell r="AH1410" t="str">
            <v/>
          </cell>
          <cell r="AI1410" t="str">
            <v/>
          </cell>
          <cell r="AJ1410" t="str">
            <v/>
          </cell>
          <cell r="AK1410" t="str">
            <v>0.335972</v>
          </cell>
          <cell r="AL1410" t="str">
            <v>0</v>
          </cell>
          <cell r="AM1410" t="str">
            <v>Q</v>
          </cell>
          <cell r="AN1410" t="str">
            <v>M0</v>
          </cell>
          <cell r="AO1410" t="str">
            <v>Active(Model)</v>
          </cell>
          <cell r="AP1410" t="str">
            <v/>
          </cell>
          <cell r="AQ1410" t="str">
            <v/>
          </cell>
          <cell r="AR1410" t="str">
            <v>Y</v>
          </cell>
          <cell r="AS1410" t="str">
            <v/>
          </cell>
          <cell r="AT1410" t="str">
            <v>AC</v>
          </cell>
          <cell r="AU1410" t="str">
            <v>Airconditioner</v>
          </cell>
          <cell r="AV1410" t="str">
            <v>ACFS</v>
          </cell>
          <cell r="AW1410" t="str">
            <v>Fixed Single CAC</v>
          </cell>
          <cell r="AX1410" t="str">
            <v>ACFSCU</v>
          </cell>
          <cell r="AY1410" t="str">
            <v>Universal_O/D</v>
          </cell>
          <cell r="AZ1410" t="str">
            <v>ACFSCUCO</v>
          </cell>
          <cell r="BA1410" t="str">
            <v>Universal O/D_Inverter_C/O</v>
          </cell>
        </row>
        <row r="1411">
          <cell r="E1411" t="str">
            <v>ZUUQ36GE1.EWGHEVH</v>
          </cell>
          <cell r="F1411">
            <v>35</v>
          </cell>
          <cell r="G1411">
            <v>0</v>
          </cell>
          <cell r="H1411">
            <v>0</v>
          </cell>
          <cell r="I1411">
            <v>35</v>
          </cell>
          <cell r="J1411">
            <v>0</v>
          </cell>
          <cell r="K1411">
            <v>3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 t="str">
            <v/>
          </cell>
          <cell r="AH1411" t="str">
            <v/>
          </cell>
          <cell r="AI1411" t="str">
            <v/>
          </cell>
          <cell r="AJ1411" t="str">
            <v/>
          </cell>
          <cell r="AK1411" t="str">
            <v>0.335972</v>
          </cell>
          <cell r="AL1411" t="str">
            <v>0</v>
          </cell>
          <cell r="AM1411" t="str">
            <v>Q</v>
          </cell>
          <cell r="AN1411" t="str">
            <v>M0</v>
          </cell>
          <cell r="AO1411" t="str">
            <v>Active(Model)</v>
          </cell>
          <cell r="AP1411" t="str">
            <v/>
          </cell>
          <cell r="AQ1411" t="str">
            <v/>
          </cell>
          <cell r="AR1411" t="str">
            <v>Y</v>
          </cell>
          <cell r="AS1411" t="str">
            <v/>
          </cell>
          <cell r="AT1411" t="str">
            <v>AC</v>
          </cell>
          <cell r="AU1411" t="str">
            <v>Airconditioner</v>
          </cell>
          <cell r="AV1411" t="str">
            <v>ACFS</v>
          </cell>
          <cell r="AW1411" t="str">
            <v>Fixed Single CAC</v>
          </cell>
          <cell r="AX1411" t="str">
            <v>ACFSCU</v>
          </cell>
          <cell r="AY1411" t="str">
            <v>Universal_O/D</v>
          </cell>
          <cell r="AZ1411" t="str">
            <v>ACFSCUCO</v>
          </cell>
          <cell r="BA1411" t="str">
            <v>Universal O/D_Inverter_C/O</v>
          </cell>
        </row>
        <row r="1412">
          <cell r="E1412" t="str">
            <v>ZUUQ36GV1.EWGHEVH</v>
          </cell>
          <cell r="F1412">
            <v>16</v>
          </cell>
          <cell r="G1412">
            <v>0</v>
          </cell>
          <cell r="H1412">
            <v>0</v>
          </cell>
          <cell r="I1412">
            <v>19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 t="str">
            <v/>
          </cell>
          <cell r="AH1412" t="str">
            <v/>
          </cell>
          <cell r="AI1412" t="str">
            <v/>
          </cell>
          <cell r="AJ1412" t="str">
            <v/>
          </cell>
          <cell r="AK1412" t="str">
            <v>0.482446</v>
          </cell>
          <cell r="AL1412" t="str">
            <v>0</v>
          </cell>
          <cell r="AM1412" t="str">
            <v>Q</v>
          </cell>
          <cell r="AN1412" t="str">
            <v>M0</v>
          </cell>
          <cell r="AO1412" t="str">
            <v>Active(Model)</v>
          </cell>
          <cell r="AP1412" t="str">
            <v/>
          </cell>
          <cell r="AQ1412" t="str">
            <v/>
          </cell>
          <cell r="AR1412" t="str">
            <v>Y</v>
          </cell>
          <cell r="AS1412" t="str">
            <v/>
          </cell>
          <cell r="AT1412" t="str">
            <v>AC</v>
          </cell>
          <cell r="AU1412" t="str">
            <v>Airconditioner</v>
          </cell>
          <cell r="AV1412" t="str">
            <v>ACFS</v>
          </cell>
          <cell r="AW1412" t="str">
            <v>Fixed Single CAC</v>
          </cell>
          <cell r="AX1412" t="str">
            <v>ACFSCU</v>
          </cell>
          <cell r="AY1412" t="str">
            <v>Universal_O/D</v>
          </cell>
          <cell r="AZ1412" t="str">
            <v>ACFSCUCO</v>
          </cell>
          <cell r="BA1412" t="str">
            <v>Universal O/D_Inverter_C/O</v>
          </cell>
        </row>
        <row r="1413">
          <cell r="E1413" t="str">
            <v>ZUUQ36LV1.EWGHEVH</v>
          </cell>
          <cell r="F1413">
            <v>17</v>
          </cell>
          <cell r="G1413">
            <v>0</v>
          </cell>
          <cell r="H1413">
            <v>0</v>
          </cell>
          <cell r="I1413">
            <v>61</v>
          </cell>
          <cell r="J1413">
            <v>1</v>
          </cell>
          <cell r="K1413">
            <v>3</v>
          </cell>
          <cell r="L1413">
            <v>16</v>
          </cell>
          <cell r="M1413">
            <v>5</v>
          </cell>
          <cell r="N1413">
            <v>0</v>
          </cell>
          <cell r="O1413">
            <v>0</v>
          </cell>
          <cell r="P1413">
            <v>5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7</v>
          </cell>
          <cell r="AF1413">
            <v>0</v>
          </cell>
          <cell r="AG1413" t="str">
            <v/>
          </cell>
          <cell r="AH1413" t="str">
            <v/>
          </cell>
          <cell r="AI1413" t="str">
            <v/>
          </cell>
          <cell r="AJ1413" t="str">
            <v/>
          </cell>
          <cell r="AK1413" t="str">
            <v>0.482446</v>
          </cell>
          <cell r="AL1413" t="str">
            <v>0</v>
          </cell>
          <cell r="AM1413" t="str">
            <v>Q</v>
          </cell>
          <cell r="AN1413" t="str">
            <v>M0</v>
          </cell>
          <cell r="AO1413" t="str">
            <v>Active(Model)</v>
          </cell>
          <cell r="AP1413" t="str">
            <v/>
          </cell>
          <cell r="AQ1413" t="str">
            <v/>
          </cell>
          <cell r="AR1413" t="str">
            <v>Y</v>
          </cell>
          <cell r="AS1413" t="str">
            <v/>
          </cell>
          <cell r="AT1413" t="str">
            <v>AC</v>
          </cell>
          <cell r="AU1413" t="str">
            <v>Airconditioner</v>
          </cell>
          <cell r="AV1413" t="str">
            <v>ACFS</v>
          </cell>
          <cell r="AW1413" t="str">
            <v>Fixed Single CAC</v>
          </cell>
          <cell r="AX1413" t="str">
            <v>ACFSCU</v>
          </cell>
          <cell r="AY1413" t="str">
            <v>Universal_O/D</v>
          </cell>
          <cell r="AZ1413" t="str">
            <v>ACFSCUCO</v>
          </cell>
          <cell r="BA1413" t="str">
            <v>Universal O/D_Inverter_C/O</v>
          </cell>
        </row>
        <row r="1414">
          <cell r="E1414" t="str">
            <v>ZUUQ48GV1.EWGHEVH</v>
          </cell>
          <cell r="F1414">
            <v>32</v>
          </cell>
          <cell r="G1414">
            <v>0</v>
          </cell>
          <cell r="H1414">
            <v>0</v>
          </cell>
          <cell r="I1414">
            <v>46</v>
          </cell>
          <cell r="J1414">
            <v>0</v>
          </cell>
          <cell r="K1414">
            <v>1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 t="str">
            <v/>
          </cell>
          <cell r="AH1414" t="str">
            <v/>
          </cell>
          <cell r="AI1414" t="str">
            <v/>
          </cell>
          <cell r="AJ1414" t="str">
            <v/>
          </cell>
          <cell r="AK1414" t="str">
            <v>0.482446</v>
          </cell>
          <cell r="AL1414" t="str">
            <v>0</v>
          </cell>
          <cell r="AM1414" t="str">
            <v>Q</v>
          </cell>
          <cell r="AN1414" t="str">
            <v>M0</v>
          </cell>
          <cell r="AO1414" t="str">
            <v>Active(Model)</v>
          </cell>
          <cell r="AP1414" t="str">
            <v/>
          </cell>
          <cell r="AQ1414" t="str">
            <v/>
          </cell>
          <cell r="AR1414" t="str">
            <v>Y</v>
          </cell>
          <cell r="AS1414" t="str">
            <v/>
          </cell>
          <cell r="AT1414" t="str">
            <v>AC</v>
          </cell>
          <cell r="AU1414" t="str">
            <v>Airconditioner</v>
          </cell>
          <cell r="AV1414" t="str">
            <v>ACFS</v>
          </cell>
          <cell r="AW1414" t="str">
            <v>Fixed Single CAC</v>
          </cell>
          <cell r="AX1414" t="str">
            <v>ACFSCU</v>
          </cell>
          <cell r="AY1414" t="str">
            <v>Universal_O/D</v>
          </cell>
          <cell r="AZ1414" t="str">
            <v>ACFSCUCO</v>
          </cell>
          <cell r="BA1414" t="str">
            <v>Universal O/D_Inverter_C/O</v>
          </cell>
        </row>
        <row r="1415">
          <cell r="E1415" t="str">
            <v>ZUUQ48LV1.EWGHEVH</v>
          </cell>
          <cell r="F1415">
            <v>3</v>
          </cell>
          <cell r="G1415">
            <v>0</v>
          </cell>
          <cell r="H1415">
            <v>0</v>
          </cell>
          <cell r="I1415">
            <v>36</v>
          </cell>
          <cell r="J1415">
            <v>3</v>
          </cell>
          <cell r="K1415">
            <v>5</v>
          </cell>
          <cell r="L1415">
            <v>24</v>
          </cell>
          <cell r="M1415">
            <v>5</v>
          </cell>
          <cell r="N1415">
            <v>0</v>
          </cell>
          <cell r="O1415">
            <v>0</v>
          </cell>
          <cell r="P1415">
            <v>5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 t="str">
            <v/>
          </cell>
          <cell r="AH1415" t="str">
            <v/>
          </cell>
          <cell r="AI1415" t="str">
            <v/>
          </cell>
          <cell r="AJ1415" t="str">
            <v/>
          </cell>
          <cell r="AK1415" t="str">
            <v>0.482446</v>
          </cell>
          <cell r="AL1415" t="str">
            <v>0</v>
          </cell>
          <cell r="AM1415" t="str">
            <v>Q</v>
          </cell>
          <cell r="AN1415" t="str">
            <v>M0</v>
          </cell>
          <cell r="AO1415" t="str">
            <v>Active(Model)</v>
          </cell>
          <cell r="AP1415" t="str">
            <v/>
          </cell>
          <cell r="AQ1415" t="str">
            <v/>
          </cell>
          <cell r="AR1415" t="str">
            <v>Y</v>
          </cell>
          <cell r="AS1415" t="str">
            <v/>
          </cell>
          <cell r="AT1415" t="str">
            <v>AC</v>
          </cell>
          <cell r="AU1415" t="str">
            <v>Airconditioner</v>
          </cell>
          <cell r="AV1415" t="str">
            <v>ACFS</v>
          </cell>
          <cell r="AW1415" t="str">
            <v>Fixed Single CAC</v>
          </cell>
          <cell r="AX1415" t="str">
            <v>ACFSCU</v>
          </cell>
          <cell r="AY1415" t="str">
            <v>Universal_O/D</v>
          </cell>
          <cell r="AZ1415" t="str">
            <v>ACFSCUCO</v>
          </cell>
          <cell r="BA1415" t="str">
            <v>Universal O/D_Inverter_C/O</v>
          </cell>
        </row>
        <row r="1416">
          <cell r="E1416" t="str">
            <v>ZUUQ60GV1.EWGHEVH</v>
          </cell>
          <cell r="F1416">
            <v>10</v>
          </cell>
          <cell r="G1416">
            <v>0</v>
          </cell>
          <cell r="H1416">
            <v>0</v>
          </cell>
          <cell r="I1416">
            <v>10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 t="str">
            <v/>
          </cell>
          <cell r="AH1416" t="str">
            <v/>
          </cell>
          <cell r="AI1416" t="str">
            <v/>
          </cell>
          <cell r="AJ1416" t="str">
            <v/>
          </cell>
          <cell r="AK1416" t="str">
            <v>0.482446</v>
          </cell>
          <cell r="AL1416" t="str">
            <v>0</v>
          </cell>
          <cell r="AM1416" t="str">
            <v>Q</v>
          </cell>
          <cell r="AN1416" t="str">
            <v>M0</v>
          </cell>
          <cell r="AO1416" t="str">
            <v>Active(Model)</v>
          </cell>
          <cell r="AP1416" t="str">
            <v/>
          </cell>
          <cell r="AQ1416" t="str">
            <v/>
          </cell>
          <cell r="AR1416" t="str">
            <v>Y</v>
          </cell>
          <cell r="AS1416" t="str">
            <v/>
          </cell>
          <cell r="AT1416" t="str">
            <v>AC</v>
          </cell>
          <cell r="AU1416" t="str">
            <v>Airconditioner</v>
          </cell>
          <cell r="AV1416" t="str">
            <v>ACFS</v>
          </cell>
          <cell r="AW1416" t="str">
            <v>Fixed Single CAC</v>
          </cell>
          <cell r="AX1416" t="str">
            <v>ACFSCU</v>
          </cell>
          <cell r="AY1416" t="str">
            <v>Universal_O/D</v>
          </cell>
          <cell r="AZ1416" t="str">
            <v>ACFSCUCO</v>
          </cell>
          <cell r="BA1416" t="str">
            <v>Universal O/D_Inverter_C/O</v>
          </cell>
        </row>
        <row r="1417">
          <cell r="E1417" t="str">
            <v>ZUUQ60LV1.EWGHEVH</v>
          </cell>
          <cell r="F1417">
            <v>1</v>
          </cell>
          <cell r="G1417">
            <v>0</v>
          </cell>
          <cell r="H1417">
            <v>0</v>
          </cell>
          <cell r="I1417">
            <v>14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 t="str">
            <v/>
          </cell>
          <cell r="AH1417" t="str">
            <v/>
          </cell>
          <cell r="AI1417" t="str">
            <v/>
          </cell>
          <cell r="AJ1417" t="str">
            <v/>
          </cell>
          <cell r="AK1417" t="str">
            <v>0.482446</v>
          </cell>
          <cell r="AL1417" t="str">
            <v>0</v>
          </cell>
          <cell r="AM1417" t="str">
            <v>Q</v>
          </cell>
          <cell r="AN1417" t="str">
            <v>M0</v>
          </cell>
          <cell r="AO1417" t="str">
            <v>Active(Model)</v>
          </cell>
          <cell r="AP1417" t="str">
            <v/>
          </cell>
          <cell r="AQ1417" t="str">
            <v/>
          </cell>
          <cell r="AR1417" t="str">
            <v>Y</v>
          </cell>
          <cell r="AS1417" t="str">
            <v/>
          </cell>
          <cell r="AT1417" t="str">
            <v>AC</v>
          </cell>
          <cell r="AU1417" t="str">
            <v>Airconditioner</v>
          </cell>
          <cell r="AV1417" t="str">
            <v>ACFS</v>
          </cell>
          <cell r="AW1417" t="str">
            <v>Fixed Single CAC</v>
          </cell>
          <cell r="AX1417" t="str">
            <v>ACFSCU</v>
          </cell>
          <cell r="AY1417" t="str">
            <v>Universal_O/D</v>
          </cell>
          <cell r="AZ1417" t="str">
            <v>ACFSCUCO</v>
          </cell>
          <cell r="BA1417" t="str">
            <v>Universal O/D_Inverter_C/O</v>
          </cell>
        </row>
        <row r="1418">
          <cell r="E1418" t="str">
            <v>ZUUW09GV1.EWGHEVH</v>
          </cell>
          <cell r="F1418">
            <v>25</v>
          </cell>
          <cell r="G1418">
            <v>0</v>
          </cell>
          <cell r="H1418">
            <v>0</v>
          </cell>
          <cell r="I1418">
            <v>25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 t="str">
            <v/>
          </cell>
          <cell r="AH1418" t="str">
            <v/>
          </cell>
          <cell r="AI1418" t="str">
            <v/>
          </cell>
          <cell r="AJ1418" t="str">
            <v/>
          </cell>
          <cell r="AK1418" t="str">
            <v>0.143967</v>
          </cell>
          <cell r="AL1418" t="str">
            <v>0</v>
          </cell>
          <cell r="AM1418" t="str">
            <v>Q</v>
          </cell>
          <cell r="AN1418" t="str">
            <v>M0</v>
          </cell>
          <cell r="AO1418" t="str">
            <v>Active(Model)</v>
          </cell>
          <cell r="AP1418" t="str">
            <v/>
          </cell>
          <cell r="AQ1418" t="str">
            <v/>
          </cell>
          <cell r="AR1418" t="str">
            <v>Y</v>
          </cell>
          <cell r="AS1418" t="str">
            <v/>
          </cell>
          <cell r="AT1418" t="str">
            <v>AC</v>
          </cell>
          <cell r="AU1418" t="str">
            <v>Airconditioner</v>
          </cell>
          <cell r="AV1418" t="str">
            <v>ACFS</v>
          </cell>
          <cell r="AW1418" t="str">
            <v>Fixed Single CAC</v>
          </cell>
          <cell r="AX1418" t="str">
            <v>ACFSCU</v>
          </cell>
          <cell r="AY1418" t="str">
            <v>Universal_O/D</v>
          </cell>
          <cell r="AZ1418" t="str">
            <v>ACFSCUCW</v>
          </cell>
          <cell r="BA1418" t="str">
            <v>Universal O/D_Inverter_H/P</v>
          </cell>
        </row>
        <row r="1419">
          <cell r="E1419" t="str">
            <v>ZUUW12GV1.EWGHEVH</v>
          </cell>
          <cell r="F1419">
            <v>14</v>
          </cell>
          <cell r="G1419">
            <v>0</v>
          </cell>
          <cell r="H1419">
            <v>0</v>
          </cell>
          <cell r="I1419">
            <v>14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 t="str">
            <v/>
          </cell>
          <cell r="AH1419" t="str">
            <v/>
          </cell>
          <cell r="AI1419" t="str">
            <v/>
          </cell>
          <cell r="AJ1419" t="str">
            <v/>
          </cell>
          <cell r="AK1419" t="str">
            <v>0.143967</v>
          </cell>
          <cell r="AL1419" t="str">
            <v>0</v>
          </cell>
          <cell r="AM1419" t="str">
            <v>Q</v>
          </cell>
          <cell r="AN1419" t="str">
            <v>M0</v>
          </cell>
          <cell r="AO1419" t="str">
            <v>Active(Model)</v>
          </cell>
          <cell r="AP1419" t="str">
            <v/>
          </cell>
          <cell r="AQ1419" t="str">
            <v/>
          </cell>
          <cell r="AR1419" t="str">
            <v>Y</v>
          </cell>
          <cell r="AS1419" t="str">
            <v/>
          </cell>
          <cell r="AT1419" t="str">
            <v>AC</v>
          </cell>
          <cell r="AU1419" t="str">
            <v>Airconditioner</v>
          </cell>
          <cell r="AV1419" t="str">
            <v>ACFS</v>
          </cell>
          <cell r="AW1419" t="str">
            <v>Fixed Single CAC</v>
          </cell>
          <cell r="AX1419" t="str">
            <v>ACFSCU</v>
          </cell>
          <cell r="AY1419" t="str">
            <v>Universal_O/D</v>
          </cell>
          <cell r="AZ1419" t="str">
            <v>ACFSCUCW</v>
          </cell>
          <cell r="BA1419" t="str">
            <v>Universal O/D_Inverter_H/P</v>
          </cell>
        </row>
        <row r="1420">
          <cell r="E1420" t="str">
            <v>ZUUW18GV1.EWGHEVH</v>
          </cell>
          <cell r="F1420">
            <v>27</v>
          </cell>
          <cell r="G1420">
            <v>0</v>
          </cell>
          <cell r="H1420">
            <v>0</v>
          </cell>
          <cell r="I1420">
            <v>27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 t="str">
            <v/>
          </cell>
          <cell r="AH1420" t="str">
            <v/>
          </cell>
          <cell r="AI1420" t="str">
            <v/>
          </cell>
          <cell r="AJ1420" t="str">
            <v/>
          </cell>
          <cell r="AK1420" t="str">
            <v>0.212597</v>
          </cell>
          <cell r="AL1420" t="str">
            <v>0</v>
          </cell>
          <cell r="AM1420" t="str">
            <v>Q</v>
          </cell>
          <cell r="AN1420" t="str">
            <v>M0</v>
          </cell>
          <cell r="AO1420" t="str">
            <v>Active(Model)</v>
          </cell>
          <cell r="AP1420" t="str">
            <v/>
          </cell>
          <cell r="AQ1420" t="str">
            <v/>
          </cell>
          <cell r="AR1420" t="str">
            <v>Y</v>
          </cell>
          <cell r="AS1420" t="str">
            <v/>
          </cell>
          <cell r="AT1420" t="str">
            <v>AC</v>
          </cell>
          <cell r="AU1420" t="str">
            <v>Airconditioner</v>
          </cell>
          <cell r="AV1420" t="str">
            <v>ACFS</v>
          </cell>
          <cell r="AW1420" t="str">
            <v>Fixed Single CAC</v>
          </cell>
          <cell r="AX1420" t="str">
            <v>ACFSCU</v>
          </cell>
          <cell r="AY1420" t="str">
            <v>Universal_O/D</v>
          </cell>
          <cell r="AZ1420" t="str">
            <v>ACFSCUCW</v>
          </cell>
          <cell r="BA1420" t="str">
            <v>Universal O/D_Inverter_H/P</v>
          </cell>
        </row>
        <row r="1421">
          <cell r="E1421" t="str">
            <v>ZUUW24GV1.EWGHEVH</v>
          </cell>
          <cell r="F1421">
            <v>30</v>
          </cell>
          <cell r="G1421">
            <v>0</v>
          </cell>
          <cell r="H1421">
            <v>0</v>
          </cell>
          <cell r="I1421">
            <v>30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 t="str">
            <v/>
          </cell>
          <cell r="AH1421" t="str">
            <v/>
          </cell>
          <cell r="AI1421" t="str">
            <v/>
          </cell>
          <cell r="AJ1421" t="str">
            <v/>
          </cell>
          <cell r="AK1421" t="str">
            <v>0.335972</v>
          </cell>
          <cell r="AL1421" t="str">
            <v>0</v>
          </cell>
          <cell r="AM1421" t="str">
            <v>Q</v>
          </cell>
          <cell r="AN1421" t="str">
            <v>M0</v>
          </cell>
          <cell r="AO1421" t="str">
            <v>Active(Model)</v>
          </cell>
          <cell r="AP1421" t="str">
            <v/>
          </cell>
          <cell r="AQ1421" t="str">
            <v/>
          </cell>
          <cell r="AR1421" t="str">
            <v>Y</v>
          </cell>
          <cell r="AS1421" t="str">
            <v/>
          </cell>
          <cell r="AT1421" t="str">
            <v>AC</v>
          </cell>
          <cell r="AU1421" t="str">
            <v>Airconditioner</v>
          </cell>
          <cell r="AV1421" t="str">
            <v>ACFS</v>
          </cell>
          <cell r="AW1421" t="str">
            <v>Fixed Single CAC</v>
          </cell>
          <cell r="AX1421" t="str">
            <v>ACFSCU</v>
          </cell>
          <cell r="AY1421" t="str">
            <v>Universal_O/D</v>
          </cell>
          <cell r="AZ1421" t="str">
            <v>ACFSCUCW</v>
          </cell>
          <cell r="BA1421" t="str">
            <v>Universal O/D_Inverter_H/P</v>
          </cell>
        </row>
        <row r="1422">
          <cell r="E1422" t="str">
            <v>ZUUW30GV1.EWGHEVH</v>
          </cell>
          <cell r="F1422">
            <v>11</v>
          </cell>
          <cell r="G1422">
            <v>0</v>
          </cell>
          <cell r="H1422">
            <v>0</v>
          </cell>
          <cell r="I1422">
            <v>11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 t="str">
            <v/>
          </cell>
          <cell r="AH1422" t="str">
            <v/>
          </cell>
          <cell r="AI1422" t="str">
            <v/>
          </cell>
          <cell r="AJ1422" t="str">
            <v/>
          </cell>
          <cell r="AK1422" t="str">
            <v>0.335972</v>
          </cell>
          <cell r="AL1422" t="str">
            <v>0</v>
          </cell>
          <cell r="AM1422" t="str">
            <v>Q</v>
          </cell>
          <cell r="AN1422" t="str">
            <v>M0</v>
          </cell>
          <cell r="AO1422" t="str">
            <v>Active(Model)</v>
          </cell>
          <cell r="AP1422" t="str">
            <v/>
          </cell>
          <cell r="AQ1422" t="str">
            <v/>
          </cell>
          <cell r="AR1422" t="str">
            <v>Y</v>
          </cell>
          <cell r="AS1422" t="str">
            <v/>
          </cell>
          <cell r="AT1422" t="str">
            <v>AC</v>
          </cell>
          <cell r="AU1422" t="str">
            <v>Airconditioner</v>
          </cell>
          <cell r="AV1422" t="str">
            <v>ACFS</v>
          </cell>
          <cell r="AW1422" t="str">
            <v>Fixed Single CAC</v>
          </cell>
          <cell r="AX1422" t="str">
            <v>ACFSCU</v>
          </cell>
          <cell r="AY1422" t="str">
            <v>Universal_O/D</v>
          </cell>
          <cell r="AZ1422" t="str">
            <v>ACFSCUCW</v>
          </cell>
          <cell r="BA1422" t="str">
            <v>Universal O/D_Inverter_H/P</v>
          </cell>
        </row>
        <row r="1423">
          <cell r="E1423" t="str">
            <v>ZUUW36GV1.EWGHEVH</v>
          </cell>
          <cell r="F1423">
            <v>3</v>
          </cell>
          <cell r="G1423">
            <v>0</v>
          </cell>
          <cell r="H1423">
            <v>0</v>
          </cell>
          <cell r="I1423">
            <v>3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 t="str">
            <v/>
          </cell>
          <cell r="AH1423" t="str">
            <v/>
          </cell>
          <cell r="AI1423" t="str">
            <v/>
          </cell>
          <cell r="AJ1423" t="str">
            <v/>
          </cell>
          <cell r="AK1423" t="str">
            <v>0.482446</v>
          </cell>
          <cell r="AL1423" t="str">
            <v>0</v>
          </cell>
          <cell r="AM1423" t="str">
            <v>Q</v>
          </cell>
          <cell r="AN1423" t="str">
            <v>M0</v>
          </cell>
          <cell r="AO1423" t="str">
            <v>Active(Model)</v>
          </cell>
          <cell r="AP1423" t="str">
            <v/>
          </cell>
          <cell r="AQ1423" t="str">
            <v/>
          </cell>
          <cell r="AR1423" t="str">
            <v>Y</v>
          </cell>
          <cell r="AS1423" t="str">
            <v/>
          </cell>
          <cell r="AT1423" t="str">
            <v>AC</v>
          </cell>
          <cell r="AU1423" t="str">
            <v>Airconditioner</v>
          </cell>
          <cell r="AV1423" t="str">
            <v>ACFS</v>
          </cell>
          <cell r="AW1423" t="str">
            <v>Fixed Single CAC</v>
          </cell>
          <cell r="AX1423" t="str">
            <v>ACFSCU</v>
          </cell>
          <cell r="AY1423" t="str">
            <v>Universal_O/D</v>
          </cell>
          <cell r="AZ1423" t="str">
            <v>ACFSCUCW</v>
          </cell>
          <cell r="BA1423" t="str">
            <v>Universal O/D_Inverter_H/P</v>
          </cell>
        </row>
        <row r="1424">
          <cell r="E1424" t="str">
            <v>ZUUW36LV1.EWGHEVH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2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 t="str">
            <v/>
          </cell>
          <cell r="AH1424" t="str">
            <v/>
          </cell>
          <cell r="AI1424" t="str">
            <v/>
          </cell>
          <cell r="AJ1424" t="str">
            <v/>
          </cell>
          <cell r="AK1424" t="str">
            <v>0.482446</v>
          </cell>
          <cell r="AL1424" t="str">
            <v>0</v>
          </cell>
          <cell r="AM1424" t="str">
            <v>Q</v>
          </cell>
          <cell r="AN1424" t="str">
            <v>M0</v>
          </cell>
          <cell r="AO1424" t="str">
            <v>Active(Model)</v>
          </cell>
          <cell r="AP1424" t="str">
            <v/>
          </cell>
          <cell r="AQ1424" t="str">
            <v/>
          </cell>
          <cell r="AR1424" t="str">
            <v>Y</v>
          </cell>
          <cell r="AS1424" t="str">
            <v/>
          </cell>
          <cell r="AT1424" t="str">
            <v>AC</v>
          </cell>
          <cell r="AU1424" t="str">
            <v>Airconditioner</v>
          </cell>
          <cell r="AV1424" t="str">
            <v>ACFS</v>
          </cell>
          <cell r="AW1424" t="str">
            <v>Fixed Single CAC</v>
          </cell>
          <cell r="AX1424" t="str">
            <v>ACFSCU</v>
          </cell>
          <cell r="AY1424" t="str">
            <v>Universal_O/D</v>
          </cell>
          <cell r="AZ1424" t="str">
            <v>ACFSCUCW</v>
          </cell>
          <cell r="BA1424" t="str">
            <v>Universal O/D_Inverter_H/P</v>
          </cell>
        </row>
        <row r="1425">
          <cell r="E1425" t="str">
            <v>ZUUW48GV1.EWGHEVH</v>
          </cell>
          <cell r="F1425">
            <v>7</v>
          </cell>
          <cell r="G1425">
            <v>0</v>
          </cell>
          <cell r="H1425">
            <v>0</v>
          </cell>
          <cell r="I1425">
            <v>7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 t="str">
            <v/>
          </cell>
          <cell r="AH1425" t="str">
            <v/>
          </cell>
          <cell r="AI1425" t="str">
            <v/>
          </cell>
          <cell r="AJ1425" t="str">
            <v/>
          </cell>
          <cell r="AK1425" t="str">
            <v>0.482446</v>
          </cell>
          <cell r="AL1425" t="str">
            <v>0</v>
          </cell>
          <cell r="AM1425" t="str">
            <v>Q</v>
          </cell>
          <cell r="AN1425" t="str">
            <v>M0</v>
          </cell>
          <cell r="AO1425" t="str">
            <v>Active(Model)</v>
          </cell>
          <cell r="AP1425" t="str">
            <v/>
          </cell>
          <cell r="AQ1425" t="str">
            <v/>
          </cell>
          <cell r="AR1425" t="str">
            <v>Y</v>
          </cell>
          <cell r="AS1425" t="str">
            <v/>
          </cell>
          <cell r="AT1425" t="str">
            <v>AC</v>
          </cell>
          <cell r="AU1425" t="str">
            <v>Airconditioner</v>
          </cell>
          <cell r="AV1425" t="str">
            <v>ACFS</v>
          </cell>
          <cell r="AW1425" t="str">
            <v>Fixed Single CAC</v>
          </cell>
          <cell r="AX1425" t="str">
            <v>ACFSCU</v>
          </cell>
          <cell r="AY1425" t="str">
            <v>Universal_O/D</v>
          </cell>
          <cell r="AZ1425" t="str">
            <v>ACFSCUCW</v>
          </cell>
          <cell r="BA1425" t="str">
            <v>Universal O/D_Inverter_H/P</v>
          </cell>
        </row>
        <row r="1426">
          <cell r="E1426" t="str">
            <v>ZUUW48LV1.EWGHEVH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2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 t="str">
            <v/>
          </cell>
          <cell r="AH1426" t="str">
            <v/>
          </cell>
          <cell r="AI1426" t="str">
            <v/>
          </cell>
          <cell r="AJ1426" t="str">
            <v/>
          </cell>
          <cell r="AK1426" t="str">
            <v>0.482446</v>
          </cell>
          <cell r="AL1426" t="str">
            <v>0</v>
          </cell>
          <cell r="AM1426" t="str">
            <v>Q</v>
          </cell>
          <cell r="AN1426" t="str">
            <v>M0</v>
          </cell>
          <cell r="AO1426" t="str">
            <v>Active(Model)</v>
          </cell>
          <cell r="AP1426" t="str">
            <v/>
          </cell>
          <cell r="AQ1426" t="str">
            <v/>
          </cell>
          <cell r="AR1426" t="str">
            <v>Y</v>
          </cell>
          <cell r="AS1426" t="str">
            <v/>
          </cell>
          <cell r="AT1426" t="str">
            <v>AC</v>
          </cell>
          <cell r="AU1426" t="str">
            <v>Airconditioner</v>
          </cell>
          <cell r="AV1426" t="str">
            <v>ACFS</v>
          </cell>
          <cell r="AW1426" t="str">
            <v>Fixed Single CAC</v>
          </cell>
          <cell r="AX1426" t="str">
            <v>ACFSCU</v>
          </cell>
          <cell r="AY1426" t="str">
            <v>Universal_O/D</v>
          </cell>
          <cell r="AZ1426" t="str">
            <v>ACFSCUCW</v>
          </cell>
          <cell r="BA1426" t="str">
            <v>Universal O/D_Inverter_H/P</v>
          </cell>
        </row>
        <row r="1427">
          <cell r="E1427" t="str">
            <v>100QNED86BS.ATV</v>
          </cell>
          <cell r="F1427">
            <v>2</v>
          </cell>
          <cell r="G1427">
            <v>0</v>
          </cell>
          <cell r="H1427">
            <v>0</v>
          </cell>
          <cell r="I1427">
            <v>3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 t="str">
            <v>LCDPREPLUS</v>
          </cell>
          <cell r="AH1427" t="str">
            <v>LCD_Premium Plus</v>
          </cell>
          <cell r="AI1427" t="str">
            <v/>
          </cell>
          <cell r="AJ1427" t="str">
            <v/>
          </cell>
          <cell r="AK1427" t="str">
            <v>1.103463</v>
          </cell>
          <cell r="AL1427" t="str">
            <v>2</v>
          </cell>
          <cell r="AM1427" t="str">
            <v>Q</v>
          </cell>
          <cell r="AN1427" t="str">
            <v>M0</v>
          </cell>
          <cell r="AO1427" t="str">
            <v>Active(Model)</v>
          </cell>
          <cell r="AP1427" t="str">
            <v/>
          </cell>
          <cell r="AQ1427" t="str">
            <v/>
          </cell>
          <cell r="AR1427" t="str">
            <v>Y</v>
          </cell>
          <cell r="AS1427" t="str">
            <v/>
          </cell>
          <cell r="AT1427" t="str">
            <v>TV</v>
          </cell>
          <cell r="AU1427" t="str">
            <v>TV</v>
          </cell>
          <cell r="AV1427" t="str">
            <v>TVLE</v>
          </cell>
          <cell r="AW1427" t="str">
            <v>LED LCD TV</v>
          </cell>
          <cell r="AX1427" t="str">
            <v>TVLEA0</v>
          </cell>
          <cell r="AY1427" t="str">
            <v>LED LCD TV 100</v>
          </cell>
          <cell r="AZ1427" t="str">
            <v>TVLEA0NU</v>
          </cell>
          <cell r="BA1427" t="str">
            <v>LED LCD TV 100 (UD)</v>
          </cell>
        </row>
        <row r="1428">
          <cell r="E1428" t="str">
            <v>16Z90U-G.AN55A5</v>
          </cell>
          <cell r="F1428">
            <v>15</v>
          </cell>
          <cell r="G1428">
            <v>0</v>
          </cell>
          <cell r="H1428">
            <v>0</v>
          </cell>
          <cell r="I1428">
            <v>15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3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 t="str">
            <v/>
          </cell>
          <cell r="AH1428" t="str">
            <v/>
          </cell>
          <cell r="AI1428" t="str">
            <v/>
          </cell>
          <cell r="AJ1428" t="str">
            <v/>
          </cell>
          <cell r="AK1428" t="str">
            <v>0.009458</v>
          </cell>
          <cell r="AL1428" t="str">
            <v>2</v>
          </cell>
          <cell r="AM1428" t="str">
            <v>Q</v>
          </cell>
          <cell r="AN1428" t="str">
            <v>M0</v>
          </cell>
          <cell r="AO1428" t="str">
            <v>Active(Model)</v>
          </cell>
          <cell r="AP1428" t="str">
            <v/>
          </cell>
          <cell r="AQ1428" t="str">
            <v/>
          </cell>
          <cell r="AR1428" t="str">
            <v>Y</v>
          </cell>
          <cell r="AS1428" t="str">
            <v/>
          </cell>
          <cell r="AT1428" t="str">
            <v>PC</v>
          </cell>
          <cell r="AU1428" t="str">
            <v>PC</v>
          </cell>
          <cell r="AV1428" t="str">
            <v>PCNT</v>
          </cell>
          <cell r="AW1428" t="str">
            <v>Notebook PC</v>
          </cell>
          <cell r="AX1428" t="str">
            <v>PCNTNN</v>
          </cell>
          <cell r="AY1428" t="str">
            <v>New Notebook</v>
          </cell>
          <cell r="AZ1428" t="str">
            <v>PCNTNNBC</v>
          </cell>
          <cell r="BA1428" t="str">
            <v>B2C</v>
          </cell>
        </row>
        <row r="1429">
          <cell r="E1429" t="str">
            <v>22U401A-B.ATVQ</v>
          </cell>
          <cell r="F1429">
            <v>49</v>
          </cell>
          <cell r="G1429">
            <v>0</v>
          </cell>
          <cell r="H1429">
            <v>0</v>
          </cell>
          <cell r="I1429">
            <v>49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49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 t="str">
            <v/>
          </cell>
          <cell r="AH1429" t="str">
            <v/>
          </cell>
          <cell r="AI1429" t="str">
            <v/>
          </cell>
          <cell r="AJ1429" t="str">
            <v/>
          </cell>
          <cell r="AK1429" t="str">
            <v>0.026855</v>
          </cell>
          <cell r="AL1429" t="str">
            <v>2</v>
          </cell>
          <cell r="AM1429" t="str">
            <v>Q</v>
          </cell>
          <cell r="AN1429" t="str">
            <v>M0</v>
          </cell>
          <cell r="AO1429" t="str">
            <v>Active(Model)</v>
          </cell>
          <cell r="AP1429" t="str">
            <v/>
          </cell>
          <cell r="AQ1429" t="str">
            <v/>
          </cell>
          <cell r="AR1429" t="str">
            <v>Y</v>
          </cell>
          <cell r="AS1429" t="str">
            <v/>
          </cell>
          <cell r="AT1429" t="str">
            <v>MN</v>
          </cell>
          <cell r="AU1429" t="str">
            <v>Monitor</v>
          </cell>
          <cell r="AV1429" t="str">
            <v>MNLC</v>
          </cell>
          <cell r="AW1429" t="str">
            <v>LCD Monitor</v>
          </cell>
          <cell r="AX1429" t="str">
            <v>MNLC22</v>
          </cell>
          <cell r="AY1429" t="str">
            <v>LCD Monitor 22</v>
          </cell>
          <cell r="AZ1429" t="str">
            <v>MNLC22NO</v>
          </cell>
          <cell r="BA1429" t="str">
            <v>LCD Monitor 22 (OS, Wide)</v>
          </cell>
        </row>
        <row r="1430">
          <cell r="E1430" t="str">
            <v>24BA400-B.ATV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2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 t="str">
            <v/>
          </cell>
          <cell r="AH1430" t="str">
            <v/>
          </cell>
          <cell r="AI1430" t="str">
            <v/>
          </cell>
          <cell r="AJ1430" t="str">
            <v/>
          </cell>
          <cell r="AK1430" t="str">
            <v>0.036836</v>
          </cell>
          <cell r="AL1430" t="str">
            <v>2</v>
          </cell>
          <cell r="AM1430" t="str">
            <v>Q</v>
          </cell>
          <cell r="AN1430" t="str">
            <v>M0</v>
          </cell>
          <cell r="AO1430" t="str">
            <v>Active(Model)</v>
          </cell>
          <cell r="AP1430" t="str">
            <v/>
          </cell>
          <cell r="AQ1430" t="str">
            <v/>
          </cell>
          <cell r="AR1430" t="str">
            <v>Y</v>
          </cell>
          <cell r="AS1430" t="str">
            <v/>
          </cell>
          <cell r="AT1430" t="str">
            <v>MN</v>
          </cell>
          <cell r="AU1430" t="str">
            <v>Monitor</v>
          </cell>
          <cell r="AV1430" t="str">
            <v>MNLC</v>
          </cell>
          <cell r="AW1430" t="str">
            <v>LCD Monitor</v>
          </cell>
          <cell r="AX1430" t="str">
            <v>MNLC24</v>
          </cell>
          <cell r="AY1430" t="str">
            <v>LCD Monitor 24</v>
          </cell>
          <cell r="AZ1430" t="str">
            <v>MNLC24BI</v>
          </cell>
          <cell r="BA1430" t="str">
            <v>LCD Monitor 24 (B2B Inhouse)</v>
          </cell>
        </row>
        <row r="1431">
          <cell r="E1431" t="str">
            <v>24G411A-B.ATV</v>
          </cell>
          <cell r="F1431">
            <v>1</v>
          </cell>
          <cell r="G1431">
            <v>0</v>
          </cell>
          <cell r="H1431">
            <v>0</v>
          </cell>
          <cell r="I1431">
            <v>2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 t="str">
            <v/>
          </cell>
          <cell r="AH1431" t="str">
            <v/>
          </cell>
          <cell r="AI1431" t="str">
            <v/>
          </cell>
          <cell r="AJ1431" t="str">
            <v/>
          </cell>
          <cell r="AK1431" t="str">
            <v>0.031986</v>
          </cell>
          <cell r="AL1431" t="str">
            <v>2</v>
          </cell>
          <cell r="AM1431" t="str">
            <v>Q</v>
          </cell>
          <cell r="AN1431" t="str">
            <v>M0</v>
          </cell>
          <cell r="AO1431" t="str">
            <v>Active(Model)</v>
          </cell>
          <cell r="AP1431" t="str">
            <v/>
          </cell>
          <cell r="AQ1431" t="str">
            <v/>
          </cell>
          <cell r="AR1431" t="str">
            <v>Y</v>
          </cell>
          <cell r="AS1431" t="str">
            <v/>
          </cell>
          <cell r="AT1431" t="str">
            <v>MN</v>
          </cell>
          <cell r="AU1431" t="str">
            <v>Monitor</v>
          </cell>
          <cell r="AV1431" t="str">
            <v>MNLC</v>
          </cell>
          <cell r="AW1431" t="str">
            <v>LCD Monitor</v>
          </cell>
          <cell r="AX1431" t="str">
            <v>MNLC24</v>
          </cell>
          <cell r="AY1431" t="str">
            <v>LCD Monitor 24</v>
          </cell>
          <cell r="AZ1431" t="str">
            <v>MNLC24NW</v>
          </cell>
          <cell r="BA1431" t="str">
            <v>LCD Monitor 24  (WIDE)</v>
          </cell>
        </row>
        <row r="1432">
          <cell r="E1432" t="str">
            <v>24G411B-B.ATV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1</v>
          </cell>
          <cell r="L1432">
            <v>0</v>
          </cell>
          <cell r="M1432">
            <v>0</v>
          </cell>
          <cell r="N1432">
            <v>0</v>
          </cell>
          <cell r="O1432">
            <v>3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 t="str">
            <v/>
          </cell>
          <cell r="AH1432" t="str">
            <v/>
          </cell>
          <cell r="AI1432" t="str">
            <v/>
          </cell>
          <cell r="AJ1432" t="str">
            <v/>
          </cell>
          <cell r="AK1432" t="str">
            <v>0.031986</v>
          </cell>
          <cell r="AL1432" t="str">
            <v>2</v>
          </cell>
          <cell r="AM1432" t="str">
            <v>Q</v>
          </cell>
          <cell r="AN1432" t="str">
            <v>M0</v>
          </cell>
          <cell r="AO1432" t="str">
            <v>Active(Model)</v>
          </cell>
          <cell r="AP1432" t="str">
            <v/>
          </cell>
          <cell r="AQ1432" t="str">
            <v/>
          </cell>
          <cell r="AR1432" t="str">
            <v>Y</v>
          </cell>
          <cell r="AS1432" t="str">
            <v/>
          </cell>
          <cell r="AT1432" t="str">
            <v>MN</v>
          </cell>
          <cell r="AU1432" t="str">
            <v>Monitor</v>
          </cell>
          <cell r="AV1432" t="str">
            <v>MNLC</v>
          </cell>
          <cell r="AW1432" t="str">
            <v>LCD Monitor</v>
          </cell>
          <cell r="AX1432" t="str">
            <v>MNLC24</v>
          </cell>
          <cell r="AY1432" t="str">
            <v>LCD Monitor 24</v>
          </cell>
          <cell r="AZ1432" t="str">
            <v>MNLC24NW</v>
          </cell>
          <cell r="BA1432" t="str">
            <v>LCD Monitor 24  (WIDE)</v>
          </cell>
        </row>
        <row r="1433">
          <cell r="E1433" t="str">
            <v>25G523B-B.ATV</v>
          </cell>
          <cell r="F1433">
            <v>2</v>
          </cell>
          <cell r="G1433">
            <v>0</v>
          </cell>
          <cell r="H1433">
            <v>0</v>
          </cell>
          <cell r="I1433">
            <v>5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1</v>
          </cell>
          <cell r="O1433">
            <v>0</v>
          </cell>
          <cell r="P1433">
            <v>1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 t="str">
            <v/>
          </cell>
          <cell r="AH1433" t="str">
            <v/>
          </cell>
          <cell r="AI1433" t="str">
            <v/>
          </cell>
          <cell r="AJ1433" t="str">
            <v/>
          </cell>
          <cell r="AK1433" t="str">
            <v>0.033791</v>
          </cell>
          <cell r="AL1433" t="str">
            <v>2</v>
          </cell>
          <cell r="AM1433" t="str">
            <v>Q</v>
          </cell>
          <cell r="AN1433" t="str">
            <v>M0</v>
          </cell>
          <cell r="AO1433" t="str">
            <v>Active(Model)</v>
          </cell>
          <cell r="AP1433" t="str">
            <v/>
          </cell>
          <cell r="AQ1433" t="str">
            <v/>
          </cell>
          <cell r="AR1433" t="str">
            <v>Y</v>
          </cell>
          <cell r="AS1433" t="str">
            <v/>
          </cell>
          <cell r="AT1433" t="str">
            <v>MN</v>
          </cell>
          <cell r="AU1433" t="str">
            <v>Monitor</v>
          </cell>
          <cell r="AV1433" t="str">
            <v>MNLC</v>
          </cell>
          <cell r="AW1433" t="str">
            <v>LCD Monitor</v>
          </cell>
          <cell r="AX1433" t="str">
            <v>MNLC25</v>
          </cell>
          <cell r="AY1433" t="str">
            <v>LCD Monitor 25</v>
          </cell>
          <cell r="AZ1433" t="str">
            <v>MNLC25NW</v>
          </cell>
          <cell r="BA1433" t="str">
            <v>LCD Monitor 25 (WIDE)</v>
          </cell>
        </row>
        <row r="1434">
          <cell r="E1434" t="str">
            <v>25G550B-B.ATV</v>
          </cell>
          <cell r="F1434">
            <v>3</v>
          </cell>
          <cell r="G1434">
            <v>0</v>
          </cell>
          <cell r="H1434">
            <v>0</v>
          </cell>
          <cell r="I1434">
            <v>6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 t="str">
            <v/>
          </cell>
          <cell r="AH1434" t="str">
            <v/>
          </cell>
          <cell r="AI1434" t="str">
            <v/>
          </cell>
          <cell r="AJ1434" t="str">
            <v/>
          </cell>
          <cell r="AK1434" t="str">
            <v>0.057797</v>
          </cell>
          <cell r="AL1434" t="str">
            <v>2</v>
          </cell>
          <cell r="AM1434" t="str">
            <v>Q</v>
          </cell>
          <cell r="AN1434" t="str">
            <v>M0</v>
          </cell>
          <cell r="AO1434" t="str">
            <v>Active(Model)</v>
          </cell>
          <cell r="AP1434" t="str">
            <v/>
          </cell>
          <cell r="AQ1434" t="str">
            <v/>
          </cell>
          <cell r="AR1434" t="str">
            <v>Y</v>
          </cell>
          <cell r="AS1434" t="str">
            <v/>
          </cell>
          <cell r="AT1434" t="str">
            <v>MN</v>
          </cell>
          <cell r="AU1434" t="str">
            <v>Monitor</v>
          </cell>
          <cell r="AV1434" t="str">
            <v>MNLC</v>
          </cell>
          <cell r="AW1434" t="str">
            <v>LCD Monitor</v>
          </cell>
          <cell r="AX1434" t="str">
            <v>MNLC25</v>
          </cell>
          <cell r="AY1434" t="str">
            <v>LCD Monitor 25</v>
          </cell>
          <cell r="AZ1434" t="str">
            <v>MNLC25NW</v>
          </cell>
          <cell r="BA1434" t="str">
            <v>LCD Monitor 25 (WIDE)</v>
          </cell>
        </row>
        <row r="1435">
          <cell r="E1435" t="str">
            <v>27BA400-B.ATV</v>
          </cell>
          <cell r="F1435">
            <v>0</v>
          </cell>
          <cell r="G1435">
            <v>0</v>
          </cell>
          <cell r="H1435">
            <v>0</v>
          </cell>
          <cell r="I1435">
            <v>1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 t="str">
            <v/>
          </cell>
          <cell r="AH1435" t="str">
            <v/>
          </cell>
          <cell r="AI1435" t="str">
            <v/>
          </cell>
          <cell r="AJ1435" t="str">
            <v/>
          </cell>
          <cell r="AK1435" t="str">
            <v>0.044522</v>
          </cell>
          <cell r="AL1435" t="str">
            <v>2</v>
          </cell>
          <cell r="AM1435" t="str">
            <v>Q</v>
          </cell>
          <cell r="AN1435" t="str">
            <v>M0</v>
          </cell>
          <cell r="AO1435" t="str">
            <v>Active(Model)</v>
          </cell>
          <cell r="AP1435" t="str">
            <v/>
          </cell>
          <cell r="AQ1435" t="str">
            <v/>
          </cell>
          <cell r="AR1435" t="str">
            <v>Y</v>
          </cell>
          <cell r="AS1435" t="str">
            <v/>
          </cell>
          <cell r="AT1435" t="str">
            <v>MN</v>
          </cell>
          <cell r="AU1435" t="str">
            <v>Monitor</v>
          </cell>
          <cell r="AV1435" t="str">
            <v>MNLC</v>
          </cell>
          <cell r="AW1435" t="str">
            <v>LCD Monitor</v>
          </cell>
          <cell r="AX1435" t="str">
            <v>MNLC27</v>
          </cell>
          <cell r="AY1435" t="str">
            <v>LCD Monitor 27</v>
          </cell>
          <cell r="AZ1435" t="str">
            <v>MNLC27BI</v>
          </cell>
          <cell r="BA1435" t="str">
            <v>LCD Monitor 27 (B2B Inhouse)</v>
          </cell>
        </row>
        <row r="1436">
          <cell r="E1436" t="str">
            <v>27G411A-B.ATV</v>
          </cell>
          <cell r="F1436">
            <v>3</v>
          </cell>
          <cell r="G1436">
            <v>0</v>
          </cell>
          <cell r="H1436">
            <v>0</v>
          </cell>
          <cell r="I1436">
            <v>3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 t="str">
            <v/>
          </cell>
          <cell r="AH1436" t="str">
            <v/>
          </cell>
          <cell r="AI1436" t="str">
            <v/>
          </cell>
          <cell r="AJ1436" t="str">
            <v/>
          </cell>
          <cell r="AK1436" t="str">
            <v>0.041835</v>
          </cell>
          <cell r="AL1436" t="str">
            <v>2</v>
          </cell>
          <cell r="AM1436" t="str">
            <v>Q</v>
          </cell>
          <cell r="AN1436" t="str">
            <v>M0</v>
          </cell>
          <cell r="AO1436" t="str">
            <v>Active(Model)</v>
          </cell>
          <cell r="AP1436" t="str">
            <v/>
          </cell>
          <cell r="AQ1436" t="str">
            <v/>
          </cell>
          <cell r="AR1436" t="str">
            <v>Y</v>
          </cell>
          <cell r="AS1436" t="str">
            <v/>
          </cell>
          <cell r="AT1436" t="str">
            <v>MN</v>
          </cell>
          <cell r="AU1436" t="str">
            <v>Monitor</v>
          </cell>
          <cell r="AV1436" t="str">
            <v>MNLC</v>
          </cell>
          <cell r="AW1436" t="str">
            <v>LCD Monitor</v>
          </cell>
          <cell r="AX1436" t="str">
            <v>MNLC27</v>
          </cell>
          <cell r="AY1436" t="str">
            <v>LCD Monitor 27</v>
          </cell>
          <cell r="AZ1436" t="str">
            <v>MNLC27NW</v>
          </cell>
          <cell r="BA1436" t="str">
            <v>LCD Monitor 27 (Wide)</v>
          </cell>
        </row>
        <row r="1437">
          <cell r="E1437" t="str">
            <v>27G523B-B.ATV</v>
          </cell>
          <cell r="F1437">
            <v>0</v>
          </cell>
          <cell r="G1437">
            <v>0</v>
          </cell>
          <cell r="H1437">
            <v>0</v>
          </cell>
          <cell r="I1437">
            <v>1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 t="str">
            <v/>
          </cell>
          <cell r="AH1437" t="str">
            <v/>
          </cell>
          <cell r="AI1437" t="str">
            <v/>
          </cell>
          <cell r="AJ1437" t="str">
            <v/>
          </cell>
          <cell r="AK1437" t="str">
            <v>0.042441</v>
          </cell>
          <cell r="AL1437" t="str">
            <v>2</v>
          </cell>
          <cell r="AM1437" t="str">
            <v>Q</v>
          </cell>
          <cell r="AN1437" t="str">
            <v>M0</v>
          </cell>
          <cell r="AO1437" t="str">
            <v>Active(Model)</v>
          </cell>
          <cell r="AP1437" t="str">
            <v/>
          </cell>
          <cell r="AQ1437" t="str">
            <v/>
          </cell>
          <cell r="AR1437" t="str">
            <v>Y</v>
          </cell>
          <cell r="AS1437" t="str">
            <v/>
          </cell>
          <cell r="AT1437" t="str">
            <v>MN</v>
          </cell>
          <cell r="AU1437" t="str">
            <v>Monitor</v>
          </cell>
          <cell r="AV1437" t="str">
            <v>MNLC</v>
          </cell>
          <cell r="AW1437" t="str">
            <v>LCD Monitor</v>
          </cell>
          <cell r="AX1437" t="str">
            <v>MNLC27</v>
          </cell>
          <cell r="AY1437" t="str">
            <v>LCD Monitor 27</v>
          </cell>
          <cell r="AZ1437" t="str">
            <v>MNLC27NW</v>
          </cell>
          <cell r="BA1437" t="str">
            <v>LCD Monitor 27 (Wide)</v>
          </cell>
        </row>
        <row r="1438">
          <cell r="E1438" t="str">
            <v>27G550B-B.ATV</v>
          </cell>
          <cell r="F1438">
            <v>0</v>
          </cell>
          <cell r="G1438">
            <v>0</v>
          </cell>
          <cell r="H1438">
            <v>0</v>
          </cell>
          <cell r="I1438">
            <v>1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 t="str">
            <v/>
          </cell>
          <cell r="AH1438" t="str">
            <v/>
          </cell>
          <cell r="AI1438" t="str">
            <v/>
          </cell>
          <cell r="AJ1438" t="str">
            <v/>
          </cell>
          <cell r="AK1438" t="str">
            <v>0.062400</v>
          </cell>
          <cell r="AL1438" t="str">
            <v>2</v>
          </cell>
          <cell r="AM1438" t="str">
            <v>Q</v>
          </cell>
          <cell r="AN1438" t="str">
            <v>M0</v>
          </cell>
          <cell r="AO1438" t="str">
            <v>Active(Model)</v>
          </cell>
          <cell r="AP1438" t="str">
            <v/>
          </cell>
          <cell r="AQ1438" t="str">
            <v/>
          </cell>
          <cell r="AR1438" t="str">
            <v>Y</v>
          </cell>
          <cell r="AS1438" t="str">
            <v/>
          </cell>
          <cell r="AT1438" t="str">
            <v>MN</v>
          </cell>
          <cell r="AU1438" t="str">
            <v>Monitor</v>
          </cell>
          <cell r="AV1438" t="str">
            <v>MNLC</v>
          </cell>
          <cell r="AW1438" t="str">
            <v>LCD Monitor</v>
          </cell>
          <cell r="AX1438" t="str">
            <v>MNLC27</v>
          </cell>
          <cell r="AY1438" t="str">
            <v>LCD Monitor 27</v>
          </cell>
          <cell r="AZ1438" t="str">
            <v>MNLC27NW</v>
          </cell>
          <cell r="BA1438" t="str">
            <v>LCD Monitor 27 (Wide)</v>
          </cell>
        </row>
        <row r="1439">
          <cell r="E1439" t="str">
            <v>27LX6TDGA.ATV</v>
          </cell>
          <cell r="F1439">
            <v>0</v>
          </cell>
          <cell r="G1439">
            <v>0</v>
          </cell>
          <cell r="H1439">
            <v>0</v>
          </cell>
          <cell r="I1439">
            <v>2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 t="str">
            <v>LCDBASIC</v>
          </cell>
          <cell r="AH1439" t="str">
            <v>LCD_Basic</v>
          </cell>
          <cell r="AI1439" t="str">
            <v/>
          </cell>
          <cell r="AJ1439" t="str">
            <v/>
          </cell>
          <cell r="AK1439" t="str">
            <v>0.151876</v>
          </cell>
          <cell r="AL1439" t="str">
            <v>2</v>
          </cell>
          <cell r="AM1439" t="str">
            <v>Q</v>
          </cell>
          <cell r="AN1439" t="str">
            <v>M0</v>
          </cell>
          <cell r="AO1439" t="str">
            <v>Active(Model)</v>
          </cell>
          <cell r="AP1439" t="str">
            <v/>
          </cell>
          <cell r="AQ1439" t="str">
            <v/>
          </cell>
          <cell r="AR1439" t="str">
            <v>Y</v>
          </cell>
          <cell r="AS1439" t="str">
            <v/>
          </cell>
          <cell r="AT1439" t="str">
            <v>TV</v>
          </cell>
          <cell r="AU1439" t="str">
            <v>TV</v>
          </cell>
          <cell r="AV1439" t="str">
            <v>TVLS</v>
          </cell>
          <cell r="AW1439" t="str">
            <v>TV Life Style</v>
          </cell>
          <cell r="AX1439" t="str">
            <v>TVLS27</v>
          </cell>
          <cell r="AY1439" t="str">
            <v>TV Life Style 27</v>
          </cell>
          <cell r="AZ1439" t="str">
            <v>TVLS27NQ</v>
          </cell>
          <cell r="BA1439" t="str">
            <v>Life Style Display 27 (QHD)</v>
          </cell>
        </row>
        <row r="1440">
          <cell r="E1440" t="str">
            <v>27U631A-B.ATVQ</v>
          </cell>
          <cell r="F1440">
            <v>0</v>
          </cell>
          <cell r="G1440">
            <v>0</v>
          </cell>
          <cell r="H1440">
            <v>0</v>
          </cell>
          <cell r="I1440">
            <v>3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1</v>
          </cell>
          <cell r="O1440">
            <v>0</v>
          </cell>
          <cell r="P1440">
            <v>1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 t="str">
            <v/>
          </cell>
          <cell r="AH1440" t="str">
            <v/>
          </cell>
          <cell r="AI1440" t="str">
            <v/>
          </cell>
          <cell r="AJ1440" t="str">
            <v/>
          </cell>
          <cell r="AK1440" t="str">
            <v>0.043470</v>
          </cell>
          <cell r="AL1440" t="str">
            <v>2</v>
          </cell>
          <cell r="AM1440" t="str">
            <v>Q</v>
          </cell>
          <cell r="AN1440" t="str">
            <v>M0</v>
          </cell>
          <cell r="AO1440" t="str">
            <v>Active(Model)</v>
          </cell>
          <cell r="AP1440" t="str">
            <v/>
          </cell>
          <cell r="AQ1440" t="str">
            <v/>
          </cell>
          <cell r="AR1440" t="str">
            <v>Y</v>
          </cell>
          <cell r="AS1440" t="str">
            <v/>
          </cell>
          <cell r="AT1440" t="str">
            <v>MN</v>
          </cell>
          <cell r="AU1440" t="str">
            <v>Monitor</v>
          </cell>
          <cell r="AV1440" t="str">
            <v>MNLC</v>
          </cell>
          <cell r="AW1440" t="str">
            <v>LCD Monitor</v>
          </cell>
          <cell r="AX1440" t="str">
            <v>MNLC27</v>
          </cell>
          <cell r="AY1440" t="str">
            <v>LCD Monitor 27</v>
          </cell>
          <cell r="AZ1440" t="str">
            <v>MNLC27NO</v>
          </cell>
          <cell r="BA1440" t="str">
            <v>LCD Monitor 27 (OS, Wide)</v>
          </cell>
        </row>
        <row r="1441">
          <cell r="E1441" t="str">
            <v>27U711B-B.ATV</v>
          </cell>
          <cell r="F1441">
            <v>0</v>
          </cell>
          <cell r="G1441">
            <v>0</v>
          </cell>
          <cell r="H1441">
            <v>0</v>
          </cell>
          <cell r="I1441">
            <v>1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 t="str">
            <v/>
          </cell>
          <cell r="AH1441" t="str">
            <v/>
          </cell>
          <cell r="AI1441" t="str">
            <v/>
          </cell>
          <cell r="AJ1441" t="str">
            <v/>
          </cell>
          <cell r="AK1441" t="str">
            <v>0.042131</v>
          </cell>
          <cell r="AL1441" t="str">
            <v>2</v>
          </cell>
          <cell r="AM1441" t="str">
            <v>Q</v>
          </cell>
          <cell r="AN1441" t="str">
            <v>M0</v>
          </cell>
          <cell r="AO1441" t="str">
            <v>Active(Model)</v>
          </cell>
          <cell r="AP1441" t="str">
            <v/>
          </cell>
          <cell r="AQ1441" t="str">
            <v/>
          </cell>
          <cell r="AR1441" t="str">
            <v>Y</v>
          </cell>
          <cell r="AS1441" t="str">
            <v/>
          </cell>
          <cell r="AT1441" t="str">
            <v>MN</v>
          </cell>
          <cell r="AU1441" t="str">
            <v>Monitor</v>
          </cell>
          <cell r="AV1441" t="str">
            <v>MNLC</v>
          </cell>
          <cell r="AW1441" t="str">
            <v>LCD Monitor</v>
          </cell>
          <cell r="AX1441" t="str">
            <v>MNLC27</v>
          </cell>
          <cell r="AY1441" t="str">
            <v>LCD Monitor 27</v>
          </cell>
          <cell r="AZ1441" t="str">
            <v>MNLC27NW</v>
          </cell>
          <cell r="BA1441" t="str">
            <v>LCD Monitor 27 (Wide)</v>
          </cell>
        </row>
        <row r="1442">
          <cell r="E1442" t="str">
            <v>27U730B-B.ATV</v>
          </cell>
          <cell r="F1442">
            <v>0</v>
          </cell>
          <cell r="G1442">
            <v>0</v>
          </cell>
          <cell r="H1442">
            <v>0</v>
          </cell>
          <cell r="I1442">
            <v>1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 t="str">
            <v/>
          </cell>
          <cell r="AH1442" t="str">
            <v/>
          </cell>
          <cell r="AI1442" t="str">
            <v/>
          </cell>
          <cell r="AJ1442" t="str">
            <v/>
          </cell>
          <cell r="AK1442" t="str">
            <v>0.040033</v>
          </cell>
          <cell r="AL1442" t="str">
            <v>2</v>
          </cell>
          <cell r="AM1442" t="str">
            <v>Q</v>
          </cell>
          <cell r="AN1442" t="str">
            <v>M0</v>
          </cell>
          <cell r="AO1442" t="str">
            <v>Active(Model)</v>
          </cell>
          <cell r="AP1442" t="str">
            <v/>
          </cell>
          <cell r="AQ1442" t="str">
            <v/>
          </cell>
          <cell r="AR1442" t="str">
            <v>Y</v>
          </cell>
          <cell r="AS1442" t="str">
            <v/>
          </cell>
          <cell r="AT1442" t="str">
            <v>MN</v>
          </cell>
          <cell r="AU1442" t="str">
            <v>Monitor</v>
          </cell>
          <cell r="AV1442" t="str">
            <v>MNLC</v>
          </cell>
          <cell r="AW1442" t="str">
            <v>LCD Monitor</v>
          </cell>
          <cell r="AX1442" t="str">
            <v>MNLC27</v>
          </cell>
          <cell r="AY1442" t="str">
            <v>LCD Monitor 27</v>
          </cell>
          <cell r="AZ1442" t="str">
            <v>MNLC27NW</v>
          </cell>
          <cell r="BA1442" t="str">
            <v>LCD Monitor 27 (Wide)</v>
          </cell>
        </row>
        <row r="1443">
          <cell r="E1443" t="str">
            <v>29U511A-B.ATV</v>
          </cell>
          <cell r="F1443">
            <v>0</v>
          </cell>
          <cell r="G1443">
            <v>0</v>
          </cell>
          <cell r="H1443">
            <v>0</v>
          </cell>
          <cell r="I1443">
            <v>2</v>
          </cell>
          <cell r="J1443">
            <v>0</v>
          </cell>
          <cell r="K1443">
            <v>0</v>
          </cell>
          <cell r="L1443">
            <v>0</v>
          </cell>
          <cell r="M1443">
            <v>2</v>
          </cell>
          <cell r="N1443">
            <v>0</v>
          </cell>
          <cell r="O1443">
            <v>0</v>
          </cell>
          <cell r="P1443">
            <v>2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 t="str">
            <v/>
          </cell>
          <cell r="AH1443" t="str">
            <v/>
          </cell>
          <cell r="AI1443" t="str">
            <v/>
          </cell>
          <cell r="AJ1443" t="str">
            <v/>
          </cell>
          <cell r="AK1443" t="str">
            <v>0.039698</v>
          </cell>
          <cell r="AL1443" t="str">
            <v>2</v>
          </cell>
          <cell r="AM1443" t="str">
            <v>Q</v>
          </cell>
          <cell r="AN1443" t="str">
            <v>M0</v>
          </cell>
          <cell r="AO1443" t="str">
            <v>Active(Model)</v>
          </cell>
          <cell r="AP1443" t="str">
            <v/>
          </cell>
          <cell r="AQ1443" t="str">
            <v/>
          </cell>
          <cell r="AR1443" t="str">
            <v>Y</v>
          </cell>
          <cell r="AS1443" t="str">
            <v/>
          </cell>
          <cell r="AT1443" t="str">
            <v>MN</v>
          </cell>
          <cell r="AU1443" t="str">
            <v>Monitor</v>
          </cell>
          <cell r="AV1443" t="str">
            <v>MNLC</v>
          </cell>
          <cell r="AW1443" t="str">
            <v>LCD Monitor</v>
          </cell>
          <cell r="AX1443" t="str">
            <v>MNLC29</v>
          </cell>
          <cell r="AY1443" t="str">
            <v>LCD Monitor 29</v>
          </cell>
          <cell r="AZ1443" t="str">
            <v>MNLC29NW</v>
          </cell>
          <cell r="BA1443" t="str">
            <v>LCD Monitor 29 (WIDE)</v>
          </cell>
        </row>
        <row r="1444">
          <cell r="E1444" t="str">
            <v>32LB655BPSA.ATV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68</v>
          </cell>
          <cell r="L1444">
            <v>0</v>
          </cell>
          <cell r="M1444">
            <v>0</v>
          </cell>
          <cell r="N1444">
            <v>0</v>
          </cell>
          <cell r="O1444">
            <v>46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 t="str">
            <v>LCDBASIC</v>
          </cell>
          <cell r="AH1444" t="str">
            <v>LCD_Basic</v>
          </cell>
          <cell r="AI1444" t="str">
            <v/>
          </cell>
          <cell r="AJ1444" t="str">
            <v/>
          </cell>
          <cell r="AK1444" t="str">
            <v>0.046476</v>
          </cell>
          <cell r="AL1444" t="str">
            <v>2</v>
          </cell>
          <cell r="AM1444" t="str">
            <v>Q</v>
          </cell>
          <cell r="AN1444" t="str">
            <v>M0</v>
          </cell>
          <cell r="AO1444" t="str">
            <v>Active(Model)</v>
          </cell>
          <cell r="AP1444" t="str">
            <v/>
          </cell>
          <cell r="AQ1444" t="str">
            <v/>
          </cell>
          <cell r="AR1444" t="str">
            <v>Y</v>
          </cell>
          <cell r="AS1444" t="str">
            <v/>
          </cell>
          <cell r="AT1444" t="str">
            <v>TV</v>
          </cell>
          <cell r="AU1444" t="str">
            <v>TV</v>
          </cell>
          <cell r="AV1444" t="str">
            <v>TVLE</v>
          </cell>
          <cell r="AW1444" t="str">
            <v>LED LCD TV</v>
          </cell>
          <cell r="AX1444" t="str">
            <v>TVLE32</v>
          </cell>
          <cell r="AY1444" t="str">
            <v>LED LCD TV 32</v>
          </cell>
          <cell r="AZ1444" t="str">
            <v>TVLE32NX</v>
          </cell>
          <cell r="BA1444" t="str">
            <v>LED LCD TV 32 (HD)</v>
          </cell>
        </row>
        <row r="1445">
          <cell r="E1445" t="str">
            <v>32LX6BDGA.ATV</v>
          </cell>
          <cell r="F1445">
            <v>5</v>
          </cell>
          <cell r="G1445">
            <v>0</v>
          </cell>
          <cell r="H1445">
            <v>0</v>
          </cell>
          <cell r="I1445">
            <v>9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2</v>
          </cell>
          <cell r="O1445">
            <v>0</v>
          </cell>
          <cell r="P1445">
            <v>2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 t="str">
            <v>LCDBASIC</v>
          </cell>
          <cell r="AH1445" t="str">
            <v>LCD_Basic</v>
          </cell>
          <cell r="AI1445" t="str">
            <v/>
          </cell>
          <cell r="AJ1445" t="str">
            <v/>
          </cell>
          <cell r="AK1445" t="str">
            <v>0.129730</v>
          </cell>
          <cell r="AL1445" t="str">
            <v>2</v>
          </cell>
          <cell r="AM1445" t="str">
            <v>Q</v>
          </cell>
          <cell r="AN1445" t="str">
            <v>M0</v>
          </cell>
          <cell r="AO1445" t="str">
            <v>Active(Model)</v>
          </cell>
          <cell r="AP1445" t="str">
            <v/>
          </cell>
          <cell r="AQ1445" t="str">
            <v/>
          </cell>
          <cell r="AR1445" t="str">
            <v>Y</v>
          </cell>
          <cell r="AS1445" t="str">
            <v/>
          </cell>
          <cell r="AT1445" t="str">
            <v>TV</v>
          </cell>
          <cell r="AU1445" t="str">
            <v>TV</v>
          </cell>
          <cell r="AV1445" t="str">
            <v>TVLS</v>
          </cell>
          <cell r="AW1445" t="str">
            <v>TV Life Style</v>
          </cell>
          <cell r="AX1445" t="str">
            <v>TVLS32</v>
          </cell>
          <cell r="AY1445" t="str">
            <v>TV Life Style 32</v>
          </cell>
          <cell r="AZ1445" t="str">
            <v>TVLS32NU</v>
          </cell>
          <cell r="BA1445" t="str">
            <v>Life Style Display 32 (UD)</v>
          </cell>
        </row>
        <row r="1446">
          <cell r="E1446" t="str">
            <v>32U889SA-W.ATV</v>
          </cell>
          <cell r="F1446">
            <v>1</v>
          </cell>
          <cell r="G1446">
            <v>0</v>
          </cell>
          <cell r="H1446">
            <v>0</v>
          </cell>
          <cell r="I1446">
            <v>3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 t="str">
            <v/>
          </cell>
          <cell r="AH1446" t="str">
            <v/>
          </cell>
          <cell r="AI1446" t="str">
            <v/>
          </cell>
          <cell r="AJ1446" t="str">
            <v/>
          </cell>
          <cell r="AK1446" t="str">
            <v>0.255753</v>
          </cell>
          <cell r="AL1446" t="str">
            <v>2</v>
          </cell>
          <cell r="AM1446" t="str">
            <v>Q</v>
          </cell>
          <cell r="AN1446" t="str">
            <v>M0</v>
          </cell>
          <cell r="AO1446" t="str">
            <v>Active(Model)</v>
          </cell>
          <cell r="AP1446" t="str">
            <v/>
          </cell>
          <cell r="AQ1446" t="str">
            <v/>
          </cell>
          <cell r="AR1446" t="str">
            <v>Y</v>
          </cell>
          <cell r="AS1446" t="str">
            <v/>
          </cell>
          <cell r="AT1446" t="str">
            <v>MN</v>
          </cell>
          <cell r="AU1446" t="str">
            <v>Monitor</v>
          </cell>
          <cell r="AV1446" t="str">
            <v>MNLC</v>
          </cell>
          <cell r="AW1446" t="str">
            <v>LCD Monitor</v>
          </cell>
          <cell r="AX1446" t="str">
            <v>MNLC32</v>
          </cell>
          <cell r="AY1446" t="str">
            <v>LCD Monitor 32</v>
          </cell>
          <cell r="AZ1446" t="str">
            <v>MNLC32NW</v>
          </cell>
          <cell r="BA1446" t="str">
            <v>LCD Monitor 32  (WIDE)</v>
          </cell>
        </row>
        <row r="1447">
          <cell r="E1447" t="str">
            <v>34G600A-B.ATV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1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 t="str">
            <v/>
          </cell>
          <cell r="AH1447" t="str">
            <v/>
          </cell>
          <cell r="AI1447" t="str">
            <v/>
          </cell>
          <cell r="AJ1447" t="str">
            <v/>
          </cell>
          <cell r="AK1447" t="str">
            <v>0.129233</v>
          </cell>
          <cell r="AL1447" t="str">
            <v>2</v>
          </cell>
          <cell r="AM1447" t="str">
            <v>Q</v>
          </cell>
          <cell r="AN1447" t="str">
            <v>M0</v>
          </cell>
          <cell r="AO1447" t="str">
            <v>Active(Model)</v>
          </cell>
          <cell r="AP1447" t="str">
            <v/>
          </cell>
          <cell r="AQ1447" t="str">
            <v/>
          </cell>
          <cell r="AR1447" t="str">
            <v>Y</v>
          </cell>
          <cell r="AS1447" t="str">
            <v/>
          </cell>
          <cell r="AT1447" t="str">
            <v>MN</v>
          </cell>
          <cell r="AU1447" t="str">
            <v>Monitor</v>
          </cell>
          <cell r="AV1447" t="str">
            <v>MNLC</v>
          </cell>
          <cell r="AW1447" t="str">
            <v>LCD Monitor</v>
          </cell>
          <cell r="AX1447" t="str">
            <v>MNLC34</v>
          </cell>
          <cell r="AY1447" t="str">
            <v>LCD Monitor 34</v>
          </cell>
          <cell r="AZ1447" t="str">
            <v>MNLC34NW</v>
          </cell>
          <cell r="BA1447" t="str">
            <v>LCD Monitor 34(WIDE)</v>
          </cell>
        </row>
        <row r="1448">
          <cell r="E1448" t="str">
            <v>34U511A-B.ATV</v>
          </cell>
          <cell r="F1448">
            <v>19</v>
          </cell>
          <cell r="G1448">
            <v>0</v>
          </cell>
          <cell r="H1448">
            <v>0</v>
          </cell>
          <cell r="I1448">
            <v>20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 t="str">
            <v/>
          </cell>
          <cell r="AH1448" t="str">
            <v/>
          </cell>
          <cell r="AI1448" t="str">
            <v/>
          </cell>
          <cell r="AJ1448" t="str">
            <v/>
          </cell>
          <cell r="AK1448" t="str">
            <v>0.083902</v>
          </cell>
          <cell r="AL1448" t="str">
            <v>2</v>
          </cell>
          <cell r="AM1448" t="str">
            <v>Q</v>
          </cell>
          <cell r="AN1448" t="str">
            <v>M0</v>
          </cell>
          <cell r="AO1448" t="str">
            <v>Active(Model)</v>
          </cell>
          <cell r="AP1448" t="str">
            <v/>
          </cell>
          <cell r="AQ1448" t="str">
            <v/>
          </cell>
          <cell r="AR1448" t="str">
            <v>Y</v>
          </cell>
          <cell r="AS1448" t="str">
            <v/>
          </cell>
          <cell r="AT1448" t="str">
            <v>MN</v>
          </cell>
          <cell r="AU1448" t="str">
            <v>Monitor</v>
          </cell>
          <cell r="AV1448" t="str">
            <v>MNLC</v>
          </cell>
          <cell r="AW1448" t="str">
            <v>LCD Monitor</v>
          </cell>
          <cell r="AX1448" t="str">
            <v>MNLC34</v>
          </cell>
          <cell r="AY1448" t="str">
            <v>LCD Monitor 34</v>
          </cell>
          <cell r="AZ1448" t="str">
            <v>MNLC34NW</v>
          </cell>
          <cell r="BA1448" t="str">
            <v>LCD Monitor 34(WIDE)</v>
          </cell>
        </row>
        <row r="1449">
          <cell r="E1449" t="str">
            <v>43LB6550PSA.ATV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151</v>
          </cell>
          <cell r="L1449">
            <v>0</v>
          </cell>
          <cell r="M1449">
            <v>0</v>
          </cell>
          <cell r="N1449">
            <v>0</v>
          </cell>
          <cell r="O1449">
            <v>128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 t="str">
            <v>LCDBASIC</v>
          </cell>
          <cell r="AH1449" t="str">
            <v>LCD_Basic</v>
          </cell>
          <cell r="AI1449" t="str">
            <v/>
          </cell>
          <cell r="AJ1449" t="str">
            <v/>
          </cell>
          <cell r="AK1449" t="str">
            <v>0.082680</v>
          </cell>
          <cell r="AL1449" t="str">
            <v>2</v>
          </cell>
          <cell r="AM1449" t="str">
            <v>Q</v>
          </cell>
          <cell r="AN1449" t="str">
            <v>M0</v>
          </cell>
          <cell r="AO1449" t="str">
            <v>Active(Model)</v>
          </cell>
          <cell r="AP1449" t="str">
            <v/>
          </cell>
          <cell r="AQ1449" t="str">
            <v/>
          </cell>
          <cell r="AR1449" t="str">
            <v>Y</v>
          </cell>
          <cell r="AS1449" t="str">
            <v/>
          </cell>
          <cell r="AT1449" t="str">
            <v>TV</v>
          </cell>
          <cell r="AU1449" t="str">
            <v>TV</v>
          </cell>
          <cell r="AV1449" t="str">
            <v>TVLE</v>
          </cell>
          <cell r="AW1449" t="str">
            <v>LED LCD TV</v>
          </cell>
          <cell r="AX1449" t="str">
            <v>TVLE43</v>
          </cell>
          <cell r="AY1449" t="str">
            <v>LED LCD TV 43</v>
          </cell>
          <cell r="AZ1449" t="str">
            <v>TVLE43NF</v>
          </cell>
          <cell r="BA1449" t="str">
            <v>LED LCD TV 43 (FHD)</v>
          </cell>
        </row>
        <row r="1450">
          <cell r="E1450" t="str">
            <v>43NU805BPSC.ATVQ</v>
          </cell>
          <cell r="F1450">
            <v>0</v>
          </cell>
          <cell r="G1450">
            <v>0</v>
          </cell>
          <cell r="H1450">
            <v>0</v>
          </cell>
          <cell r="I1450">
            <v>7</v>
          </cell>
          <cell r="J1450">
            <v>0</v>
          </cell>
          <cell r="K1450">
            <v>282</v>
          </cell>
          <cell r="L1450">
            <v>0</v>
          </cell>
          <cell r="M1450">
            <v>0</v>
          </cell>
          <cell r="N1450">
            <v>0</v>
          </cell>
          <cell r="O1450">
            <v>138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 t="str">
            <v>LCDBASIC</v>
          </cell>
          <cell r="AH1450" t="str">
            <v>LCD_Basic</v>
          </cell>
          <cell r="AI1450" t="str">
            <v/>
          </cell>
          <cell r="AJ1450" t="str">
            <v/>
          </cell>
          <cell r="AK1450" t="str">
            <v>0.070787</v>
          </cell>
          <cell r="AL1450" t="str">
            <v>2</v>
          </cell>
          <cell r="AM1450" t="str">
            <v>Q</v>
          </cell>
          <cell r="AN1450" t="str">
            <v>M0</v>
          </cell>
          <cell r="AO1450" t="str">
            <v>Active(Model)</v>
          </cell>
          <cell r="AP1450" t="str">
            <v/>
          </cell>
          <cell r="AQ1450" t="str">
            <v/>
          </cell>
          <cell r="AR1450" t="str">
            <v>Y</v>
          </cell>
          <cell r="AS1450" t="str">
            <v/>
          </cell>
          <cell r="AT1450" t="str">
            <v>TV</v>
          </cell>
          <cell r="AU1450" t="str">
            <v>TV</v>
          </cell>
          <cell r="AV1450" t="str">
            <v>TVLE</v>
          </cell>
          <cell r="AW1450" t="str">
            <v>LED LCD TV</v>
          </cell>
          <cell r="AX1450" t="str">
            <v>TVLE43</v>
          </cell>
          <cell r="AY1450" t="str">
            <v>LED LCD TV 43</v>
          </cell>
          <cell r="AZ1450" t="str">
            <v>TVLE43OU</v>
          </cell>
          <cell r="BA1450" t="str">
            <v>LED LCD TV 43 (O/S, UD)</v>
          </cell>
        </row>
        <row r="1451">
          <cell r="E1451" t="str">
            <v>43NU835BPSA.ATV</v>
          </cell>
          <cell r="F1451">
            <v>100</v>
          </cell>
          <cell r="G1451">
            <v>0</v>
          </cell>
          <cell r="H1451">
            <v>0</v>
          </cell>
          <cell r="I1451">
            <v>100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 t="str">
            <v>LCDBASIC</v>
          </cell>
          <cell r="AH1451" t="str">
            <v>LCD_Basic</v>
          </cell>
          <cell r="AI1451" t="str">
            <v/>
          </cell>
          <cell r="AJ1451" t="str">
            <v/>
          </cell>
          <cell r="AK1451" t="str">
            <v>0.079378</v>
          </cell>
          <cell r="AL1451" t="str">
            <v>2</v>
          </cell>
          <cell r="AM1451" t="str">
            <v>Q</v>
          </cell>
          <cell r="AN1451" t="str">
            <v>M0</v>
          </cell>
          <cell r="AO1451" t="str">
            <v>Active(Model)</v>
          </cell>
          <cell r="AP1451" t="str">
            <v/>
          </cell>
          <cell r="AQ1451" t="str">
            <v/>
          </cell>
          <cell r="AR1451" t="str">
            <v>Y</v>
          </cell>
          <cell r="AS1451" t="str">
            <v/>
          </cell>
          <cell r="AT1451" t="str">
            <v>TV</v>
          </cell>
          <cell r="AU1451" t="str">
            <v>TV</v>
          </cell>
          <cell r="AV1451" t="str">
            <v>TVLE</v>
          </cell>
          <cell r="AW1451" t="str">
            <v>LED LCD TV</v>
          </cell>
          <cell r="AX1451" t="str">
            <v>TVLE43</v>
          </cell>
          <cell r="AY1451" t="str">
            <v>LED LCD TV 43</v>
          </cell>
          <cell r="AZ1451" t="str">
            <v>TVLE43NU</v>
          </cell>
          <cell r="BA1451" t="str">
            <v>LED LCD TV 43 (UD)</v>
          </cell>
        </row>
        <row r="1452">
          <cell r="E1452" t="str">
            <v>43NU855BPSA.ATV</v>
          </cell>
          <cell r="F1452">
            <v>0</v>
          </cell>
          <cell r="G1452">
            <v>0</v>
          </cell>
          <cell r="H1452">
            <v>0</v>
          </cell>
          <cell r="I1452">
            <v>6</v>
          </cell>
          <cell r="J1452">
            <v>0</v>
          </cell>
          <cell r="K1452">
            <v>11</v>
          </cell>
          <cell r="L1452">
            <v>0</v>
          </cell>
          <cell r="M1452">
            <v>0</v>
          </cell>
          <cell r="N1452">
            <v>3</v>
          </cell>
          <cell r="O1452">
            <v>16</v>
          </cell>
          <cell r="P1452">
            <v>3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32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1</v>
          </cell>
          <cell r="AD1452">
            <v>0</v>
          </cell>
          <cell r="AE1452">
            <v>0</v>
          </cell>
          <cell r="AF1452">
            <v>1</v>
          </cell>
          <cell r="AG1452" t="str">
            <v>LCDBASIC</v>
          </cell>
          <cell r="AH1452" t="str">
            <v>LCD_Basic</v>
          </cell>
          <cell r="AI1452" t="str">
            <v/>
          </cell>
          <cell r="AJ1452" t="str">
            <v/>
          </cell>
          <cell r="AK1452" t="str">
            <v>0.079378</v>
          </cell>
          <cell r="AL1452" t="str">
            <v>2</v>
          </cell>
          <cell r="AM1452" t="str">
            <v>Q</v>
          </cell>
          <cell r="AN1452" t="str">
            <v>M0</v>
          </cell>
          <cell r="AO1452" t="str">
            <v>Active(Model)</v>
          </cell>
          <cell r="AP1452" t="str">
            <v/>
          </cell>
          <cell r="AQ1452" t="str">
            <v/>
          </cell>
          <cell r="AR1452" t="str">
            <v>Y</v>
          </cell>
          <cell r="AS1452" t="str">
            <v/>
          </cell>
          <cell r="AT1452" t="str">
            <v>TV</v>
          </cell>
          <cell r="AU1452" t="str">
            <v>TV</v>
          </cell>
          <cell r="AV1452" t="str">
            <v>TVLE</v>
          </cell>
          <cell r="AW1452" t="str">
            <v>LED LCD TV</v>
          </cell>
          <cell r="AX1452" t="str">
            <v>TVLE43</v>
          </cell>
          <cell r="AY1452" t="str">
            <v>LED LCD TV 43</v>
          </cell>
          <cell r="AZ1452" t="str">
            <v>TVLE43NU</v>
          </cell>
          <cell r="BA1452" t="str">
            <v>LED LCD TV 43 (UD)</v>
          </cell>
        </row>
        <row r="1453">
          <cell r="E1453" t="str">
            <v>43NU875BPSC.ATV</v>
          </cell>
          <cell r="F1453">
            <v>0</v>
          </cell>
          <cell r="G1453">
            <v>0</v>
          </cell>
          <cell r="H1453">
            <v>0</v>
          </cell>
          <cell r="I1453">
            <v>2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2</v>
          </cell>
          <cell r="AE1453">
            <v>0</v>
          </cell>
          <cell r="AF1453">
            <v>2</v>
          </cell>
          <cell r="AG1453" t="str">
            <v>LCDBASIC</v>
          </cell>
          <cell r="AH1453" t="str">
            <v>LCD_Basic</v>
          </cell>
          <cell r="AI1453" t="str">
            <v/>
          </cell>
          <cell r="AJ1453" t="str">
            <v/>
          </cell>
          <cell r="AK1453" t="str">
            <v>0.079378</v>
          </cell>
          <cell r="AL1453" t="str">
            <v>2</v>
          </cell>
          <cell r="AM1453" t="str">
            <v>Q</v>
          </cell>
          <cell r="AN1453" t="str">
            <v>M0</v>
          </cell>
          <cell r="AO1453" t="str">
            <v>Active(Model)</v>
          </cell>
          <cell r="AP1453" t="str">
            <v/>
          </cell>
          <cell r="AQ1453" t="str">
            <v/>
          </cell>
          <cell r="AR1453" t="str">
            <v>Y</v>
          </cell>
          <cell r="AS1453" t="str">
            <v/>
          </cell>
          <cell r="AT1453" t="str">
            <v>TV</v>
          </cell>
          <cell r="AU1453" t="str">
            <v>TV</v>
          </cell>
          <cell r="AV1453" t="str">
            <v>TVLE</v>
          </cell>
          <cell r="AW1453" t="str">
            <v>LED LCD TV</v>
          </cell>
          <cell r="AX1453" t="str">
            <v>TVLE43</v>
          </cell>
          <cell r="AY1453" t="str">
            <v>LED LCD TV 43</v>
          </cell>
          <cell r="AZ1453" t="str">
            <v>TVLE43NU</v>
          </cell>
          <cell r="BA1453" t="str">
            <v>LED LCD TV 43 (UD)</v>
          </cell>
        </row>
        <row r="1454">
          <cell r="E1454" t="str">
            <v>43QNED70BSA.ATV</v>
          </cell>
          <cell r="F1454">
            <v>50</v>
          </cell>
          <cell r="G1454">
            <v>0</v>
          </cell>
          <cell r="H1454">
            <v>0</v>
          </cell>
          <cell r="I1454">
            <v>50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50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 t="str">
            <v>LCDBASIC</v>
          </cell>
          <cell r="AH1454" t="str">
            <v>LCD_Basic</v>
          </cell>
          <cell r="AI1454" t="str">
            <v/>
          </cell>
          <cell r="AJ1454" t="str">
            <v/>
          </cell>
          <cell r="AK1454" t="str">
            <v>0.079378</v>
          </cell>
          <cell r="AL1454" t="str">
            <v>2</v>
          </cell>
          <cell r="AM1454" t="str">
            <v>Q</v>
          </cell>
          <cell r="AN1454" t="str">
            <v>M0</v>
          </cell>
          <cell r="AO1454" t="str">
            <v>Active(Model)</v>
          </cell>
          <cell r="AP1454" t="str">
            <v/>
          </cell>
          <cell r="AQ1454" t="str">
            <v/>
          </cell>
          <cell r="AR1454" t="str">
            <v>Y</v>
          </cell>
          <cell r="AS1454" t="str">
            <v/>
          </cell>
          <cell r="AT1454" t="str">
            <v>TV</v>
          </cell>
          <cell r="AU1454" t="str">
            <v>TV</v>
          </cell>
          <cell r="AV1454" t="str">
            <v>TVLE</v>
          </cell>
          <cell r="AW1454" t="str">
            <v>LED LCD TV</v>
          </cell>
          <cell r="AX1454" t="str">
            <v>TVLE43</v>
          </cell>
          <cell r="AY1454" t="str">
            <v>LED LCD TV 43</v>
          </cell>
          <cell r="AZ1454" t="str">
            <v>TVLE43NU</v>
          </cell>
          <cell r="BA1454" t="str">
            <v>LED LCD TV 43 (UD)</v>
          </cell>
        </row>
        <row r="1455">
          <cell r="E1455" t="str">
            <v>43QNED80BSA.ATV</v>
          </cell>
          <cell r="F1455">
            <v>0</v>
          </cell>
          <cell r="G1455">
            <v>0</v>
          </cell>
          <cell r="H1455">
            <v>0</v>
          </cell>
          <cell r="I1455">
            <v>1</v>
          </cell>
          <cell r="J1455">
            <v>0</v>
          </cell>
          <cell r="K1455">
            <v>18</v>
          </cell>
          <cell r="L1455">
            <v>0</v>
          </cell>
          <cell r="M1455">
            <v>0</v>
          </cell>
          <cell r="N1455">
            <v>0</v>
          </cell>
          <cell r="O1455">
            <v>1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 t="str">
            <v>LCDBASIC</v>
          </cell>
          <cell r="AH1455" t="str">
            <v>LCD_Basic</v>
          </cell>
          <cell r="AI1455" t="str">
            <v/>
          </cell>
          <cell r="AJ1455" t="str">
            <v/>
          </cell>
          <cell r="AK1455" t="str">
            <v>0.098875</v>
          </cell>
          <cell r="AL1455" t="str">
            <v>2</v>
          </cell>
          <cell r="AM1455" t="str">
            <v>Q</v>
          </cell>
          <cell r="AN1455" t="str">
            <v>M0</v>
          </cell>
          <cell r="AO1455" t="str">
            <v>Active(Model)</v>
          </cell>
          <cell r="AP1455" t="str">
            <v/>
          </cell>
          <cell r="AQ1455" t="str">
            <v/>
          </cell>
          <cell r="AR1455" t="str">
            <v>Y</v>
          </cell>
          <cell r="AS1455" t="str">
            <v/>
          </cell>
          <cell r="AT1455" t="str">
            <v>TV</v>
          </cell>
          <cell r="AU1455" t="str">
            <v>TV</v>
          </cell>
          <cell r="AV1455" t="str">
            <v>TVLE</v>
          </cell>
          <cell r="AW1455" t="str">
            <v>LED LCD TV</v>
          </cell>
          <cell r="AX1455" t="str">
            <v>TVLE43</v>
          </cell>
          <cell r="AY1455" t="str">
            <v>LED LCD TV 43</v>
          </cell>
          <cell r="AZ1455" t="str">
            <v>TVLE43NU</v>
          </cell>
          <cell r="BA1455" t="str">
            <v>LED LCD TV 43 (UD)</v>
          </cell>
        </row>
        <row r="1456">
          <cell r="E1456" t="str">
            <v>43UA731C0SB.ATVQ</v>
          </cell>
          <cell r="F1456">
            <v>0</v>
          </cell>
          <cell r="G1456">
            <v>0</v>
          </cell>
          <cell r="H1456">
            <v>0</v>
          </cell>
          <cell r="I1456">
            <v>49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 t="str">
            <v/>
          </cell>
          <cell r="AH1456" t="str">
            <v/>
          </cell>
          <cell r="AI1456" t="str">
            <v/>
          </cell>
          <cell r="AJ1456" t="str">
            <v/>
          </cell>
          <cell r="AK1456" t="str">
            <v>0.078592</v>
          </cell>
          <cell r="AL1456" t="str">
            <v>2</v>
          </cell>
          <cell r="AM1456" t="str">
            <v>Q</v>
          </cell>
          <cell r="AN1456" t="str">
            <v>M0</v>
          </cell>
          <cell r="AO1456" t="str">
            <v>Active(Model)</v>
          </cell>
          <cell r="AP1456" t="str">
            <v/>
          </cell>
          <cell r="AQ1456" t="str">
            <v/>
          </cell>
          <cell r="AR1456" t="str">
            <v>Y</v>
          </cell>
          <cell r="AS1456" t="str">
            <v/>
          </cell>
          <cell r="AT1456" t="str">
            <v>CS</v>
          </cell>
          <cell r="AU1456" t="str">
            <v>Commercial Display_Signage</v>
          </cell>
          <cell r="AV1456" t="str">
            <v>CSTE</v>
          </cell>
          <cell r="AW1456" t="str">
            <v>Commercial_LED LCD TV</v>
          </cell>
          <cell r="AX1456" t="str">
            <v>CSTE43</v>
          </cell>
          <cell r="AY1456" t="str">
            <v>Commercial_LED LCD TV 43</v>
          </cell>
          <cell r="AZ1456" t="str">
            <v>CSTE43NU</v>
          </cell>
          <cell r="BA1456" t="str">
            <v>Commercial_LED LCD TV 43(UHD)</v>
          </cell>
        </row>
        <row r="1457">
          <cell r="E1457" t="str">
            <v>50NU805BPSC.ATVQ</v>
          </cell>
          <cell r="F1457">
            <v>0</v>
          </cell>
          <cell r="G1457">
            <v>0</v>
          </cell>
          <cell r="H1457">
            <v>0</v>
          </cell>
          <cell r="I1457">
            <v>3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22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 t="str">
            <v>LCDBASIC</v>
          </cell>
          <cell r="AH1457" t="str">
            <v>LCD_Basic</v>
          </cell>
          <cell r="AI1457" t="str">
            <v/>
          </cell>
          <cell r="AJ1457" t="str">
            <v/>
          </cell>
          <cell r="AK1457" t="str">
            <v>0.094779</v>
          </cell>
          <cell r="AL1457" t="str">
            <v>2</v>
          </cell>
          <cell r="AM1457" t="str">
            <v>Q</v>
          </cell>
          <cell r="AN1457" t="str">
            <v>M0</v>
          </cell>
          <cell r="AO1457" t="str">
            <v>Active(Model)</v>
          </cell>
          <cell r="AP1457" t="str">
            <v/>
          </cell>
          <cell r="AQ1457" t="str">
            <v/>
          </cell>
          <cell r="AR1457" t="str">
            <v>Y</v>
          </cell>
          <cell r="AS1457" t="str">
            <v/>
          </cell>
          <cell r="AT1457" t="str">
            <v>TV</v>
          </cell>
          <cell r="AU1457" t="str">
            <v>TV</v>
          </cell>
          <cell r="AV1457" t="str">
            <v>TVLE</v>
          </cell>
          <cell r="AW1457" t="str">
            <v>LED LCD TV</v>
          </cell>
          <cell r="AX1457" t="str">
            <v>TVLE50</v>
          </cell>
          <cell r="AY1457" t="str">
            <v>LED LCD TV 50</v>
          </cell>
          <cell r="AZ1457" t="str">
            <v>TVLE50OU</v>
          </cell>
          <cell r="BA1457" t="str">
            <v>LED LCD TV 50 (O/S, UD)</v>
          </cell>
        </row>
        <row r="1458">
          <cell r="E1458" t="str">
            <v>50NU835BPSA.ATV</v>
          </cell>
          <cell r="F1458">
            <v>70</v>
          </cell>
          <cell r="G1458">
            <v>0</v>
          </cell>
          <cell r="H1458">
            <v>0</v>
          </cell>
          <cell r="I1458">
            <v>70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 t="str">
            <v>LCDBASIC</v>
          </cell>
          <cell r="AH1458" t="str">
            <v>LCD_Basic</v>
          </cell>
          <cell r="AI1458" t="str">
            <v/>
          </cell>
          <cell r="AJ1458" t="str">
            <v/>
          </cell>
          <cell r="AK1458" t="str">
            <v>0.104481</v>
          </cell>
          <cell r="AL1458" t="str">
            <v>2</v>
          </cell>
          <cell r="AM1458" t="str">
            <v>Q</v>
          </cell>
          <cell r="AN1458" t="str">
            <v>M0</v>
          </cell>
          <cell r="AO1458" t="str">
            <v>Active(Model)</v>
          </cell>
          <cell r="AP1458" t="str">
            <v/>
          </cell>
          <cell r="AQ1458" t="str">
            <v/>
          </cell>
          <cell r="AR1458" t="str">
            <v>Y</v>
          </cell>
          <cell r="AS1458" t="str">
            <v/>
          </cell>
          <cell r="AT1458" t="str">
            <v>TV</v>
          </cell>
          <cell r="AU1458" t="str">
            <v>TV</v>
          </cell>
          <cell r="AV1458" t="str">
            <v>TVLE</v>
          </cell>
          <cell r="AW1458" t="str">
            <v>LED LCD TV</v>
          </cell>
          <cell r="AX1458" t="str">
            <v>TVLE50</v>
          </cell>
          <cell r="AY1458" t="str">
            <v>LED LCD TV 50</v>
          </cell>
          <cell r="AZ1458" t="str">
            <v>TVLE50NU</v>
          </cell>
          <cell r="BA1458" t="str">
            <v>LED LCD TV 50 (UD)</v>
          </cell>
        </row>
        <row r="1459">
          <cell r="E1459" t="str">
            <v>50NU855BPSA.ATV</v>
          </cell>
          <cell r="F1459">
            <v>0</v>
          </cell>
          <cell r="G1459">
            <v>0</v>
          </cell>
          <cell r="H1459">
            <v>0</v>
          </cell>
          <cell r="I1459">
            <v>2</v>
          </cell>
          <cell r="J1459">
            <v>0</v>
          </cell>
          <cell r="K1459">
            <v>11</v>
          </cell>
          <cell r="L1459">
            <v>0</v>
          </cell>
          <cell r="M1459">
            <v>0</v>
          </cell>
          <cell r="N1459">
            <v>1</v>
          </cell>
          <cell r="O1459">
            <v>1</v>
          </cell>
          <cell r="P1459">
            <v>1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 t="str">
            <v>LCDBASIC</v>
          </cell>
          <cell r="AH1459" t="str">
            <v>LCD_Basic</v>
          </cell>
          <cell r="AI1459" t="str">
            <v/>
          </cell>
          <cell r="AJ1459" t="str">
            <v/>
          </cell>
          <cell r="AK1459" t="str">
            <v>0.104481</v>
          </cell>
          <cell r="AL1459" t="str">
            <v>2</v>
          </cell>
          <cell r="AM1459" t="str">
            <v>Q</v>
          </cell>
          <cell r="AN1459" t="str">
            <v>M0</v>
          </cell>
          <cell r="AO1459" t="str">
            <v>Active(Model)</v>
          </cell>
          <cell r="AP1459" t="str">
            <v/>
          </cell>
          <cell r="AQ1459" t="str">
            <v/>
          </cell>
          <cell r="AR1459" t="str">
            <v>Y</v>
          </cell>
          <cell r="AS1459" t="str">
            <v/>
          </cell>
          <cell r="AT1459" t="str">
            <v>TV</v>
          </cell>
          <cell r="AU1459" t="str">
            <v>TV</v>
          </cell>
          <cell r="AV1459" t="str">
            <v>TVLE</v>
          </cell>
          <cell r="AW1459" t="str">
            <v>LED LCD TV</v>
          </cell>
          <cell r="AX1459" t="str">
            <v>TVLE50</v>
          </cell>
          <cell r="AY1459" t="str">
            <v>LED LCD TV 50</v>
          </cell>
          <cell r="AZ1459" t="str">
            <v>TVLE50NU</v>
          </cell>
          <cell r="BA1459" t="str">
            <v>LED LCD TV 50 (UD)</v>
          </cell>
        </row>
        <row r="1460">
          <cell r="E1460" t="str">
            <v>50NU85CBPSA.ATV</v>
          </cell>
          <cell r="F1460">
            <v>0</v>
          </cell>
          <cell r="G1460">
            <v>0</v>
          </cell>
          <cell r="H1460">
            <v>0</v>
          </cell>
          <cell r="I1460">
            <v>2</v>
          </cell>
          <cell r="J1460">
            <v>0</v>
          </cell>
          <cell r="K1460">
            <v>28</v>
          </cell>
          <cell r="L1460">
            <v>0</v>
          </cell>
          <cell r="M1460">
            <v>2</v>
          </cell>
          <cell r="N1460">
            <v>0</v>
          </cell>
          <cell r="O1460">
            <v>0</v>
          </cell>
          <cell r="P1460">
            <v>2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 t="str">
            <v/>
          </cell>
          <cell r="AH1460" t="str">
            <v/>
          </cell>
          <cell r="AI1460" t="str">
            <v/>
          </cell>
          <cell r="AJ1460" t="str">
            <v/>
          </cell>
          <cell r="AK1460" t="str">
            <v>0.104481</v>
          </cell>
          <cell r="AL1460" t="str">
            <v>2</v>
          </cell>
          <cell r="AM1460" t="str">
            <v>Q</v>
          </cell>
          <cell r="AN1460" t="str">
            <v>M0</v>
          </cell>
          <cell r="AO1460" t="str">
            <v>Active(Model)</v>
          </cell>
          <cell r="AP1460" t="str">
            <v/>
          </cell>
          <cell r="AQ1460" t="str">
            <v/>
          </cell>
          <cell r="AR1460" t="str">
            <v>Y</v>
          </cell>
          <cell r="AS1460" t="str">
            <v/>
          </cell>
          <cell r="AT1460" t="str">
            <v>CS</v>
          </cell>
          <cell r="AU1460" t="str">
            <v>Commercial Display_Signage</v>
          </cell>
          <cell r="AV1460" t="str">
            <v>CSTE</v>
          </cell>
          <cell r="AW1460" t="str">
            <v>Commercial_LED LCD TV</v>
          </cell>
          <cell r="AX1460" t="str">
            <v>CSTE50</v>
          </cell>
          <cell r="AY1460" t="str">
            <v>Commercial_LED LCD TV 50</v>
          </cell>
          <cell r="AZ1460" t="str">
            <v>CSTE50NU</v>
          </cell>
          <cell r="BA1460" t="str">
            <v>Commercial_LED LCD TV 50(UHD)</v>
          </cell>
        </row>
        <row r="1461">
          <cell r="E1461" t="str">
            <v>50QNED80BSA.ATV</v>
          </cell>
          <cell r="F1461">
            <v>9</v>
          </cell>
          <cell r="G1461">
            <v>0</v>
          </cell>
          <cell r="H1461">
            <v>0</v>
          </cell>
          <cell r="I1461">
            <v>15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 t="str">
            <v>LCDBASIC</v>
          </cell>
          <cell r="AH1461" t="str">
            <v>LCD_Basic</v>
          </cell>
          <cell r="AI1461" t="str">
            <v/>
          </cell>
          <cell r="AJ1461" t="str">
            <v/>
          </cell>
          <cell r="AK1461" t="str">
            <v>0.131123</v>
          </cell>
          <cell r="AL1461" t="str">
            <v>2</v>
          </cell>
          <cell r="AM1461" t="str">
            <v>Q</v>
          </cell>
          <cell r="AN1461" t="str">
            <v>M0</v>
          </cell>
          <cell r="AO1461" t="str">
            <v>Active(Model)</v>
          </cell>
          <cell r="AP1461" t="str">
            <v/>
          </cell>
          <cell r="AQ1461" t="str">
            <v/>
          </cell>
          <cell r="AR1461" t="str">
            <v>Y</v>
          </cell>
          <cell r="AS1461" t="str">
            <v/>
          </cell>
          <cell r="AT1461" t="str">
            <v>TV</v>
          </cell>
          <cell r="AU1461" t="str">
            <v>TV</v>
          </cell>
          <cell r="AV1461" t="str">
            <v>TVLE</v>
          </cell>
          <cell r="AW1461" t="str">
            <v>LED LCD TV</v>
          </cell>
          <cell r="AX1461" t="str">
            <v>TVLE50</v>
          </cell>
          <cell r="AY1461" t="str">
            <v>LED LCD TV 50</v>
          </cell>
          <cell r="AZ1461" t="str">
            <v>TVLE50NU</v>
          </cell>
          <cell r="BA1461" t="str">
            <v>LED LCD TV 50 (UD)</v>
          </cell>
        </row>
        <row r="1462">
          <cell r="E1462" t="str">
            <v>55NU805BPSB.ATVQ</v>
          </cell>
          <cell r="F1462">
            <v>0</v>
          </cell>
          <cell r="G1462">
            <v>0</v>
          </cell>
          <cell r="H1462">
            <v>0</v>
          </cell>
          <cell r="I1462">
            <v>6</v>
          </cell>
          <cell r="J1462">
            <v>0</v>
          </cell>
          <cell r="K1462">
            <v>450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 t="str">
            <v>LCDPREMIUM</v>
          </cell>
          <cell r="AH1462" t="str">
            <v>LCD_Premium</v>
          </cell>
          <cell r="AI1462" t="str">
            <v/>
          </cell>
          <cell r="AJ1462" t="str">
            <v/>
          </cell>
          <cell r="AK1462" t="str">
            <v>0.143344</v>
          </cell>
          <cell r="AL1462" t="str">
            <v>2</v>
          </cell>
          <cell r="AM1462" t="str">
            <v>Q</v>
          </cell>
          <cell r="AN1462" t="str">
            <v>M0</v>
          </cell>
          <cell r="AO1462" t="str">
            <v>Active(Model)</v>
          </cell>
          <cell r="AP1462" t="str">
            <v/>
          </cell>
          <cell r="AQ1462" t="str">
            <v/>
          </cell>
          <cell r="AR1462" t="str">
            <v>Y</v>
          </cell>
          <cell r="AS1462" t="str">
            <v/>
          </cell>
          <cell r="AT1462" t="str">
            <v>TV</v>
          </cell>
          <cell r="AU1462" t="str">
            <v>TV</v>
          </cell>
          <cell r="AV1462" t="str">
            <v>TVLE</v>
          </cell>
          <cell r="AW1462" t="str">
            <v>LED LCD TV</v>
          </cell>
          <cell r="AX1462" t="str">
            <v>TVLE55</v>
          </cell>
          <cell r="AY1462" t="str">
            <v>LED LCD TV 55</v>
          </cell>
          <cell r="AZ1462" t="str">
            <v>TVLE55OU</v>
          </cell>
          <cell r="BA1462" t="str">
            <v>LED LCD TV 55 (O/S, UD)</v>
          </cell>
        </row>
        <row r="1463">
          <cell r="E1463" t="str">
            <v>55NU835BPSA.ATV</v>
          </cell>
          <cell r="F1463">
            <v>70</v>
          </cell>
          <cell r="G1463">
            <v>0</v>
          </cell>
          <cell r="H1463">
            <v>0</v>
          </cell>
          <cell r="I1463">
            <v>70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 t="str">
            <v>LCDPREMIUM</v>
          </cell>
          <cell r="AH1463" t="str">
            <v>LCD_Premium</v>
          </cell>
          <cell r="AI1463" t="str">
            <v/>
          </cell>
          <cell r="AJ1463" t="str">
            <v/>
          </cell>
          <cell r="AK1463" t="str">
            <v>0.130990</v>
          </cell>
          <cell r="AL1463" t="str">
            <v>2</v>
          </cell>
          <cell r="AM1463" t="str">
            <v>Q</v>
          </cell>
          <cell r="AN1463" t="str">
            <v>M0</v>
          </cell>
          <cell r="AO1463" t="str">
            <v>Active(Model)</v>
          </cell>
          <cell r="AP1463" t="str">
            <v/>
          </cell>
          <cell r="AQ1463" t="str">
            <v/>
          </cell>
          <cell r="AR1463" t="str">
            <v>Y</v>
          </cell>
          <cell r="AS1463" t="str">
            <v/>
          </cell>
          <cell r="AT1463" t="str">
            <v>TV</v>
          </cell>
          <cell r="AU1463" t="str">
            <v>TV</v>
          </cell>
          <cell r="AV1463" t="str">
            <v>TVLE</v>
          </cell>
          <cell r="AW1463" t="str">
            <v>LED LCD TV</v>
          </cell>
          <cell r="AX1463" t="str">
            <v>TVLE55</v>
          </cell>
          <cell r="AY1463" t="str">
            <v>LED LCD TV 55</v>
          </cell>
          <cell r="AZ1463" t="str">
            <v>TVLE55NU</v>
          </cell>
          <cell r="BA1463" t="str">
            <v>LED LCD TV 55 (UD)</v>
          </cell>
        </row>
        <row r="1464">
          <cell r="E1464" t="str">
            <v>55NU855BPSA.ATV</v>
          </cell>
          <cell r="F1464">
            <v>0</v>
          </cell>
          <cell r="G1464">
            <v>0</v>
          </cell>
          <cell r="H1464">
            <v>0</v>
          </cell>
          <cell r="I1464">
            <v>4</v>
          </cell>
          <cell r="J1464">
            <v>0</v>
          </cell>
          <cell r="K1464">
            <v>14</v>
          </cell>
          <cell r="L1464">
            <v>0</v>
          </cell>
          <cell r="M1464">
            <v>0</v>
          </cell>
          <cell r="N1464">
            <v>0</v>
          </cell>
          <cell r="O1464">
            <v>20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1</v>
          </cell>
          <cell r="AF1464">
            <v>0</v>
          </cell>
          <cell r="AG1464" t="str">
            <v>LCDPREMIUM</v>
          </cell>
          <cell r="AH1464" t="str">
            <v>LCD_Premium</v>
          </cell>
          <cell r="AI1464" t="str">
            <v/>
          </cell>
          <cell r="AJ1464" t="str">
            <v/>
          </cell>
          <cell r="AK1464" t="str">
            <v>0.130990</v>
          </cell>
          <cell r="AL1464" t="str">
            <v>2</v>
          </cell>
          <cell r="AM1464" t="str">
            <v>Q</v>
          </cell>
          <cell r="AN1464" t="str">
            <v>M0</v>
          </cell>
          <cell r="AO1464" t="str">
            <v>Active(Model)</v>
          </cell>
          <cell r="AP1464" t="str">
            <v/>
          </cell>
          <cell r="AQ1464" t="str">
            <v/>
          </cell>
          <cell r="AR1464" t="str">
            <v>Y</v>
          </cell>
          <cell r="AS1464" t="str">
            <v/>
          </cell>
          <cell r="AT1464" t="str">
            <v>TV</v>
          </cell>
          <cell r="AU1464" t="str">
            <v>TV</v>
          </cell>
          <cell r="AV1464" t="str">
            <v>TVLE</v>
          </cell>
          <cell r="AW1464" t="str">
            <v>LED LCD TV</v>
          </cell>
          <cell r="AX1464" t="str">
            <v>TVLE55</v>
          </cell>
          <cell r="AY1464" t="str">
            <v>LED LCD TV 55</v>
          </cell>
          <cell r="AZ1464" t="str">
            <v>TVLE55NU</v>
          </cell>
          <cell r="BA1464" t="str">
            <v>LED LCD TV 55 (UD)</v>
          </cell>
        </row>
        <row r="1465">
          <cell r="E1465" t="str">
            <v>55NU85CBPSA.ATV</v>
          </cell>
          <cell r="F1465">
            <v>1</v>
          </cell>
          <cell r="G1465">
            <v>0</v>
          </cell>
          <cell r="H1465">
            <v>0</v>
          </cell>
          <cell r="I1465">
            <v>1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 t="str">
            <v/>
          </cell>
          <cell r="AH1465" t="str">
            <v/>
          </cell>
          <cell r="AI1465" t="str">
            <v/>
          </cell>
          <cell r="AJ1465" t="str">
            <v/>
          </cell>
          <cell r="AK1465" t="str">
            <v>0.130990</v>
          </cell>
          <cell r="AL1465" t="str">
            <v>2</v>
          </cell>
          <cell r="AM1465" t="str">
            <v>Q</v>
          </cell>
          <cell r="AN1465" t="str">
            <v>M0</v>
          </cell>
          <cell r="AO1465" t="str">
            <v>Active(Model)</v>
          </cell>
          <cell r="AP1465" t="str">
            <v/>
          </cell>
          <cell r="AQ1465" t="str">
            <v/>
          </cell>
          <cell r="AR1465" t="str">
            <v>Y</v>
          </cell>
          <cell r="AS1465" t="str">
            <v/>
          </cell>
          <cell r="AT1465" t="str">
            <v>CS</v>
          </cell>
          <cell r="AU1465" t="str">
            <v>Commercial Display_Signage</v>
          </cell>
          <cell r="AV1465" t="str">
            <v>CSTE</v>
          </cell>
          <cell r="AW1465" t="str">
            <v>Commercial_LED LCD TV</v>
          </cell>
          <cell r="AX1465" t="str">
            <v>CSTE55</v>
          </cell>
          <cell r="AY1465" t="str">
            <v>Commercial_LED LCD TV 55</v>
          </cell>
          <cell r="AZ1465" t="str">
            <v>CSTE55NU</v>
          </cell>
          <cell r="BA1465" t="str">
            <v>Commercial_LED LCD TV 55(UHD)</v>
          </cell>
        </row>
        <row r="1466">
          <cell r="E1466" t="str">
            <v>55QNED70BSA.ATV</v>
          </cell>
          <cell r="F1466">
            <v>190</v>
          </cell>
          <cell r="G1466">
            <v>0</v>
          </cell>
          <cell r="H1466">
            <v>0</v>
          </cell>
          <cell r="I1466">
            <v>190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20</v>
          </cell>
          <cell r="P1466">
            <v>0</v>
          </cell>
          <cell r="Q1466">
            <v>0</v>
          </cell>
          <cell r="R1466">
            <v>0</v>
          </cell>
          <cell r="S1466">
            <v>150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 t="str">
            <v>LCDPREMIUM</v>
          </cell>
          <cell r="AH1466" t="str">
            <v>LCD_Premium</v>
          </cell>
          <cell r="AI1466" t="str">
            <v/>
          </cell>
          <cell r="AJ1466" t="str">
            <v/>
          </cell>
          <cell r="AK1466" t="str">
            <v>0.130990</v>
          </cell>
          <cell r="AL1466" t="str">
            <v>2</v>
          </cell>
          <cell r="AM1466" t="str">
            <v>Q</v>
          </cell>
          <cell r="AN1466" t="str">
            <v>M0</v>
          </cell>
          <cell r="AO1466" t="str">
            <v>Active(Model)</v>
          </cell>
          <cell r="AP1466" t="str">
            <v/>
          </cell>
          <cell r="AQ1466" t="str">
            <v/>
          </cell>
          <cell r="AR1466" t="str">
            <v>Y</v>
          </cell>
          <cell r="AS1466" t="str">
            <v/>
          </cell>
          <cell r="AT1466" t="str">
            <v>TV</v>
          </cell>
          <cell r="AU1466" t="str">
            <v>TV</v>
          </cell>
          <cell r="AV1466" t="str">
            <v>TVLE</v>
          </cell>
          <cell r="AW1466" t="str">
            <v>LED LCD TV</v>
          </cell>
          <cell r="AX1466" t="str">
            <v>TVLE55</v>
          </cell>
          <cell r="AY1466" t="str">
            <v>LED LCD TV 55</v>
          </cell>
          <cell r="AZ1466" t="str">
            <v>TVLE55NU</v>
          </cell>
          <cell r="BA1466" t="str">
            <v>LED LCD TV 55 (UD)</v>
          </cell>
        </row>
        <row r="1467">
          <cell r="E1467" t="str">
            <v>55QNED80BSA.ATV</v>
          </cell>
          <cell r="F1467">
            <v>0</v>
          </cell>
          <cell r="G1467">
            <v>0</v>
          </cell>
          <cell r="H1467">
            <v>0</v>
          </cell>
          <cell r="I1467">
            <v>15</v>
          </cell>
          <cell r="J1467">
            <v>0</v>
          </cell>
          <cell r="K1467">
            <v>36</v>
          </cell>
          <cell r="L1467">
            <v>0</v>
          </cell>
          <cell r="M1467">
            <v>13</v>
          </cell>
          <cell r="N1467">
            <v>0</v>
          </cell>
          <cell r="O1467">
            <v>22</v>
          </cell>
          <cell r="P1467">
            <v>13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 t="str">
            <v>LCDPREMIUM</v>
          </cell>
          <cell r="AH1467" t="str">
            <v>LCD_Premium</v>
          </cell>
          <cell r="AI1467" t="str">
            <v/>
          </cell>
          <cell r="AJ1467" t="str">
            <v/>
          </cell>
          <cell r="AK1467" t="str">
            <v>0.163186</v>
          </cell>
          <cell r="AL1467" t="str">
            <v>2</v>
          </cell>
          <cell r="AM1467" t="str">
            <v>Q</v>
          </cell>
          <cell r="AN1467" t="str">
            <v>M0</v>
          </cell>
          <cell r="AO1467" t="str">
            <v>Active(Model)</v>
          </cell>
          <cell r="AP1467" t="str">
            <v/>
          </cell>
          <cell r="AQ1467" t="str">
            <v/>
          </cell>
          <cell r="AR1467" t="str">
            <v>Y</v>
          </cell>
          <cell r="AS1467" t="str">
            <v/>
          </cell>
          <cell r="AT1467" t="str">
            <v>TV</v>
          </cell>
          <cell r="AU1467" t="str">
            <v>TV</v>
          </cell>
          <cell r="AV1467" t="str">
            <v>TVLE</v>
          </cell>
          <cell r="AW1467" t="str">
            <v>LED LCD TV</v>
          </cell>
          <cell r="AX1467" t="str">
            <v>TVLE55</v>
          </cell>
          <cell r="AY1467" t="str">
            <v>LED LCD TV 55</v>
          </cell>
          <cell r="AZ1467" t="str">
            <v>TVLE55NU</v>
          </cell>
          <cell r="BA1467" t="str">
            <v>LED LCD TV 55 (UD)</v>
          </cell>
        </row>
        <row r="1468">
          <cell r="E1468" t="str">
            <v>55QNED81BSA.ATV</v>
          </cell>
          <cell r="F1468">
            <v>0</v>
          </cell>
          <cell r="G1468">
            <v>0</v>
          </cell>
          <cell r="H1468">
            <v>0</v>
          </cell>
          <cell r="I1468">
            <v>2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 t="str">
            <v>LCDPREMIUM</v>
          </cell>
          <cell r="AH1468" t="str">
            <v>LCD_Premium</v>
          </cell>
          <cell r="AI1468" t="str">
            <v/>
          </cell>
          <cell r="AJ1468" t="str">
            <v/>
          </cell>
          <cell r="AK1468" t="str">
            <v>0.179771</v>
          </cell>
          <cell r="AL1468" t="str">
            <v>2</v>
          </cell>
          <cell r="AM1468" t="str">
            <v>Q</v>
          </cell>
          <cell r="AN1468" t="str">
            <v>M0</v>
          </cell>
          <cell r="AO1468" t="str">
            <v>Active(Model)</v>
          </cell>
          <cell r="AP1468" t="str">
            <v/>
          </cell>
          <cell r="AQ1468" t="str">
            <v/>
          </cell>
          <cell r="AR1468" t="str">
            <v>Y</v>
          </cell>
          <cell r="AS1468" t="str">
            <v/>
          </cell>
          <cell r="AT1468" t="str">
            <v>TV</v>
          </cell>
          <cell r="AU1468" t="str">
            <v>TV</v>
          </cell>
          <cell r="AV1468" t="str">
            <v>TVLE</v>
          </cell>
          <cell r="AW1468" t="str">
            <v>LED LCD TV</v>
          </cell>
          <cell r="AX1468" t="str">
            <v>TVLE55</v>
          </cell>
          <cell r="AY1468" t="str">
            <v>LED LCD TV 55</v>
          </cell>
          <cell r="AZ1468" t="str">
            <v>TVLE55NU</v>
          </cell>
          <cell r="BA1468" t="str">
            <v>LED LCD TV 55 (UD)</v>
          </cell>
        </row>
        <row r="1469">
          <cell r="E1469" t="str">
            <v>55QNED86BSA.ATV</v>
          </cell>
          <cell r="F1469">
            <v>11</v>
          </cell>
          <cell r="G1469">
            <v>0</v>
          </cell>
          <cell r="H1469">
            <v>0</v>
          </cell>
          <cell r="I1469">
            <v>19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3</v>
          </cell>
          <cell r="O1469">
            <v>10</v>
          </cell>
          <cell r="P1469">
            <v>3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 t="str">
            <v>LCDPREPLUS</v>
          </cell>
          <cell r="AH1469" t="str">
            <v>LCD_Premium Plus</v>
          </cell>
          <cell r="AI1469" t="str">
            <v/>
          </cell>
          <cell r="AJ1469" t="str">
            <v/>
          </cell>
          <cell r="AK1469" t="str">
            <v>0.205999</v>
          </cell>
          <cell r="AL1469" t="str">
            <v>2</v>
          </cell>
          <cell r="AM1469" t="str">
            <v>Q</v>
          </cell>
          <cell r="AN1469" t="str">
            <v>M0</v>
          </cell>
          <cell r="AO1469" t="str">
            <v>Active(Model)</v>
          </cell>
          <cell r="AP1469" t="str">
            <v/>
          </cell>
          <cell r="AQ1469" t="str">
            <v/>
          </cell>
          <cell r="AR1469" t="str">
            <v>Y</v>
          </cell>
          <cell r="AS1469" t="str">
            <v/>
          </cell>
          <cell r="AT1469" t="str">
            <v>TV</v>
          </cell>
          <cell r="AU1469" t="str">
            <v>TV</v>
          </cell>
          <cell r="AV1469" t="str">
            <v>TVLE</v>
          </cell>
          <cell r="AW1469" t="str">
            <v>LED LCD TV</v>
          </cell>
          <cell r="AX1469" t="str">
            <v>TVLE55</v>
          </cell>
          <cell r="AY1469" t="str">
            <v>LED LCD TV 55</v>
          </cell>
          <cell r="AZ1469" t="str">
            <v>TVLE55NU</v>
          </cell>
          <cell r="BA1469" t="str">
            <v>LED LCD TV 55 (UD)</v>
          </cell>
        </row>
        <row r="1470">
          <cell r="E1470" t="str">
            <v>55UA731C0SB.ATVQ</v>
          </cell>
          <cell r="F1470">
            <v>0</v>
          </cell>
          <cell r="G1470">
            <v>0</v>
          </cell>
          <cell r="H1470">
            <v>0</v>
          </cell>
          <cell r="I1470">
            <v>8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 t="str">
            <v/>
          </cell>
          <cell r="AH1470" t="str">
            <v/>
          </cell>
          <cell r="AI1470" t="str">
            <v/>
          </cell>
          <cell r="AJ1470" t="str">
            <v/>
          </cell>
          <cell r="AK1470" t="str">
            <v>0.135157</v>
          </cell>
          <cell r="AL1470" t="str">
            <v>2</v>
          </cell>
          <cell r="AM1470" t="str">
            <v>Q</v>
          </cell>
          <cell r="AN1470" t="str">
            <v>M0</v>
          </cell>
          <cell r="AO1470" t="str">
            <v>Active(Model)</v>
          </cell>
          <cell r="AP1470" t="str">
            <v/>
          </cell>
          <cell r="AQ1470" t="str">
            <v/>
          </cell>
          <cell r="AR1470" t="str">
            <v>Y</v>
          </cell>
          <cell r="AS1470" t="str">
            <v/>
          </cell>
          <cell r="AT1470" t="str">
            <v>CS</v>
          </cell>
          <cell r="AU1470" t="str">
            <v>Commercial Display_Signage</v>
          </cell>
          <cell r="AV1470" t="str">
            <v>CSTE</v>
          </cell>
          <cell r="AW1470" t="str">
            <v>Commercial_LED LCD TV</v>
          </cell>
          <cell r="AX1470" t="str">
            <v>CSTE55</v>
          </cell>
          <cell r="AY1470" t="str">
            <v>Commercial_LED LCD TV 55</v>
          </cell>
          <cell r="AZ1470" t="str">
            <v>CSTE55NU</v>
          </cell>
          <cell r="BA1470" t="str">
            <v>Commercial_LED LCD TV 55(UHD)</v>
          </cell>
        </row>
        <row r="1471">
          <cell r="E1471" t="str">
            <v>55UA841CPSA.ATV</v>
          </cell>
          <cell r="F1471">
            <v>7</v>
          </cell>
          <cell r="G1471">
            <v>0</v>
          </cell>
          <cell r="H1471">
            <v>0</v>
          </cell>
          <cell r="I1471">
            <v>7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 t="str">
            <v/>
          </cell>
          <cell r="AH1471" t="str">
            <v/>
          </cell>
          <cell r="AI1471" t="str">
            <v/>
          </cell>
          <cell r="AJ1471" t="str">
            <v/>
          </cell>
          <cell r="AK1471" t="str">
            <v>0.163186</v>
          </cell>
          <cell r="AL1471" t="str">
            <v>2</v>
          </cell>
          <cell r="AM1471" t="str">
            <v>Q</v>
          </cell>
          <cell r="AN1471" t="str">
            <v>M0</v>
          </cell>
          <cell r="AO1471" t="str">
            <v>Active(Model)</v>
          </cell>
          <cell r="AP1471" t="str">
            <v/>
          </cell>
          <cell r="AQ1471" t="str">
            <v/>
          </cell>
          <cell r="AR1471" t="str">
            <v>Y</v>
          </cell>
          <cell r="AS1471" t="str">
            <v/>
          </cell>
          <cell r="AT1471" t="str">
            <v>CS</v>
          </cell>
          <cell r="AU1471" t="str">
            <v>Commercial Display_Signage</v>
          </cell>
          <cell r="AV1471" t="str">
            <v>CSTE</v>
          </cell>
          <cell r="AW1471" t="str">
            <v>Commercial_LED LCD TV</v>
          </cell>
          <cell r="AX1471" t="str">
            <v>CSTE55</v>
          </cell>
          <cell r="AY1471" t="str">
            <v>Commercial_LED LCD TV 55</v>
          </cell>
          <cell r="AZ1471" t="str">
            <v>CSTE55NU</v>
          </cell>
          <cell r="BA1471" t="str">
            <v>Commercial_LED LCD TV 55(UHD)</v>
          </cell>
        </row>
        <row r="1472">
          <cell r="E1472" t="str">
            <v>55UK760H0SD.ATV</v>
          </cell>
          <cell r="F1472">
            <v>1</v>
          </cell>
          <cell r="G1472">
            <v>0</v>
          </cell>
          <cell r="H1472">
            <v>0</v>
          </cell>
          <cell r="I1472">
            <v>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 t="str">
            <v/>
          </cell>
          <cell r="AH1472" t="str">
            <v/>
          </cell>
          <cell r="AI1472" t="str">
            <v/>
          </cell>
          <cell r="AJ1472" t="str">
            <v/>
          </cell>
          <cell r="AK1472" t="str">
            <v>0.178459</v>
          </cell>
          <cell r="AL1472" t="str">
            <v>2</v>
          </cell>
          <cell r="AM1472" t="str">
            <v>Q</v>
          </cell>
          <cell r="AN1472" t="str">
            <v>M0</v>
          </cell>
          <cell r="AO1472" t="str">
            <v>Active(Model)</v>
          </cell>
          <cell r="AP1472" t="str">
            <v/>
          </cell>
          <cell r="AQ1472" t="str">
            <v/>
          </cell>
          <cell r="AR1472" t="str">
            <v>Y</v>
          </cell>
          <cell r="AS1472" t="str">
            <v/>
          </cell>
          <cell r="AT1472" t="str">
            <v>HT</v>
          </cell>
          <cell r="AU1472" t="str">
            <v>Commercial Display_Hotel</v>
          </cell>
          <cell r="AV1472" t="str">
            <v>HTTE</v>
          </cell>
          <cell r="AW1472" t="str">
            <v>Commercial(Hotel)_LED LCD TV</v>
          </cell>
          <cell r="AX1472" t="str">
            <v>HTTE55</v>
          </cell>
          <cell r="AY1472" t="str">
            <v>Commercial(Hotel)_LED LCD TV 55</v>
          </cell>
          <cell r="AZ1472" t="str">
            <v>HTTE55NU</v>
          </cell>
          <cell r="BA1472" t="str">
            <v>Commercial(Hotel)_LED LCD TV 55(UHD)</v>
          </cell>
        </row>
        <row r="1473">
          <cell r="E1473" t="str">
            <v>55UL3Q-E.ATVQ</v>
          </cell>
          <cell r="F1473">
            <v>2</v>
          </cell>
          <cell r="G1473">
            <v>0</v>
          </cell>
          <cell r="H1473">
            <v>0</v>
          </cell>
          <cell r="I1473">
            <v>2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 t="str">
            <v/>
          </cell>
          <cell r="AH1473" t="str">
            <v/>
          </cell>
          <cell r="AI1473" t="str">
            <v/>
          </cell>
          <cell r="AJ1473" t="str">
            <v/>
          </cell>
          <cell r="AK1473" t="str">
            <v>0.134343</v>
          </cell>
          <cell r="AL1473" t="str">
            <v>2</v>
          </cell>
          <cell r="AM1473" t="str">
            <v>Q</v>
          </cell>
          <cell r="AN1473" t="str">
            <v>M0</v>
          </cell>
          <cell r="AO1473" t="str">
            <v>Active(Model)</v>
          </cell>
          <cell r="AP1473" t="str">
            <v/>
          </cell>
          <cell r="AQ1473" t="str">
            <v/>
          </cell>
          <cell r="AR1473" t="str">
            <v>Y</v>
          </cell>
          <cell r="AS1473" t="str">
            <v/>
          </cell>
          <cell r="AT1473" t="str">
            <v>CS</v>
          </cell>
          <cell r="AU1473" t="str">
            <v>Commercial Display_Signage</v>
          </cell>
          <cell r="AV1473" t="str">
            <v>CSME</v>
          </cell>
          <cell r="AW1473" t="str">
            <v>Commercial_LED LCD Monitor</v>
          </cell>
          <cell r="AX1473" t="str">
            <v>CSME55</v>
          </cell>
          <cell r="AY1473" t="str">
            <v>Commercial_LED LCD Monitor 55</v>
          </cell>
          <cell r="AZ1473" t="str">
            <v>CSME55FW</v>
          </cell>
          <cell r="BA1473" t="str">
            <v>Commercial_LED LCD Monitor 55 (MFT WIDE)</v>
          </cell>
        </row>
        <row r="1474">
          <cell r="E1474" t="str">
            <v>65NU805BPSB.ATVQ</v>
          </cell>
          <cell r="F1474">
            <v>0</v>
          </cell>
          <cell r="G1474">
            <v>0</v>
          </cell>
          <cell r="H1474">
            <v>0</v>
          </cell>
          <cell r="I1474">
            <v>2</v>
          </cell>
          <cell r="J1474">
            <v>0</v>
          </cell>
          <cell r="K1474">
            <v>500</v>
          </cell>
          <cell r="L1474">
            <v>0</v>
          </cell>
          <cell r="M1474">
            <v>0</v>
          </cell>
          <cell r="N1474">
            <v>0</v>
          </cell>
          <cell r="O1474">
            <v>50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 t="str">
            <v>LCDPREMIUM</v>
          </cell>
          <cell r="AH1474" t="str">
            <v>LCD_Premium</v>
          </cell>
          <cell r="AI1474" t="str">
            <v/>
          </cell>
          <cell r="AJ1474" t="str">
            <v/>
          </cell>
          <cell r="AK1474" t="str">
            <v>0.204710</v>
          </cell>
          <cell r="AL1474" t="str">
            <v>2</v>
          </cell>
          <cell r="AM1474" t="str">
            <v>Q</v>
          </cell>
          <cell r="AN1474" t="str">
            <v>M0</v>
          </cell>
          <cell r="AO1474" t="str">
            <v>Active(Model)</v>
          </cell>
          <cell r="AP1474" t="str">
            <v/>
          </cell>
          <cell r="AQ1474" t="str">
            <v/>
          </cell>
          <cell r="AR1474" t="str">
            <v>Y</v>
          </cell>
          <cell r="AS1474" t="str">
            <v/>
          </cell>
          <cell r="AT1474" t="str">
            <v>TV</v>
          </cell>
          <cell r="AU1474" t="str">
            <v>TV</v>
          </cell>
          <cell r="AV1474" t="str">
            <v>TVLE</v>
          </cell>
          <cell r="AW1474" t="str">
            <v>LED LCD TV</v>
          </cell>
          <cell r="AX1474" t="str">
            <v>TVLE65</v>
          </cell>
          <cell r="AY1474" t="str">
            <v>LED LCD TV 65</v>
          </cell>
          <cell r="AZ1474" t="str">
            <v>TVLE65OU</v>
          </cell>
          <cell r="BA1474" t="str">
            <v>LED LCD TV 65 (O/S, UD)</v>
          </cell>
        </row>
        <row r="1475">
          <cell r="E1475" t="str">
            <v>65NU835BPSA.ATV</v>
          </cell>
          <cell r="F1475">
            <v>70</v>
          </cell>
          <cell r="G1475">
            <v>0</v>
          </cell>
          <cell r="H1475">
            <v>0</v>
          </cell>
          <cell r="I1475">
            <v>70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 t="str">
            <v>LCDPREMIUM</v>
          </cell>
          <cell r="AH1475" t="str">
            <v>LCD_Premium</v>
          </cell>
          <cell r="AI1475" t="str">
            <v/>
          </cell>
          <cell r="AJ1475" t="str">
            <v/>
          </cell>
          <cell r="AK1475" t="str">
            <v>0.213142</v>
          </cell>
          <cell r="AL1475" t="str">
            <v>2</v>
          </cell>
          <cell r="AM1475" t="str">
            <v>Q</v>
          </cell>
          <cell r="AN1475" t="str">
            <v>M0</v>
          </cell>
          <cell r="AO1475" t="str">
            <v>Active(Model)</v>
          </cell>
          <cell r="AP1475" t="str">
            <v/>
          </cell>
          <cell r="AQ1475" t="str">
            <v/>
          </cell>
          <cell r="AR1475" t="str">
            <v>Y</v>
          </cell>
          <cell r="AS1475" t="str">
            <v/>
          </cell>
          <cell r="AT1475" t="str">
            <v>TV</v>
          </cell>
          <cell r="AU1475" t="str">
            <v>TV</v>
          </cell>
          <cell r="AV1475" t="str">
            <v>TVLE</v>
          </cell>
          <cell r="AW1475" t="str">
            <v>LED LCD TV</v>
          </cell>
          <cell r="AX1475" t="str">
            <v>TVLE65</v>
          </cell>
          <cell r="AY1475" t="str">
            <v>LED LCD TV 65</v>
          </cell>
          <cell r="AZ1475" t="str">
            <v>TVLE65NU</v>
          </cell>
          <cell r="BA1475" t="str">
            <v>LED LCD TV 65 (UD)</v>
          </cell>
        </row>
        <row r="1476">
          <cell r="E1476" t="str">
            <v>65NU855BPSA.ATV</v>
          </cell>
          <cell r="F1476">
            <v>0</v>
          </cell>
          <cell r="G1476">
            <v>0</v>
          </cell>
          <cell r="H1476">
            <v>0</v>
          </cell>
          <cell r="I1476">
            <v>2</v>
          </cell>
          <cell r="J1476">
            <v>0</v>
          </cell>
          <cell r="K1476">
            <v>30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 t="str">
            <v>LCDPREMIUM</v>
          </cell>
          <cell r="AH1476" t="str">
            <v>LCD_Premium</v>
          </cell>
          <cell r="AI1476" t="str">
            <v/>
          </cell>
          <cell r="AJ1476" t="str">
            <v/>
          </cell>
          <cell r="AK1476" t="str">
            <v>0.213142</v>
          </cell>
          <cell r="AL1476" t="str">
            <v>2</v>
          </cell>
          <cell r="AM1476" t="str">
            <v>Q</v>
          </cell>
          <cell r="AN1476" t="str">
            <v>M0</v>
          </cell>
          <cell r="AO1476" t="str">
            <v>Active(Model)</v>
          </cell>
          <cell r="AP1476" t="str">
            <v/>
          </cell>
          <cell r="AQ1476" t="str">
            <v/>
          </cell>
          <cell r="AR1476" t="str">
            <v>Y</v>
          </cell>
          <cell r="AS1476" t="str">
            <v/>
          </cell>
          <cell r="AT1476" t="str">
            <v>TV</v>
          </cell>
          <cell r="AU1476" t="str">
            <v>TV</v>
          </cell>
          <cell r="AV1476" t="str">
            <v>TVLE</v>
          </cell>
          <cell r="AW1476" t="str">
            <v>LED LCD TV</v>
          </cell>
          <cell r="AX1476" t="str">
            <v>TVLE65</v>
          </cell>
          <cell r="AY1476" t="str">
            <v>LED LCD TV 65</v>
          </cell>
          <cell r="AZ1476" t="str">
            <v>TVLE65NU</v>
          </cell>
          <cell r="BA1476" t="str">
            <v>LED LCD TV 65 (UD)</v>
          </cell>
        </row>
        <row r="1477">
          <cell r="E1477" t="str">
            <v>65NU875BPSC.ATV</v>
          </cell>
          <cell r="F1477">
            <v>0</v>
          </cell>
          <cell r="G1477">
            <v>0</v>
          </cell>
          <cell r="H1477">
            <v>0</v>
          </cell>
          <cell r="I1477">
            <v>1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1</v>
          </cell>
          <cell r="AE1477">
            <v>0</v>
          </cell>
          <cell r="AF1477">
            <v>1</v>
          </cell>
          <cell r="AG1477" t="str">
            <v>LCDPREMIUM</v>
          </cell>
          <cell r="AH1477" t="str">
            <v>LCD_Premium</v>
          </cell>
          <cell r="AI1477" t="str">
            <v/>
          </cell>
          <cell r="AJ1477" t="str">
            <v/>
          </cell>
          <cell r="AK1477" t="str">
            <v>0.213142</v>
          </cell>
          <cell r="AL1477" t="str">
            <v>2</v>
          </cell>
          <cell r="AM1477" t="str">
            <v>Q</v>
          </cell>
          <cell r="AN1477" t="str">
            <v>M0</v>
          </cell>
          <cell r="AO1477" t="str">
            <v>Active(Model)</v>
          </cell>
          <cell r="AP1477" t="str">
            <v/>
          </cell>
          <cell r="AQ1477" t="str">
            <v/>
          </cell>
          <cell r="AR1477" t="str">
            <v>Y</v>
          </cell>
          <cell r="AS1477" t="str">
            <v/>
          </cell>
          <cell r="AT1477" t="str">
            <v>TV</v>
          </cell>
          <cell r="AU1477" t="str">
            <v>TV</v>
          </cell>
          <cell r="AV1477" t="str">
            <v>TVLE</v>
          </cell>
          <cell r="AW1477" t="str">
            <v>LED LCD TV</v>
          </cell>
          <cell r="AX1477" t="str">
            <v>TVLE65</v>
          </cell>
          <cell r="AY1477" t="str">
            <v>LED LCD TV 65</v>
          </cell>
          <cell r="AZ1477" t="str">
            <v>TVLE65NU</v>
          </cell>
          <cell r="BA1477" t="str">
            <v>LED LCD TV 65 (UD)</v>
          </cell>
        </row>
        <row r="1478">
          <cell r="E1478" t="str">
            <v>65QNED70BSA.ATV</v>
          </cell>
          <cell r="F1478">
            <v>56</v>
          </cell>
          <cell r="G1478">
            <v>0</v>
          </cell>
          <cell r="H1478">
            <v>0</v>
          </cell>
          <cell r="I1478">
            <v>56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81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 t="str">
            <v>LCDPREPLUS</v>
          </cell>
          <cell r="AH1478" t="str">
            <v>LCD_Premium Plus</v>
          </cell>
          <cell r="AI1478" t="str">
            <v/>
          </cell>
          <cell r="AJ1478" t="str">
            <v/>
          </cell>
          <cell r="AK1478" t="str">
            <v>0.213142</v>
          </cell>
          <cell r="AL1478" t="str">
            <v>2</v>
          </cell>
          <cell r="AM1478" t="str">
            <v>Q</v>
          </cell>
          <cell r="AN1478" t="str">
            <v>M0</v>
          </cell>
          <cell r="AO1478" t="str">
            <v>Active(Model)</v>
          </cell>
          <cell r="AP1478" t="str">
            <v/>
          </cell>
          <cell r="AQ1478" t="str">
            <v/>
          </cell>
          <cell r="AR1478" t="str">
            <v>Y</v>
          </cell>
          <cell r="AS1478" t="str">
            <v/>
          </cell>
          <cell r="AT1478" t="str">
            <v>TV</v>
          </cell>
          <cell r="AU1478" t="str">
            <v>TV</v>
          </cell>
          <cell r="AV1478" t="str">
            <v>TVLE</v>
          </cell>
          <cell r="AW1478" t="str">
            <v>LED LCD TV</v>
          </cell>
          <cell r="AX1478" t="str">
            <v>TVLE65</v>
          </cell>
          <cell r="AY1478" t="str">
            <v>LED LCD TV 65</v>
          </cell>
          <cell r="AZ1478" t="str">
            <v>TVLE65NU</v>
          </cell>
          <cell r="BA1478" t="str">
            <v>LED LCD TV 65 (UD)</v>
          </cell>
        </row>
        <row r="1479">
          <cell r="E1479" t="str">
            <v>65QNED80BSA.ATV</v>
          </cell>
          <cell r="F1479">
            <v>0</v>
          </cell>
          <cell r="G1479">
            <v>0</v>
          </cell>
          <cell r="H1479">
            <v>0</v>
          </cell>
          <cell r="I1479">
            <v>20</v>
          </cell>
          <cell r="J1479">
            <v>0</v>
          </cell>
          <cell r="K1479">
            <v>22</v>
          </cell>
          <cell r="L1479">
            <v>0</v>
          </cell>
          <cell r="M1479">
            <v>20</v>
          </cell>
          <cell r="N1479">
            <v>0</v>
          </cell>
          <cell r="O1479">
            <v>15</v>
          </cell>
          <cell r="P1479">
            <v>20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 t="str">
            <v>LCDPREPLUS</v>
          </cell>
          <cell r="AH1479" t="str">
            <v>LCD_Premium Plus</v>
          </cell>
          <cell r="AI1479" t="str">
            <v/>
          </cell>
          <cell r="AJ1479" t="str">
            <v/>
          </cell>
          <cell r="AK1479" t="str">
            <v>0.243162</v>
          </cell>
          <cell r="AL1479" t="str">
            <v>2</v>
          </cell>
          <cell r="AM1479" t="str">
            <v>Q</v>
          </cell>
          <cell r="AN1479" t="str">
            <v>M0</v>
          </cell>
          <cell r="AO1479" t="str">
            <v>Active(Model)</v>
          </cell>
          <cell r="AP1479" t="str">
            <v/>
          </cell>
          <cell r="AQ1479" t="str">
            <v/>
          </cell>
          <cell r="AR1479" t="str">
            <v>Y</v>
          </cell>
          <cell r="AS1479" t="str">
            <v/>
          </cell>
          <cell r="AT1479" t="str">
            <v>TV</v>
          </cell>
          <cell r="AU1479" t="str">
            <v>TV</v>
          </cell>
          <cell r="AV1479" t="str">
            <v>TVLE</v>
          </cell>
          <cell r="AW1479" t="str">
            <v>LED LCD TV</v>
          </cell>
          <cell r="AX1479" t="str">
            <v>TVLE65</v>
          </cell>
          <cell r="AY1479" t="str">
            <v>LED LCD TV 65</v>
          </cell>
          <cell r="AZ1479" t="str">
            <v>TVLE65NU</v>
          </cell>
          <cell r="BA1479" t="str">
            <v>LED LCD TV 65 (UD)</v>
          </cell>
        </row>
        <row r="1480">
          <cell r="E1480" t="str">
            <v>65QNED81BSA.ATV</v>
          </cell>
          <cell r="F1480">
            <v>0</v>
          </cell>
          <cell r="G1480">
            <v>0</v>
          </cell>
          <cell r="H1480">
            <v>0</v>
          </cell>
          <cell r="I1480">
            <v>4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 t="str">
            <v>LCDPREPLUS</v>
          </cell>
          <cell r="AH1480" t="str">
            <v>LCD_Premium Plus</v>
          </cell>
          <cell r="AI1480" t="str">
            <v/>
          </cell>
          <cell r="AJ1480" t="str">
            <v/>
          </cell>
          <cell r="AK1480" t="str">
            <v>0.266944</v>
          </cell>
          <cell r="AL1480" t="str">
            <v>2</v>
          </cell>
          <cell r="AM1480" t="str">
            <v>Q</v>
          </cell>
          <cell r="AN1480" t="str">
            <v>M0</v>
          </cell>
          <cell r="AO1480" t="str">
            <v>Active(Model)</v>
          </cell>
          <cell r="AP1480" t="str">
            <v/>
          </cell>
          <cell r="AQ1480" t="str">
            <v/>
          </cell>
          <cell r="AR1480" t="str">
            <v>Y</v>
          </cell>
          <cell r="AS1480" t="str">
            <v/>
          </cell>
          <cell r="AT1480" t="str">
            <v>TV</v>
          </cell>
          <cell r="AU1480" t="str">
            <v>TV</v>
          </cell>
          <cell r="AV1480" t="str">
            <v>TVLE</v>
          </cell>
          <cell r="AW1480" t="str">
            <v>LED LCD TV</v>
          </cell>
          <cell r="AX1480" t="str">
            <v>TVLE65</v>
          </cell>
          <cell r="AY1480" t="str">
            <v>LED LCD TV 65</v>
          </cell>
          <cell r="AZ1480" t="str">
            <v>TVLE65NU</v>
          </cell>
          <cell r="BA1480" t="str">
            <v>LED LCD TV 65 (UD)</v>
          </cell>
        </row>
        <row r="1481">
          <cell r="E1481" t="str">
            <v>65QNED86BSA.ATV</v>
          </cell>
          <cell r="F1481">
            <v>2</v>
          </cell>
          <cell r="G1481">
            <v>0</v>
          </cell>
          <cell r="H1481">
            <v>0</v>
          </cell>
          <cell r="I1481">
            <v>20</v>
          </cell>
          <cell r="J1481">
            <v>0</v>
          </cell>
          <cell r="K1481">
            <v>0</v>
          </cell>
          <cell r="L1481">
            <v>0</v>
          </cell>
          <cell r="M1481">
            <v>1</v>
          </cell>
          <cell r="N1481">
            <v>15</v>
          </cell>
          <cell r="O1481">
            <v>1</v>
          </cell>
          <cell r="P1481">
            <v>16</v>
          </cell>
          <cell r="Q1481">
            <v>0</v>
          </cell>
          <cell r="R1481">
            <v>0</v>
          </cell>
          <cell r="S1481">
            <v>18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 t="str">
            <v>LCDPREPLUS</v>
          </cell>
          <cell r="AH1481" t="str">
            <v>LCD_Premium Plus</v>
          </cell>
          <cell r="AI1481" t="str">
            <v/>
          </cell>
          <cell r="AJ1481" t="str">
            <v/>
          </cell>
          <cell r="AK1481" t="str">
            <v>0.315056</v>
          </cell>
          <cell r="AL1481" t="str">
            <v>2</v>
          </cell>
          <cell r="AM1481" t="str">
            <v>Q</v>
          </cell>
          <cell r="AN1481" t="str">
            <v>M0</v>
          </cell>
          <cell r="AO1481" t="str">
            <v>Active(Model)</v>
          </cell>
          <cell r="AP1481" t="str">
            <v/>
          </cell>
          <cell r="AQ1481" t="str">
            <v/>
          </cell>
          <cell r="AR1481" t="str">
            <v>Y</v>
          </cell>
          <cell r="AS1481" t="str">
            <v/>
          </cell>
          <cell r="AT1481" t="str">
            <v>TV</v>
          </cell>
          <cell r="AU1481" t="str">
            <v>TV</v>
          </cell>
          <cell r="AV1481" t="str">
            <v>TVLE</v>
          </cell>
          <cell r="AW1481" t="str">
            <v>LED LCD TV</v>
          </cell>
          <cell r="AX1481" t="str">
            <v>TVLE65</v>
          </cell>
          <cell r="AY1481" t="str">
            <v>LED LCD TV 65</v>
          </cell>
          <cell r="AZ1481" t="str">
            <v>TVLE65NU</v>
          </cell>
          <cell r="BA1481" t="str">
            <v>LED LCD TV 65 (UD)</v>
          </cell>
        </row>
        <row r="1482">
          <cell r="E1482" t="str">
            <v>65UA731C0SB.ATVQ</v>
          </cell>
          <cell r="F1482">
            <v>12</v>
          </cell>
          <cell r="G1482">
            <v>0</v>
          </cell>
          <cell r="H1482">
            <v>0</v>
          </cell>
          <cell r="I1482">
            <v>12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 t="str">
            <v/>
          </cell>
          <cell r="AH1482" t="str">
            <v/>
          </cell>
          <cell r="AI1482" t="str">
            <v/>
          </cell>
          <cell r="AJ1482" t="str">
            <v/>
          </cell>
          <cell r="AK1482" t="str">
            <v>0.223397</v>
          </cell>
          <cell r="AL1482" t="str">
            <v>2</v>
          </cell>
          <cell r="AM1482" t="str">
            <v>Q</v>
          </cell>
          <cell r="AN1482" t="str">
            <v>M0</v>
          </cell>
          <cell r="AO1482" t="str">
            <v>Active(Model)</v>
          </cell>
          <cell r="AP1482" t="str">
            <v/>
          </cell>
          <cell r="AQ1482" t="str">
            <v/>
          </cell>
          <cell r="AR1482" t="str">
            <v>Y</v>
          </cell>
          <cell r="AS1482" t="str">
            <v/>
          </cell>
          <cell r="AT1482" t="str">
            <v>CS</v>
          </cell>
          <cell r="AU1482" t="str">
            <v>Commercial Display_Signage</v>
          </cell>
          <cell r="AV1482" t="str">
            <v>CSTE</v>
          </cell>
          <cell r="AW1482" t="str">
            <v>Commercial_LED LCD TV</v>
          </cell>
          <cell r="AX1482" t="str">
            <v>CSTE65</v>
          </cell>
          <cell r="AY1482" t="str">
            <v>Commercial_LED LCD TV 65</v>
          </cell>
          <cell r="AZ1482" t="str">
            <v>CSTE65NU</v>
          </cell>
          <cell r="BA1482" t="str">
            <v>Commercial_LED LCD TV 65(UHD)</v>
          </cell>
        </row>
        <row r="1483">
          <cell r="E1483" t="str">
            <v>65UA841CPSA.ATV</v>
          </cell>
          <cell r="F1483">
            <v>12</v>
          </cell>
          <cell r="G1483">
            <v>0</v>
          </cell>
          <cell r="H1483">
            <v>0</v>
          </cell>
          <cell r="I1483">
            <v>12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 t="str">
            <v/>
          </cell>
          <cell r="AH1483" t="str">
            <v/>
          </cell>
          <cell r="AI1483" t="str">
            <v/>
          </cell>
          <cell r="AJ1483" t="str">
            <v/>
          </cell>
          <cell r="AK1483" t="str">
            <v>0.243162</v>
          </cell>
          <cell r="AL1483" t="str">
            <v>2</v>
          </cell>
          <cell r="AM1483" t="str">
            <v>Q</v>
          </cell>
          <cell r="AN1483" t="str">
            <v>M0</v>
          </cell>
          <cell r="AO1483" t="str">
            <v>Active(Model)</v>
          </cell>
          <cell r="AP1483" t="str">
            <v/>
          </cell>
          <cell r="AQ1483" t="str">
            <v/>
          </cell>
          <cell r="AR1483" t="str">
            <v>Y</v>
          </cell>
          <cell r="AS1483" t="str">
            <v/>
          </cell>
          <cell r="AT1483" t="str">
            <v>CS</v>
          </cell>
          <cell r="AU1483" t="str">
            <v>Commercial Display_Signage</v>
          </cell>
          <cell r="AV1483" t="str">
            <v>CSTE</v>
          </cell>
          <cell r="AW1483" t="str">
            <v>Commercial_LED LCD TV</v>
          </cell>
          <cell r="AX1483" t="str">
            <v>CSTE65</v>
          </cell>
          <cell r="AY1483" t="str">
            <v>Commercial_LED LCD TV 65</v>
          </cell>
          <cell r="AZ1483" t="str">
            <v>CSTE65NU</v>
          </cell>
          <cell r="BA1483" t="str">
            <v>Commercial_LED LCD TV 65(UHD)</v>
          </cell>
        </row>
        <row r="1484">
          <cell r="E1484" t="str">
            <v>75NU805BPSB.ATVQ</v>
          </cell>
          <cell r="F1484">
            <v>54</v>
          </cell>
          <cell r="G1484">
            <v>0</v>
          </cell>
          <cell r="H1484">
            <v>0</v>
          </cell>
          <cell r="I1484">
            <v>80</v>
          </cell>
          <cell r="J1484">
            <v>0</v>
          </cell>
          <cell r="K1484">
            <v>0</v>
          </cell>
          <cell r="L1484">
            <v>0</v>
          </cell>
          <cell r="M1484">
            <v>10</v>
          </cell>
          <cell r="N1484">
            <v>13</v>
          </cell>
          <cell r="O1484">
            <v>35</v>
          </cell>
          <cell r="P1484">
            <v>23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 t="str">
            <v>LCDPREPLUS</v>
          </cell>
          <cell r="AH1484" t="str">
            <v>LCD_Premium Plus</v>
          </cell>
          <cell r="AI1484" t="str">
            <v/>
          </cell>
          <cell r="AJ1484" t="str">
            <v/>
          </cell>
          <cell r="AK1484" t="str">
            <v>0.331169</v>
          </cell>
          <cell r="AL1484" t="str">
            <v>2</v>
          </cell>
          <cell r="AM1484" t="str">
            <v>Q</v>
          </cell>
          <cell r="AN1484" t="str">
            <v>M0</v>
          </cell>
          <cell r="AO1484" t="str">
            <v>Active(Model)</v>
          </cell>
          <cell r="AP1484" t="str">
            <v/>
          </cell>
          <cell r="AQ1484" t="str">
            <v/>
          </cell>
          <cell r="AR1484" t="str">
            <v>Y</v>
          </cell>
          <cell r="AS1484" t="str">
            <v/>
          </cell>
          <cell r="AT1484" t="str">
            <v>TV</v>
          </cell>
          <cell r="AU1484" t="str">
            <v>TV</v>
          </cell>
          <cell r="AV1484" t="str">
            <v>TVLE</v>
          </cell>
          <cell r="AW1484" t="str">
            <v>LED LCD TV</v>
          </cell>
          <cell r="AX1484" t="str">
            <v>TVLE75</v>
          </cell>
          <cell r="AY1484" t="str">
            <v>LED LCD TV 75</v>
          </cell>
          <cell r="AZ1484" t="str">
            <v>TVLE75OU</v>
          </cell>
          <cell r="BA1484" t="str">
            <v>LED LCD TV 75 (O/S, UD)</v>
          </cell>
        </row>
        <row r="1485">
          <cell r="E1485" t="str">
            <v>75NU855BPSA.ATV</v>
          </cell>
          <cell r="F1485">
            <v>9</v>
          </cell>
          <cell r="G1485">
            <v>0</v>
          </cell>
          <cell r="H1485">
            <v>0</v>
          </cell>
          <cell r="I1485">
            <v>19</v>
          </cell>
          <cell r="J1485">
            <v>0</v>
          </cell>
          <cell r="K1485">
            <v>0</v>
          </cell>
          <cell r="L1485">
            <v>0</v>
          </cell>
          <cell r="M1485">
            <v>5</v>
          </cell>
          <cell r="N1485">
            <v>3</v>
          </cell>
          <cell r="O1485">
            <v>16</v>
          </cell>
          <cell r="P1485">
            <v>8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2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 t="str">
            <v>LCDPREPLUS</v>
          </cell>
          <cell r="AH1485" t="str">
            <v>LCD_Premium Plus</v>
          </cell>
          <cell r="AI1485" t="str">
            <v/>
          </cell>
          <cell r="AJ1485" t="str">
            <v/>
          </cell>
          <cell r="AK1485" t="str">
            <v>0.319901</v>
          </cell>
          <cell r="AL1485" t="str">
            <v>2</v>
          </cell>
          <cell r="AM1485" t="str">
            <v>Q</v>
          </cell>
          <cell r="AN1485" t="str">
            <v>M0</v>
          </cell>
          <cell r="AO1485" t="str">
            <v>Active(Model)</v>
          </cell>
          <cell r="AP1485" t="str">
            <v/>
          </cell>
          <cell r="AQ1485" t="str">
            <v/>
          </cell>
          <cell r="AR1485" t="str">
            <v>Y</v>
          </cell>
          <cell r="AS1485" t="str">
            <v/>
          </cell>
          <cell r="AT1485" t="str">
            <v>TV</v>
          </cell>
          <cell r="AU1485" t="str">
            <v>TV</v>
          </cell>
          <cell r="AV1485" t="str">
            <v>TVLE</v>
          </cell>
          <cell r="AW1485" t="str">
            <v>LED LCD TV</v>
          </cell>
          <cell r="AX1485" t="str">
            <v>TVLE75</v>
          </cell>
          <cell r="AY1485" t="str">
            <v>LED LCD TV 75</v>
          </cell>
          <cell r="AZ1485" t="str">
            <v>TVLE75NU</v>
          </cell>
          <cell r="BA1485" t="str">
            <v>LED LCD TV 75 (UD)</v>
          </cell>
        </row>
        <row r="1486">
          <cell r="E1486" t="str">
            <v>75NU85CBPSA.ATV</v>
          </cell>
          <cell r="F1486">
            <v>0</v>
          </cell>
          <cell r="G1486">
            <v>0</v>
          </cell>
          <cell r="H1486">
            <v>0</v>
          </cell>
          <cell r="I1486">
            <v>2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2</v>
          </cell>
          <cell r="O1486">
            <v>0</v>
          </cell>
          <cell r="P1486">
            <v>2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 t="str">
            <v/>
          </cell>
          <cell r="AH1486" t="str">
            <v/>
          </cell>
          <cell r="AI1486" t="str">
            <v/>
          </cell>
          <cell r="AJ1486" t="str">
            <v/>
          </cell>
          <cell r="AK1486" t="str">
            <v>0.319901</v>
          </cell>
          <cell r="AL1486" t="str">
            <v>2</v>
          </cell>
          <cell r="AM1486" t="str">
            <v>Q</v>
          </cell>
          <cell r="AN1486" t="str">
            <v>M0</v>
          </cell>
          <cell r="AO1486" t="str">
            <v>Active(Model)</v>
          </cell>
          <cell r="AP1486" t="str">
            <v/>
          </cell>
          <cell r="AQ1486" t="str">
            <v/>
          </cell>
          <cell r="AR1486" t="str">
            <v>Y</v>
          </cell>
          <cell r="AS1486" t="str">
            <v/>
          </cell>
          <cell r="AT1486" t="str">
            <v>CS</v>
          </cell>
          <cell r="AU1486" t="str">
            <v>Commercial Display_Signage</v>
          </cell>
          <cell r="AV1486" t="str">
            <v>CSTE</v>
          </cell>
          <cell r="AW1486" t="str">
            <v>Commercial_LED LCD TV</v>
          </cell>
          <cell r="AX1486" t="str">
            <v>CSTE75</v>
          </cell>
          <cell r="AY1486" t="str">
            <v>Commercial_LED LCD TV 75</v>
          </cell>
          <cell r="AZ1486" t="str">
            <v>CSTE75NU</v>
          </cell>
          <cell r="BA1486" t="str">
            <v>Commercial_LED LCD TV 75(UHD)</v>
          </cell>
        </row>
        <row r="1487">
          <cell r="E1487" t="str">
            <v>75PK640S0SA.ATVQ</v>
          </cell>
          <cell r="F1487">
            <v>1</v>
          </cell>
          <cell r="G1487">
            <v>0</v>
          </cell>
          <cell r="H1487">
            <v>0</v>
          </cell>
          <cell r="I1487">
            <v>1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 t="str">
            <v/>
          </cell>
          <cell r="AH1487" t="str">
            <v/>
          </cell>
          <cell r="AI1487" t="str">
            <v/>
          </cell>
          <cell r="AJ1487" t="str">
            <v/>
          </cell>
          <cell r="AK1487" t="str">
            <v>0.377344</v>
          </cell>
          <cell r="AL1487" t="str">
            <v>2</v>
          </cell>
          <cell r="AM1487" t="str">
            <v>Q</v>
          </cell>
          <cell r="AN1487" t="str">
            <v>M0</v>
          </cell>
          <cell r="AO1487" t="str">
            <v>Active(Model)</v>
          </cell>
          <cell r="AP1487" t="str">
            <v/>
          </cell>
          <cell r="AQ1487" t="str">
            <v/>
          </cell>
          <cell r="AR1487" t="str">
            <v>Y</v>
          </cell>
          <cell r="AS1487" t="str">
            <v/>
          </cell>
          <cell r="AT1487" t="str">
            <v>CS</v>
          </cell>
          <cell r="AU1487" t="str">
            <v>Commercial Display_Signage</v>
          </cell>
          <cell r="AV1487" t="str">
            <v>CSTE</v>
          </cell>
          <cell r="AW1487" t="str">
            <v>Commercial_LED LCD TV</v>
          </cell>
          <cell r="AX1487" t="str">
            <v>CSTE75</v>
          </cell>
          <cell r="AY1487" t="str">
            <v>Commercial_LED LCD TV 75</v>
          </cell>
          <cell r="AZ1487" t="str">
            <v>CSTE75NU</v>
          </cell>
          <cell r="BA1487" t="str">
            <v>Commercial_LED LCD TV 75(UHD)</v>
          </cell>
        </row>
        <row r="1488">
          <cell r="E1488" t="str">
            <v>75QNED70BSA.ATV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5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 t="str">
            <v>LCDPREPLUS</v>
          </cell>
          <cell r="AH1488" t="str">
            <v>LCD_Premium Plus</v>
          </cell>
          <cell r="AI1488" t="str">
            <v/>
          </cell>
          <cell r="AJ1488" t="str">
            <v/>
          </cell>
          <cell r="AK1488" t="str">
            <v>0.319901</v>
          </cell>
          <cell r="AL1488" t="str">
            <v>2</v>
          </cell>
          <cell r="AM1488" t="str">
            <v>Q</v>
          </cell>
          <cell r="AN1488" t="str">
            <v>M0</v>
          </cell>
          <cell r="AO1488" t="str">
            <v>Active(Model)</v>
          </cell>
          <cell r="AP1488" t="str">
            <v/>
          </cell>
          <cell r="AQ1488" t="str">
            <v/>
          </cell>
          <cell r="AR1488" t="str">
            <v>Y</v>
          </cell>
          <cell r="AS1488" t="str">
            <v/>
          </cell>
          <cell r="AT1488" t="str">
            <v>TV</v>
          </cell>
          <cell r="AU1488" t="str">
            <v>TV</v>
          </cell>
          <cell r="AV1488" t="str">
            <v>TVLE</v>
          </cell>
          <cell r="AW1488" t="str">
            <v>LED LCD TV</v>
          </cell>
          <cell r="AX1488" t="str">
            <v>TVLE75</v>
          </cell>
          <cell r="AY1488" t="str">
            <v>LED LCD TV 75</v>
          </cell>
          <cell r="AZ1488" t="str">
            <v>TVLE75NU</v>
          </cell>
          <cell r="BA1488" t="str">
            <v>LED LCD TV 75 (UD)</v>
          </cell>
        </row>
        <row r="1489">
          <cell r="E1489" t="str">
            <v>75QNED80BSA.ATV</v>
          </cell>
          <cell r="F1489">
            <v>0</v>
          </cell>
          <cell r="G1489">
            <v>0</v>
          </cell>
          <cell r="H1489">
            <v>0</v>
          </cell>
          <cell r="I1489">
            <v>2</v>
          </cell>
          <cell r="J1489">
            <v>0</v>
          </cell>
          <cell r="K1489">
            <v>2</v>
          </cell>
          <cell r="L1489">
            <v>0</v>
          </cell>
          <cell r="M1489">
            <v>0</v>
          </cell>
          <cell r="N1489">
            <v>0</v>
          </cell>
          <cell r="O1489">
            <v>3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 t="str">
            <v>LCDPREPLUS</v>
          </cell>
          <cell r="AH1489" t="str">
            <v>LCD_Premium Plus</v>
          </cell>
          <cell r="AI1489" t="str">
            <v/>
          </cell>
          <cell r="AJ1489" t="str">
            <v/>
          </cell>
          <cell r="AK1489" t="str">
            <v>0.319901</v>
          </cell>
          <cell r="AL1489" t="str">
            <v>2</v>
          </cell>
          <cell r="AM1489" t="str">
            <v>Q</v>
          </cell>
          <cell r="AN1489" t="str">
            <v>M0</v>
          </cell>
          <cell r="AO1489" t="str">
            <v>Active(Model)</v>
          </cell>
          <cell r="AP1489" t="str">
            <v/>
          </cell>
          <cell r="AQ1489" t="str">
            <v/>
          </cell>
          <cell r="AR1489" t="str">
            <v>Y</v>
          </cell>
          <cell r="AS1489" t="str">
            <v/>
          </cell>
          <cell r="AT1489" t="str">
            <v>TV</v>
          </cell>
          <cell r="AU1489" t="str">
            <v>TV</v>
          </cell>
          <cell r="AV1489" t="str">
            <v>TVLE</v>
          </cell>
          <cell r="AW1489" t="str">
            <v>LED LCD TV</v>
          </cell>
          <cell r="AX1489" t="str">
            <v>TVLE75</v>
          </cell>
          <cell r="AY1489" t="str">
            <v>LED LCD TV 75</v>
          </cell>
          <cell r="AZ1489" t="str">
            <v>TVLE75NU</v>
          </cell>
          <cell r="BA1489" t="str">
            <v>LED LCD TV 75 (UD)</v>
          </cell>
        </row>
        <row r="1490">
          <cell r="E1490" t="str">
            <v>75QNED81BSA.ATV</v>
          </cell>
          <cell r="F1490">
            <v>0</v>
          </cell>
          <cell r="G1490">
            <v>0</v>
          </cell>
          <cell r="H1490">
            <v>0</v>
          </cell>
          <cell r="I1490">
            <v>2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1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 t="str">
            <v>LCDPREPLUS</v>
          </cell>
          <cell r="AH1490" t="str">
            <v>LCD_Premium Plus</v>
          </cell>
          <cell r="AI1490" t="str">
            <v/>
          </cell>
          <cell r="AJ1490" t="str">
            <v/>
          </cell>
          <cell r="AK1490" t="str">
            <v>0.345573</v>
          </cell>
          <cell r="AL1490" t="str">
            <v>2</v>
          </cell>
          <cell r="AM1490" t="str">
            <v>Q</v>
          </cell>
          <cell r="AN1490" t="str">
            <v>M0</v>
          </cell>
          <cell r="AO1490" t="str">
            <v>Active(Model)</v>
          </cell>
          <cell r="AP1490" t="str">
            <v/>
          </cell>
          <cell r="AQ1490" t="str">
            <v/>
          </cell>
          <cell r="AR1490" t="str">
            <v>Y</v>
          </cell>
          <cell r="AS1490" t="str">
            <v/>
          </cell>
          <cell r="AT1490" t="str">
            <v>TV</v>
          </cell>
          <cell r="AU1490" t="str">
            <v>TV</v>
          </cell>
          <cell r="AV1490" t="str">
            <v>TVLE</v>
          </cell>
          <cell r="AW1490" t="str">
            <v>LED LCD TV</v>
          </cell>
          <cell r="AX1490" t="str">
            <v>TVLE75</v>
          </cell>
          <cell r="AY1490" t="str">
            <v>LED LCD TV 75</v>
          </cell>
          <cell r="AZ1490" t="str">
            <v>TVLE75NU</v>
          </cell>
          <cell r="BA1490" t="str">
            <v>LED LCD TV 75 (UD)</v>
          </cell>
        </row>
        <row r="1491">
          <cell r="E1491" t="str">
            <v>75QNED86BSA.ATV</v>
          </cell>
          <cell r="F1491">
            <v>0</v>
          </cell>
          <cell r="G1491">
            <v>0</v>
          </cell>
          <cell r="H1491">
            <v>0</v>
          </cell>
          <cell r="I1491">
            <v>3</v>
          </cell>
          <cell r="J1491">
            <v>1</v>
          </cell>
          <cell r="K1491">
            <v>2</v>
          </cell>
          <cell r="L1491">
            <v>0</v>
          </cell>
          <cell r="M1491">
            <v>1</v>
          </cell>
          <cell r="N1491">
            <v>1</v>
          </cell>
          <cell r="O1491">
            <v>1</v>
          </cell>
          <cell r="P1491">
            <v>2</v>
          </cell>
          <cell r="Q1491">
            <v>0</v>
          </cell>
          <cell r="R1491">
            <v>0</v>
          </cell>
          <cell r="S1491">
            <v>2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 t="str">
            <v>LCDPREPLUS</v>
          </cell>
          <cell r="AH1491" t="str">
            <v>LCD_Premium Plus</v>
          </cell>
          <cell r="AI1491" t="str">
            <v/>
          </cell>
          <cell r="AJ1491" t="str">
            <v/>
          </cell>
          <cell r="AK1491" t="str">
            <v>0.500027</v>
          </cell>
          <cell r="AL1491" t="str">
            <v>2</v>
          </cell>
          <cell r="AM1491" t="str">
            <v>Q</v>
          </cell>
          <cell r="AN1491" t="str">
            <v>M0</v>
          </cell>
          <cell r="AO1491" t="str">
            <v>Active(Model)</v>
          </cell>
          <cell r="AP1491" t="str">
            <v/>
          </cell>
          <cell r="AQ1491" t="str">
            <v/>
          </cell>
          <cell r="AR1491" t="str">
            <v>Y</v>
          </cell>
          <cell r="AS1491" t="str">
            <v/>
          </cell>
          <cell r="AT1491" t="str">
            <v>TV</v>
          </cell>
          <cell r="AU1491" t="str">
            <v>TV</v>
          </cell>
          <cell r="AV1491" t="str">
            <v>TVLE</v>
          </cell>
          <cell r="AW1491" t="str">
            <v>LED LCD TV</v>
          </cell>
          <cell r="AX1491" t="str">
            <v>TVLE75</v>
          </cell>
          <cell r="AY1491" t="str">
            <v>LED LCD TV 75</v>
          </cell>
          <cell r="AZ1491" t="str">
            <v>TVLE75NU</v>
          </cell>
          <cell r="BA1491" t="str">
            <v>LED LCD TV 75 (UD)</v>
          </cell>
        </row>
        <row r="1492">
          <cell r="E1492" t="str">
            <v>75UL5Q-E.ATVQ</v>
          </cell>
          <cell r="F1492">
            <v>1</v>
          </cell>
          <cell r="G1492">
            <v>0</v>
          </cell>
          <cell r="H1492">
            <v>0</v>
          </cell>
          <cell r="I1492">
            <v>1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 t="str">
            <v/>
          </cell>
          <cell r="AH1492" t="str">
            <v/>
          </cell>
          <cell r="AI1492" t="str">
            <v/>
          </cell>
          <cell r="AJ1492" t="str">
            <v/>
          </cell>
          <cell r="AK1492" t="str">
            <v>0.375703</v>
          </cell>
          <cell r="AL1492" t="str">
            <v>2</v>
          </cell>
          <cell r="AM1492" t="str">
            <v>Q</v>
          </cell>
          <cell r="AN1492" t="str">
            <v>M0</v>
          </cell>
          <cell r="AO1492" t="str">
            <v>Active(Model)</v>
          </cell>
          <cell r="AP1492" t="str">
            <v/>
          </cell>
          <cell r="AQ1492" t="str">
            <v/>
          </cell>
          <cell r="AR1492" t="str">
            <v>Y</v>
          </cell>
          <cell r="AS1492" t="str">
            <v/>
          </cell>
          <cell r="AT1492" t="str">
            <v>CS</v>
          </cell>
          <cell r="AU1492" t="str">
            <v>Commercial Display_Signage</v>
          </cell>
          <cell r="AV1492" t="str">
            <v>CSME</v>
          </cell>
          <cell r="AW1492" t="str">
            <v>Commercial_LED LCD Monitor</v>
          </cell>
          <cell r="AX1492" t="str">
            <v>CSME75</v>
          </cell>
          <cell r="AY1492" t="str">
            <v>Commercial_LED LCD Monitor 75</v>
          </cell>
          <cell r="AZ1492" t="str">
            <v>CSME75FW</v>
          </cell>
          <cell r="BA1492" t="str">
            <v>Commercial_LED LCD Monitor 75 (MFT WIDE)</v>
          </cell>
        </row>
        <row r="1493">
          <cell r="E1493" t="str">
            <v>85NU805BPSB.ATVQ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20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 t="str">
            <v>LCDPREPLUS</v>
          </cell>
          <cell r="AH1493" t="str">
            <v>LCD_Premium Plus</v>
          </cell>
          <cell r="AI1493" t="str">
            <v/>
          </cell>
          <cell r="AJ1493" t="str">
            <v/>
          </cell>
          <cell r="AK1493" t="str">
            <v>0.464807</v>
          </cell>
          <cell r="AL1493" t="str">
            <v>2</v>
          </cell>
          <cell r="AM1493" t="str">
            <v>Q</v>
          </cell>
          <cell r="AN1493" t="str">
            <v>M0</v>
          </cell>
          <cell r="AO1493" t="str">
            <v>Active(Model)</v>
          </cell>
          <cell r="AP1493" t="str">
            <v/>
          </cell>
          <cell r="AQ1493" t="str">
            <v/>
          </cell>
          <cell r="AR1493" t="str">
            <v>Y</v>
          </cell>
          <cell r="AS1493" t="str">
            <v/>
          </cell>
          <cell r="AT1493" t="str">
            <v>TV</v>
          </cell>
          <cell r="AU1493" t="str">
            <v>TV</v>
          </cell>
          <cell r="AV1493" t="str">
            <v>TVLE</v>
          </cell>
          <cell r="AW1493" t="str">
            <v>LED LCD TV</v>
          </cell>
          <cell r="AX1493" t="str">
            <v>TVLE85</v>
          </cell>
          <cell r="AY1493" t="str">
            <v>LED LCD TV 85</v>
          </cell>
          <cell r="AZ1493" t="str">
            <v>TVLE85OU</v>
          </cell>
          <cell r="BA1493" t="str">
            <v>LED LCD TV 85 (O/S, UD)</v>
          </cell>
        </row>
        <row r="1494">
          <cell r="E1494" t="str">
            <v>85NU855BPSA.ATV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1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1</v>
          </cell>
          <cell r="AF1494">
            <v>0</v>
          </cell>
          <cell r="AG1494" t="str">
            <v>LCDPREPLUS</v>
          </cell>
          <cell r="AH1494" t="str">
            <v>LCD_Premium Plus</v>
          </cell>
          <cell r="AI1494" t="str">
            <v/>
          </cell>
          <cell r="AJ1494" t="str">
            <v/>
          </cell>
          <cell r="AK1494" t="str">
            <v>0.427097</v>
          </cell>
          <cell r="AL1494" t="str">
            <v>2</v>
          </cell>
          <cell r="AM1494" t="str">
            <v>Q</v>
          </cell>
          <cell r="AN1494" t="str">
            <v>M0</v>
          </cell>
          <cell r="AO1494" t="str">
            <v>Active(Model)</v>
          </cell>
          <cell r="AP1494" t="str">
            <v/>
          </cell>
          <cell r="AQ1494" t="str">
            <v/>
          </cell>
          <cell r="AR1494" t="str">
            <v>Y</v>
          </cell>
          <cell r="AS1494" t="str">
            <v/>
          </cell>
          <cell r="AT1494" t="str">
            <v>TV</v>
          </cell>
          <cell r="AU1494" t="str">
            <v>TV</v>
          </cell>
          <cell r="AV1494" t="str">
            <v>TVLE</v>
          </cell>
          <cell r="AW1494" t="str">
            <v>LED LCD TV</v>
          </cell>
          <cell r="AX1494" t="str">
            <v>TVLE85</v>
          </cell>
          <cell r="AY1494" t="str">
            <v>LED LCD TV 85</v>
          </cell>
          <cell r="AZ1494" t="str">
            <v>TVLE85NU</v>
          </cell>
          <cell r="BA1494" t="str">
            <v>LED LCD TV 85 (UD)</v>
          </cell>
        </row>
        <row r="1495">
          <cell r="E1495" t="str">
            <v>85QNED80BSA.ATV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1</v>
          </cell>
          <cell r="L1495">
            <v>0</v>
          </cell>
          <cell r="M1495">
            <v>0</v>
          </cell>
          <cell r="N1495">
            <v>0</v>
          </cell>
          <cell r="O1495">
            <v>1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 t="str">
            <v>LCDPREPLUS</v>
          </cell>
          <cell r="AH1495" t="str">
            <v>LCD_Premium Plus</v>
          </cell>
          <cell r="AI1495" t="str">
            <v/>
          </cell>
          <cell r="AJ1495" t="str">
            <v/>
          </cell>
          <cell r="AK1495" t="str">
            <v>0.427097</v>
          </cell>
          <cell r="AL1495" t="str">
            <v>2</v>
          </cell>
          <cell r="AM1495" t="str">
            <v>Q</v>
          </cell>
          <cell r="AN1495" t="str">
            <v>M0</v>
          </cell>
          <cell r="AO1495" t="str">
            <v>Active(Model)</v>
          </cell>
          <cell r="AP1495" t="str">
            <v/>
          </cell>
          <cell r="AQ1495" t="str">
            <v/>
          </cell>
          <cell r="AR1495" t="str">
            <v>Y</v>
          </cell>
          <cell r="AS1495" t="str">
            <v/>
          </cell>
          <cell r="AT1495" t="str">
            <v>TV</v>
          </cell>
          <cell r="AU1495" t="str">
            <v>TV</v>
          </cell>
          <cell r="AV1495" t="str">
            <v>TVLE</v>
          </cell>
          <cell r="AW1495" t="str">
            <v>LED LCD TV</v>
          </cell>
          <cell r="AX1495" t="str">
            <v>TVLE85</v>
          </cell>
          <cell r="AY1495" t="str">
            <v>LED LCD TV 85</v>
          </cell>
          <cell r="AZ1495" t="str">
            <v>TVLE85NU</v>
          </cell>
          <cell r="BA1495" t="str">
            <v>LED LCD TV 85 (UD)</v>
          </cell>
        </row>
        <row r="1496">
          <cell r="E1496" t="str">
            <v>86PK640S0SA.ATVQ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1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 t="str">
            <v/>
          </cell>
          <cell r="AH1496" t="str">
            <v/>
          </cell>
          <cell r="AI1496" t="str">
            <v/>
          </cell>
          <cell r="AJ1496" t="str">
            <v/>
          </cell>
          <cell r="AK1496" t="str">
            <v>0.574288</v>
          </cell>
          <cell r="AL1496" t="str">
            <v>2</v>
          </cell>
          <cell r="AM1496" t="str">
            <v>Q</v>
          </cell>
          <cell r="AN1496" t="str">
            <v>M0</v>
          </cell>
          <cell r="AO1496" t="str">
            <v>Active(Model)</v>
          </cell>
          <cell r="AP1496" t="str">
            <v/>
          </cell>
          <cell r="AQ1496" t="str">
            <v/>
          </cell>
          <cell r="AR1496" t="str">
            <v>Y</v>
          </cell>
          <cell r="AS1496" t="str">
            <v/>
          </cell>
          <cell r="AT1496" t="str">
            <v>CS</v>
          </cell>
          <cell r="AU1496" t="str">
            <v>Commercial Display_Signage</v>
          </cell>
          <cell r="AV1496" t="str">
            <v>CSTE</v>
          </cell>
          <cell r="AW1496" t="str">
            <v>Commercial_LED LCD TV</v>
          </cell>
          <cell r="AX1496" t="str">
            <v>CSTE86</v>
          </cell>
          <cell r="AY1496" t="str">
            <v>Commercial_LED LCD TV 86</v>
          </cell>
          <cell r="AZ1496" t="str">
            <v>CSTE86NU</v>
          </cell>
          <cell r="BA1496" t="str">
            <v>Commercial_LED LCD TV 86(UHD)</v>
          </cell>
        </row>
        <row r="1497">
          <cell r="E1497" t="str">
            <v>86QNED86BSA.ATV</v>
          </cell>
          <cell r="F1497">
            <v>7</v>
          </cell>
          <cell r="G1497">
            <v>0</v>
          </cell>
          <cell r="H1497">
            <v>0</v>
          </cell>
          <cell r="I1497">
            <v>12</v>
          </cell>
          <cell r="J1497">
            <v>1</v>
          </cell>
          <cell r="K1497">
            <v>0</v>
          </cell>
          <cell r="L1497">
            <v>0</v>
          </cell>
          <cell r="M1497">
            <v>0</v>
          </cell>
          <cell r="N1497">
            <v>1</v>
          </cell>
          <cell r="O1497">
            <v>1</v>
          </cell>
          <cell r="P1497">
            <v>1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1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 t="str">
            <v>LCDPREPLUS</v>
          </cell>
          <cell r="AH1497" t="str">
            <v>LCD_Premium Plus</v>
          </cell>
          <cell r="AI1497" t="str">
            <v/>
          </cell>
          <cell r="AJ1497" t="str">
            <v/>
          </cell>
          <cell r="AK1497" t="str">
            <v>0.723715</v>
          </cell>
          <cell r="AL1497" t="str">
            <v>2</v>
          </cell>
          <cell r="AM1497" t="str">
            <v>Q</v>
          </cell>
          <cell r="AN1497" t="str">
            <v>M0</v>
          </cell>
          <cell r="AO1497" t="str">
            <v>Active(Model)</v>
          </cell>
          <cell r="AP1497" t="str">
            <v/>
          </cell>
          <cell r="AQ1497" t="str">
            <v/>
          </cell>
          <cell r="AR1497" t="str">
            <v>Y</v>
          </cell>
          <cell r="AS1497" t="str">
            <v/>
          </cell>
          <cell r="AT1497" t="str">
            <v>TV</v>
          </cell>
          <cell r="AU1497" t="str">
            <v>TV</v>
          </cell>
          <cell r="AV1497" t="str">
            <v>TVLE</v>
          </cell>
          <cell r="AW1497" t="str">
            <v>LED LCD TV</v>
          </cell>
          <cell r="AX1497" t="str">
            <v>TVLE86</v>
          </cell>
          <cell r="AY1497" t="str">
            <v>LED LCD TV 86</v>
          </cell>
          <cell r="AZ1497" t="str">
            <v>TVLE86NU</v>
          </cell>
          <cell r="BA1497" t="str">
            <v>LED LCD TV 86 (UD)</v>
          </cell>
        </row>
        <row r="1498">
          <cell r="E1498" t="str">
            <v>98NU855BPSB.ATVQ</v>
          </cell>
          <cell r="F1498">
            <v>7</v>
          </cell>
          <cell r="G1498">
            <v>0</v>
          </cell>
          <cell r="H1498">
            <v>0</v>
          </cell>
          <cell r="I1498">
            <v>9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1</v>
          </cell>
          <cell r="O1498">
            <v>1</v>
          </cell>
          <cell r="P1498">
            <v>1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 t="str">
            <v>LCDPREPLUS</v>
          </cell>
          <cell r="AH1498" t="str">
            <v>LCD_Premium Plus</v>
          </cell>
          <cell r="AI1498" t="str">
            <v/>
          </cell>
          <cell r="AJ1498" t="str">
            <v/>
          </cell>
          <cell r="AK1498" t="str">
            <v>0.771120</v>
          </cell>
          <cell r="AL1498" t="str">
            <v>2</v>
          </cell>
          <cell r="AM1498" t="str">
            <v>Q</v>
          </cell>
          <cell r="AN1498" t="str">
            <v>M0</v>
          </cell>
          <cell r="AO1498" t="str">
            <v>Active(Model)</v>
          </cell>
          <cell r="AP1498" t="str">
            <v/>
          </cell>
          <cell r="AQ1498" t="str">
            <v/>
          </cell>
          <cell r="AR1498" t="str">
            <v>Y</v>
          </cell>
          <cell r="AS1498" t="str">
            <v/>
          </cell>
          <cell r="AT1498" t="str">
            <v>TV</v>
          </cell>
          <cell r="AU1498" t="str">
            <v>TV</v>
          </cell>
          <cell r="AV1498" t="str">
            <v>TVLE</v>
          </cell>
          <cell r="AW1498" t="str">
            <v>LED LCD TV</v>
          </cell>
          <cell r="AX1498" t="str">
            <v>TVLE98</v>
          </cell>
          <cell r="AY1498" t="str">
            <v>LED LCD TV 98</v>
          </cell>
          <cell r="AZ1498" t="str">
            <v>TVLE98OU</v>
          </cell>
          <cell r="BA1498" t="str">
            <v>LED LCD TV 98 (O/S, UD)</v>
          </cell>
        </row>
        <row r="1499">
          <cell r="E1499" t="str">
            <v>A9-ACE.BCBPLVN</v>
          </cell>
          <cell r="F1499">
            <v>17</v>
          </cell>
          <cell r="G1499">
            <v>0</v>
          </cell>
          <cell r="H1499">
            <v>0</v>
          </cell>
          <cell r="I1499">
            <v>22</v>
          </cell>
          <cell r="J1499">
            <v>1</v>
          </cell>
          <cell r="K1499">
            <v>0</v>
          </cell>
          <cell r="L1499">
            <v>0</v>
          </cell>
          <cell r="M1499">
            <v>0</v>
          </cell>
          <cell r="N1499">
            <v>1</v>
          </cell>
          <cell r="O1499">
            <v>1</v>
          </cell>
          <cell r="P1499">
            <v>1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 t="str">
            <v/>
          </cell>
          <cell r="AH1499" t="str">
            <v/>
          </cell>
          <cell r="AI1499" t="str">
            <v/>
          </cell>
          <cell r="AJ1499" t="str">
            <v/>
          </cell>
          <cell r="AK1499" t="str">
            <v>0.035141</v>
          </cell>
          <cell r="AL1499" t="str">
            <v>2</v>
          </cell>
          <cell r="AM1499" t="str">
            <v>Q</v>
          </cell>
          <cell r="AN1499" t="str">
            <v>M0</v>
          </cell>
          <cell r="AO1499" t="str">
            <v>Active(Model)</v>
          </cell>
          <cell r="AP1499" t="str">
            <v/>
          </cell>
          <cell r="AQ1499" t="str">
            <v/>
          </cell>
          <cell r="AR1499" t="str">
            <v>Y</v>
          </cell>
          <cell r="AS1499" t="str">
            <v/>
          </cell>
          <cell r="AT1499" t="str">
            <v>VC</v>
          </cell>
          <cell r="AU1499" t="str">
            <v>Vacuum Cleaner</v>
          </cell>
          <cell r="AV1499" t="str">
            <v>VCVC</v>
          </cell>
          <cell r="AW1499" t="str">
            <v>Vacuum Cleaner</v>
          </cell>
          <cell r="AX1499" t="str">
            <v>VCVCHS</v>
          </cell>
          <cell r="AY1499" t="str">
            <v>H/Stick</v>
          </cell>
          <cell r="AZ1499" t="str">
            <v>VCVCHSCL</v>
          </cell>
          <cell r="BA1499" t="str">
            <v>H/Stick(Cordless)</v>
          </cell>
        </row>
        <row r="1500">
          <cell r="E1500" t="str">
            <v>A9T-LITE.DEGPLVN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1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2</v>
          </cell>
          <cell r="AF1500">
            <v>0</v>
          </cell>
          <cell r="AG1500" t="str">
            <v/>
          </cell>
          <cell r="AH1500" t="str">
            <v/>
          </cell>
          <cell r="AI1500" t="str">
            <v/>
          </cell>
          <cell r="AJ1500" t="str">
            <v/>
          </cell>
          <cell r="AK1500" t="str">
            <v>0.146735</v>
          </cell>
          <cell r="AL1500" t="str">
            <v>2</v>
          </cell>
          <cell r="AM1500" t="str">
            <v>F</v>
          </cell>
          <cell r="AN1500" t="str">
            <v>M0</v>
          </cell>
          <cell r="AO1500" t="str">
            <v>Active(Model)</v>
          </cell>
          <cell r="AP1500" t="str">
            <v/>
          </cell>
          <cell r="AQ1500" t="str">
            <v/>
          </cell>
          <cell r="AR1500" t="str">
            <v>Y</v>
          </cell>
          <cell r="AS1500" t="str">
            <v/>
          </cell>
          <cell r="AT1500" t="str">
            <v>VC</v>
          </cell>
          <cell r="AU1500" t="str">
            <v>Vacuum Cleaner</v>
          </cell>
          <cell r="AV1500" t="str">
            <v>VCVC</v>
          </cell>
          <cell r="AW1500" t="str">
            <v>Vacuum Cleaner</v>
          </cell>
          <cell r="AX1500" t="str">
            <v>VCVCHS</v>
          </cell>
          <cell r="AY1500" t="str">
            <v>H/Stick</v>
          </cell>
          <cell r="AZ1500" t="str">
            <v>VCVCHSCL</v>
          </cell>
          <cell r="BA1500" t="str">
            <v>H/Stick(Cordless)</v>
          </cell>
        </row>
        <row r="1501">
          <cell r="E1501" t="str">
            <v>AMNQ09GL1A0.ENWHEVH</v>
          </cell>
          <cell r="F1501">
            <v>12</v>
          </cell>
          <cell r="G1501">
            <v>0</v>
          </cell>
          <cell r="H1501">
            <v>0</v>
          </cell>
          <cell r="I1501">
            <v>209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197</v>
          </cell>
          <cell r="AE1501">
            <v>0</v>
          </cell>
          <cell r="AF1501">
            <v>197</v>
          </cell>
          <cell r="AG1501" t="str">
            <v>CAC</v>
          </cell>
          <cell r="AH1501" t="str">
            <v>CAC</v>
          </cell>
          <cell r="AI1501" t="str">
            <v/>
          </cell>
          <cell r="AJ1501" t="str">
            <v/>
          </cell>
          <cell r="AK1501" t="str">
            <v>0.171672</v>
          </cell>
          <cell r="AL1501" t="str">
            <v>0</v>
          </cell>
          <cell r="AM1501" t="str">
            <v>Q</v>
          </cell>
          <cell r="AN1501" t="str">
            <v>M0</v>
          </cell>
          <cell r="AO1501" t="str">
            <v>Active(Model)</v>
          </cell>
          <cell r="AP1501" t="str">
            <v/>
          </cell>
          <cell r="AQ1501" t="str">
            <v/>
          </cell>
          <cell r="AR1501" t="str">
            <v>Y</v>
          </cell>
          <cell r="AS1501" t="str">
            <v/>
          </cell>
          <cell r="AT1501" t="str">
            <v>AC</v>
          </cell>
          <cell r="AU1501" t="str">
            <v>Airconditioner</v>
          </cell>
          <cell r="AV1501" t="str">
            <v>ACMT</v>
          </cell>
          <cell r="AW1501" t="str">
            <v>Multi</v>
          </cell>
          <cell r="AX1501" t="str">
            <v>ACMTID</v>
          </cell>
          <cell r="AY1501" t="str">
            <v>Flexible Multi-I/D(Inv.&amp; MPS)</v>
          </cell>
          <cell r="AZ1501" t="str">
            <v>ACMTIDMD</v>
          </cell>
          <cell r="BA1501" t="str">
            <v>Flexible Multi_I/D_Duct</v>
          </cell>
        </row>
        <row r="1502">
          <cell r="E1502" t="str">
            <v>AMNQ09GSJA0.ENWHEVH</v>
          </cell>
          <cell r="F1502">
            <v>181</v>
          </cell>
          <cell r="G1502">
            <v>0</v>
          </cell>
          <cell r="H1502">
            <v>0</v>
          </cell>
          <cell r="I1502">
            <v>181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 t="str">
            <v>CAC</v>
          </cell>
          <cell r="AH1502" t="str">
            <v>CAC</v>
          </cell>
          <cell r="AI1502" t="str">
            <v/>
          </cell>
          <cell r="AJ1502" t="str">
            <v/>
          </cell>
          <cell r="AK1502" t="str">
            <v>0.084623</v>
          </cell>
          <cell r="AL1502" t="str">
            <v>2</v>
          </cell>
          <cell r="AM1502" t="str">
            <v>Q</v>
          </cell>
          <cell r="AN1502" t="str">
            <v>M0</v>
          </cell>
          <cell r="AO1502" t="str">
            <v>Active(Model)</v>
          </cell>
          <cell r="AP1502" t="str">
            <v/>
          </cell>
          <cell r="AQ1502" t="str">
            <v/>
          </cell>
          <cell r="AR1502" t="str">
            <v>Y</v>
          </cell>
          <cell r="AS1502" t="str">
            <v/>
          </cell>
          <cell r="AT1502" t="str">
            <v>AC</v>
          </cell>
          <cell r="AU1502" t="str">
            <v>Airconditioner</v>
          </cell>
          <cell r="AV1502" t="str">
            <v>ACMT</v>
          </cell>
          <cell r="AW1502" t="str">
            <v>Multi</v>
          </cell>
          <cell r="AX1502" t="str">
            <v>ACMTID</v>
          </cell>
          <cell r="AY1502" t="str">
            <v>Flexible Multi-I/D(Inv.&amp; MPS)</v>
          </cell>
          <cell r="AZ1502" t="str">
            <v>ACMTIDMS</v>
          </cell>
          <cell r="BA1502" t="str">
            <v>Flexible Multi_I/D_Wall Mounted</v>
          </cell>
        </row>
        <row r="1503">
          <cell r="E1503" t="str">
            <v>AMNQ09GSJB0.ENWHEVH</v>
          </cell>
          <cell r="F1503">
            <v>1</v>
          </cell>
          <cell r="G1503">
            <v>0</v>
          </cell>
          <cell r="H1503">
            <v>0</v>
          </cell>
          <cell r="I1503">
            <v>1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 t="str">
            <v>CAC</v>
          </cell>
          <cell r="AH1503" t="str">
            <v>CAC</v>
          </cell>
          <cell r="AI1503" t="str">
            <v/>
          </cell>
          <cell r="AJ1503" t="str">
            <v/>
          </cell>
          <cell r="AK1503" t="str">
            <v>0.084623</v>
          </cell>
          <cell r="AL1503" t="str">
            <v>2</v>
          </cell>
          <cell r="AM1503" t="str">
            <v>Q</v>
          </cell>
          <cell r="AN1503" t="str">
            <v>M0</v>
          </cell>
          <cell r="AO1503" t="str">
            <v>Active(Model)</v>
          </cell>
          <cell r="AP1503" t="str">
            <v/>
          </cell>
          <cell r="AQ1503" t="str">
            <v/>
          </cell>
          <cell r="AR1503" t="str">
            <v>Y</v>
          </cell>
          <cell r="AS1503" t="str">
            <v/>
          </cell>
          <cell r="AT1503" t="str">
            <v>AC</v>
          </cell>
          <cell r="AU1503" t="str">
            <v>Airconditioner</v>
          </cell>
          <cell r="AV1503" t="str">
            <v>ACMT</v>
          </cell>
          <cell r="AW1503" t="str">
            <v>Multi</v>
          </cell>
          <cell r="AX1503" t="str">
            <v>ACMTID</v>
          </cell>
          <cell r="AY1503" t="str">
            <v>Flexible Multi-I/D(Inv.&amp; MPS)</v>
          </cell>
          <cell r="AZ1503" t="str">
            <v>ACMTIDMS</v>
          </cell>
          <cell r="BA1503" t="str">
            <v>Flexible Multi_I/D_Wall Mounted</v>
          </cell>
        </row>
        <row r="1504">
          <cell r="E1504" t="str">
            <v>AMNQ09GTUA0.ENWHEVH</v>
          </cell>
          <cell r="F1504">
            <v>0</v>
          </cell>
          <cell r="G1504">
            <v>0</v>
          </cell>
          <cell r="H1504">
            <v>0</v>
          </cell>
          <cell r="I1504">
            <v>7</v>
          </cell>
          <cell r="J1504">
            <v>0</v>
          </cell>
          <cell r="K1504">
            <v>0</v>
          </cell>
          <cell r="L1504">
            <v>5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 t="str">
            <v>CAC</v>
          </cell>
          <cell r="AH1504" t="str">
            <v>CAC</v>
          </cell>
          <cell r="AI1504" t="str">
            <v/>
          </cell>
          <cell r="AJ1504" t="str">
            <v/>
          </cell>
          <cell r="AK1504" t="str">
            <v>0.152523</v>
          </cell>
          <cell r="AL1504" t="str">
            <v>0</v>
          </cell>
          <cell r="AM1504" t="str">
            <v>Q</v>
          </cell>
          <cell r="AN1504" t="str">
            <v>M0</v>
          </cell>
          <cell r="AO1504" t="str">
            <v>Active(Model)</v>
          </cell>
          <cell r="AP1504" t="str">
            <v/>
          </cell>
          <cell r="AQ1504" t="str">
            <v/>
          </cell>
          <cell r="AR1504" t="str">
            <v>Y</v>
          </cell>
          <cell r="AS1504" t="str">
            <v/>
          </cell>
          <cell r="AT1504" t="str">
            <v>AC</v>
          </cell>
          <cell r="AU1504" t="str">
            <v>Airconditioner</v>
          </cell>
          <cell r="AV1504" t="str">
            <v>ACMT</v>
          </cell>
          <cell r="AW1504" t="str">
            <v>Multi</v>
          </cell>
          <cell r="AX1504" t="str">
            <v>ACMTID</v>
          </cell>
          <cell r="AY1504" t="str">
            <v>Flexible Multi-I/D(Inv.&amp; MPS)</v>
          </cell>
          <cell r="AZ1504" t="str">
            <v>ACMTIDMC</v>
          </cell>
          <cell r="BA1504" t="str">
            <v>Flexible Multi_I/D_Cassette</v>
          </cell>
        </row>
        <row r="1505">
          <cell r="E1505" t="str">
            <v>AMNQ12GL2A0.ENWHEVH</v>
          </cell>
          <cell r="F1505">
            <v>27</v>
          </cell>
          <cell r="G1505">
            <v>0</v>
          </cell>
          <cell r="H1505">
            <v>0</v>
          </cell>
          <cell r="I1505">
            <v>32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5</v>
          </cell>
          <cell r="AE1505">
            <v>0</v>
          </cell>
          <cell r="AF1505">
            <v>5</v>
          </cell>
          <cell r="AG1505" t="str">
            <v>CAC</v>
          </cell>
          <cell r="AH1505" t="str">
            <v>CAC</v>
          </cell>
          <cell r="AI1505" t="str">
            <v/>
          </cell>
          <cell r="AJ1505" t="str">
            <v/>
          </cell>
          <cell r="AK1505" t="str">
            <v>0.211503</v>
          </cell>
          <cell r="AL1505" t="str">
            <v>0</v>
          </cell>
          <cell r="AM1505" t="str">
            <v>Q</v>
          </cell>
          <cell r="AN1505" t="str">
            <v>M0</v>
          </cell>
          <cell r="AO1505" t="str">
            <v>Active(Model)</v>
          </cell>
          <cell r="AP1505" t="str">
            <v/>
          </cell>
          <cell r="AQ1505" t="str">
            <v/>
          </cell>
          <cell r="AR1505" t="str">
            <v>Y</v>
          </cell>
          <cell r="AS1505" t="str">
            <v/>
          </cell>
          <cell r="AT1505" t="str">
            <v>AC</v>
          </cell>
          <cell r="AU1505" t="str">
            <v>Airconditioner</v>
          </cell>
          <cell r="AV1505" t="str">
            <v>ACMT</v>
          </cell>
          <cell r="AW1505" t="str">
            <v>Multi</v>
          </cell>
          <cell r="AX1505" t="str">
            <v>ACMTID</v>
          </cell>
          <cell r="AY1505" t="str">
            <v>Flexible Multi-I/D(Inv.&amp; MPS)</v>
          </cell>
          <cell r="AZ1505" t="str">
            <v>ACMTIDMD</v>
          </cell>
          <cell r="BA1505" t="str">
            <v>Flexible Multi_I/D_Duct</v>
          </cell>
        </row>
        <row r="1506">
          <cell r="E1506" t="str">
            <v>AMNQ12GSJA0.ENWHEVH</v>
          </cell>
          <cell r="F1506">
            <v>126</v>
          </cell>
          <cell r="G1506">
            <v>0</v>
          </cell>
          <cell r="H1506">
            <v>0</v>
          </cell>
          <cell r="I1506">
            <v>126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 t="str">
            <v>CAC</v>
          </cell>
          <cell r="AH1506" t="str">
            <v>CAC</v>
          </cell>
          <cell r="AI1506" t="str">
            <v/>
          </cell>
          <cell r="AJ1506" t="str">
            <v/>
          </cell>
          <cell r="AK1506" t="str">
            <v>0.084623</v>
          </cell>
          <cell r="AL1506" t="str">
            <v>2</v>
          </cell>
          <cell r="AM1506" t="str">
            <v>Q</v>
          </cell>
          <cell r="AN1506" t="str">
            <v>M0</v>
          </cell>
          <cell r="AO1506" t="str">
            <v>Active(Model)</v>
          </cell>
          <cell r="AP1506" t="str">
            <v/>
          </cell>
          <cell r="AQ1506" t="str">
            <v/>
          </cell>
          <cell r="AR1506" t="str">
            <v>Y</v>
          </cell>
          <cell r="AS1506" t="str">
            <v/>
          </cell>
          <cell r="AT1506" t="str">
            <v>AC</v>
          </cell>
          <cell r="AU1506" t="str">
            <v>Airconditioner</v>
          </cell>
          <cell r="AV1506" t="str">
            <v>ACMT</v>
          </cell>
          <cell r="AW1506" t="str">
            <v>Multi</v>
          </cell>
          <cell r="AX1506" t="str">
            <v>ACMTID</v>
          </cell>
          <cell r="AY1506" t="str">
            <v>Flexible Multi-I/D(Inv.&amp; MPS)</v>
          </cell>
          <cell r="AZ1506" t="str">
            <v>ACMTIDMS</v>
          </cell>
          <cell r="BA1506" t="str">
            <v>Flexible Multi_I/D_Wall Mounted</v>
          </cell>
        </row>
        <row r="1507">
          <cell r="E1507" t="str">
            <v>AMNQ12GSJB0.ENWHEVH</v>
          </cell>
          <cell r="F1507">
            <v>10</v>
          </cell>
          <cell r="G1507">
            <v>0</v>
          </cell>
          <cell r="H1507">
            <v>0</v>
          </cell>
          <cell r="I1507">
            <v>15</v>
          </cell>
          <cell r="J1507">
            <v>0</v>
          </cell>
          <cell r="K1507">
            <v>0</v>
          </cell>
          <cell r="L1507">
            <v>5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 t="str">
            <v>CAC</v>
          </cell>
          <cell r="AH1507" t="str">
            <v>CAC</v>
          </cell>
          <cell r="AI1507" t="str">
            <v/>
          </cell>
          <cell r="AJ1507" t="str">
            <v/>
          </cell>
          <cell r="AK1507" t="str">
            <v>0.084623</v>
          </cell>
          <cell r="AL1507" t="str">
            <v>2</v>
          </cell>
          <cell r="AM1507" t="str">
            <v>Q</v>
          </cell>
          <cell r="AN1507" t="str">
            <v>M0</v>
          </cell>
          <cell r="AO1507" t="str">
            <v>Active(Model)</v>
          </cell>
          <cell r="AP1507" t="str">
            <v/>
          </cell>
          <cell r="AQ1507" t="str">
            <v/>
          </cell>
          <cell r="AR1507" t="str">
            <v>Y</v>
          </cell>
          <cell r="AS1507" t="str">
            <v/>
          </cell>
          <cell r="AT1507" t="str">
            <v>AC</v>
          </cell>
          <cell r="AU1507" t="str">
            <v>Airconditioner</v>
          </cell>
          <cell r="AV1507" t="str">
            <v>ACMT</v>
          </cell>
          <cell r="AW1507" t="str">
            <v>Multi</v>
          </cell>
          <cell r="AX1507" t="str">
            <v>ACMTID</v>
          </cell>
          <cell r="AY1507" t="str">
            <v>Flexible Multi-I/D(Inv.&amp; MPS)</v>
          </cell>
          <cell r="AZ1507" t="str">
            <v>ACMTIDMS</v>
          </cell>
          <cell r="BA1507" t="str">
            <v>Flexible Multi_I/D_Wall Mounted</v>
          </cell>
        </row>
        <row r="1508">
          <cell r="E1508" t="str">
            <v>AMNQ12GTUA0.ENWHEVH</v>
          </cell>
          <cell r="F1508">
            <v>0</v>
          </cell>
          <cell r="G1508">
            <v>0</v>
          </cell>
          <cell r="H1508">
            <v>0</v>
          </cell>
          <cell r="I1508">
            <v>5</v>
          </cell>
          <cell r="J1508">
            <v>0</v>
          </cell>
          <cell r="K1508">
            <v>0</v>
          </cell>
          <cell r="L1508">
            <v>5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 t="str">
            <v>CAC</v>
          </cell>
          <cell r="AH1508" t="str">
            <v>CAC</v>
          </cell>
          <cell r="AI1508" t="str">
            <v/>
          </cell>
          <cell r="AJ1508" t="str">
            <v/>
          </cell>
          <cell r="AK1508" t="str">
            <v>0.152523</v>
          </cell>
          <cell r="AL1508" t="str">
            <v>0</v>
          </cell>
          <cell r="AM1508" t="str">
            <v>Q</v>
          </cell>
          <cell r="AN1508" t="str">
            <v>M0</v>
          </cell>
          <cell r="AO1508" t="str">
            <v>Active(Model)</v>
          </cell>
          <cell r="AP1508" t="str">
            <v/>
          </cell>
          <cell r="AQ1508" t="str">
            <v/>
          </cell>
          <cell r="AR1508" t="str">
            <v>Y</v>
          </cell>
          <cell r="AS1508" t="str">
            <v/>
          </cell>
          <cell r="AT1508" t="str">
            <v>AC</v>
          </cell>
          <cell r="AU1508" t="str">
            <v>Airconditioner</v>
          </cell>
          <cell r="AV1508" t="str">
            <v>ACMT</v>
          </cell>
          <cell r="AW1508" t="str">
            <v>Multi</v>
          </cell>
          <cell r="AX1508" t="str">
            <v>ACMTID</v>
          </cell>
          <cell r="AY1508" t="str">
            <v>Flexible Multi-I/D(Inv.&amp; MPS)</v>
          </cell>
          <cell r="AZ1508" t="str">
            <v>ACMTIDMC</v>
          </cell>
          <cell r="BA1508" t="str">
            <v>Flexible Multi_I/D_Cassette</v>
          </cell>
        </row>
        <row r="1509">
          <cell r="E1509" t="str">
            <v>AMNQ18GL2A0.ENWHEVH</v>
          </cell>
          <cell r="F1509">
            <v>18</v>
          </cell>
          <cell r="G1509">
            <v>0</v>
          </cell>
          <cell r="H1509">
            <v>0</v>
          </cell>
          <cell r="I1509">
            <v>58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40</v>
          </cell>
          <cell r="AE1509">
            <v>0</v>
          </cell>
          <cell r="AF1509">
            <v>40</v>
          </cell>
          <cell r="AG1509" t="str">
            <v>CAC</v>
          </cell>
          <cell r="AH1509" t="str">
            <v>CAC</v>
          </cell>
          <cell r="AI1509" t="str">
            <v/>
          </cell>
          <cell r="AJ1509" t="str">
            <v/>
          </cell>
          <cell r="AK1509" t="str">
            <v>0.211503</v>
          </cell>
          <cell r="AL1509" t="str">
            <v>0</v>
          </cell>
          <cell r="AM1509" t="str">
            <v>Q</v>
          </cell>
          <cell r="AN1509" t="str">
            <v>M0</v>
          </cell>
          <cell r="AO1509" t="str">
            <v>Active(Model)</v>
          </cell>
          <cell r="AP1509" t="str">
            <v/>
          </cell>
          <cell r="AQ1509" t="str">
            <v/>
          </cell>
          <cell r="AR1509" t="str">
            <v>Y</v>
          </cell>
          <cell r="AS1509" t="str">
            <v/>
          </cell>
          <cell r="AT1509" t="str">
            <v>AC</v>
          </cell>
          <cell r="AU1509" t="str">
            <v>Airconditioner</v>
          </cell>
          <cell r="AV1509" t="str">
            <v>ACMT</v>
          </cell>
          <cell r="AW1509" t="str">
            <v>Multi</v>
          </cell>
          <cell r="AX1509" t="str">
            <v>ACMTID</v>
          </cell>
          <cell r="AY1509" t="str">
            <v>Flexible Multi-I/D(Inv.&amp; MPS)</v>
          </cell>
          <cell r="AZ1509" t="str">
            <v>ACMTIDMD</v>
          </cell>
          <cell r="BA1509" t="str">
            <v>Flexible Multi_I/D_Duct</v>
          </cell>
        </row>
        <row r="1510">
          <cell r="E1510" t="str">
            <v>AMNQ18GSKA0.ENWHEVH</v>
          </cell>
          <cell r="F1510">
            <v>28</v>
          </cell>
          <cell r="G1510">
            <v>0</v>
          </cell>
          <cell r="H1510">
            <v>0</v>
          </cell>
          <cell r="I1510">
            <v>28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 t="str">
            <v>CAC</v>
          </cell>
          <cell r="AH1510" t="str">
            <v>CAC</v>
          </cell>
          <cell r="AI1510" t="str">
            <v/>
          </cell>
          <cell r="AJ1510" t="str">
            <v/>
          </cell>
          <cell r="AK1510" t="str">
            <v>0.122330</v>
          </cell>
          <cell r="AL1510" t="str">
            <v>2</v>
          </cell>
          <cell r="AM1510" t="str">
            <v>Q</v>
          </cell>
          <cell r="AN1510" t="str">
            <v>M0</v>
          </cell>
          <cell r="AO1510" t="str">
            <v>Active(Model)</v>
          </cell>
          <cell r="AP1510" t="str">
            <v/>
          </cell>
          <cell r="AQ1510" t="str">
            <v/>
          </cell>
          <cell r="AR1510" t="str">
            <v>Y</v>
          </cell>
          <cell r="AS1510" t="str">
            <v/>
          </cell>
          <cell r="AT1510" t="str">
            <v>AC</v>
          </cell>
          <cell r="AU1510" t="str">
            <v>Airconditioner</v>
          </cell>
          <cell r="AV1510" t="str">
            <v>ACMT</v>
          </cell>
          <cell r="AW1510" t="str">
            <v>Multi</v>
          </cell>
          <cell r="AX1510" t="str">
            <v>ACMTID</v>
          </cell>
          <cell r="AY1510" t="str">
            <v>Flexible Multi-I/D(Inv.&amp; MPS)</v>
          </cell>
          <cell r="AZ1510" t="str">
            <v>ACMTIDMS</v>
          </cell>
          <cell r="BA1510" t="str">
            <v>Flexible Multi_I/D_Wall Mounted</v>
          </cell>
        </row>
        <row r="1511">
          <cell r="E1511" t="str">
            <v>AMNQ18GTTA0.ENWHEVH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 t="str">
            <v>CAC</v>
          </cell>
          <cell r="AH1511" t="str">
            <v>CAC</v>
          </cell>
          <cell r="AI1511" t="str">
            <v/>
          </cell>
          <cell r="AJ1511" t="str">
            <v/>
          </cell>
          <cell r="AK1511" t="str">
            <v>0.195907</v>
          </cell>
          <cell r="AL1511" t="str">
            <v>0</v>
          </cell>
          <cell r="AM1511" t="str">
            <v>Q</v>
          </cell>
          <cell r="AN1511" t="str">
            <v>M0</v>
          </cell>
          <cell r="AO1511" t="str">
            <v>Active(Model)</v>
          </cell>
          <cell r="AP1511" t="str">
            <v/>
          </cell>
          <cell r="AQ1511" t="str">
            <v/>
          </cell>
          <cell r="AR1511" t="str">
            <v>Y</v>
          </cell>
          <cell r="AS1511" t="str">
            <v/>
          </cell>
          <cell r="AT1511" t="str">
            <v>AC</v>
          </cell>
          <cell r="AU1511" t="str">
            <v>Airconditioner</v>
          </cell>
          <cell r="AV1511" t="str">
            <v>ACMT</v>
          </cell>
          <cell r="AW1511" t="str">
            <v>Multi</v>
          </cell>
          <cell r="AX1511" t="str">
            <v>ACMTID</v>
          </cell>
          <cell r="AY1511" t="str">
            <v>Flexible Multi-I/D(Inv.&amp; MPS)</v>
          </cell>
          <cell r="AZ1511" t="str">
            <v>ACMTIDMC</v>
          </cell>
          <cell r="BA1511" t="str">
            <v>Flexible Multi_I/D_Cassette</v>
          </cell>
        </row>
        <row r="1512">
          <cell r="E1512" t="str">
            <v>AMNQ24GL3A0.ENWHEVH</v>
          </cell>
          <cell r="F1512">
            <v>3</v>
          </cell>
          <cell r="G1512">
            <v>0</v>
          </cell>
          <cell r="H1512">
            <v>0</v>
          </cell>
          <cell r="I1512">
            <v>3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 t="str">
            <v>CAC</v>
          </cell>
          <cell r="AH1512" t="str">
            <v>CAC</v>
          </cell>
          <cell r="AI1512" t="str">
            <v/>
          </cell>
          <cell r="AJ1512" t="str">
            <v/>
          </cell>
          <cell r="AK1512" t="str">
            <v>0.251334</v>
          </cell>
          <cell r="AL1512" t="str">
            <v>0</v>
          </cell>
          <cell r="AM1512" t="str">
            <v>Q</v>
          </cell>
          <cell r="AN1512" t="str">
            <v>M0</v>
          </cell>
          <cell r="AO1512" t="str">
            <v>Active(Model)</v>
          </cell>
          <cell r="AP1512" t="str">
            <v/>
          </cell>
          <cell r="AQ1512" t="str">
            <v/>
          </cell>
          <cell r="AR1512" t="str">
            <v>Y</v>
          </cell>
          <cell r="AS1512" t="str">
            <v/>
          </cell>
          <cell r="AT1512" t="str">
            <v>AC</v>
          </cell>
          <cell r="AU1512" t="str">
            <v>Airconditioner</v>
          </cell>
          <cell r="AV1512" t="str">
            <v>ACMT</v>
          </cell>
          <cell r="AW1512" t="str">
            <v>Multi</v>
          </cell>
          <cell r="AX1512" t="str">
            <v>ACMTID</v>
          </cell>
          <cell r="AY1512" t="str">
            <v>Flexible Multi-I/D(Inv.&amp; MPS)</v>
          </cell>
          <cell r="AZ1512" t="str">
            <v>ACMTIDMD</v>
          </cell>
          <cell r="BA1512" t="str">
            <v>Flexible Multi_I/D_Duct</v>
          </cell>
        </row>
        <row r="1513">
          <cell r="E1513" t="str">
            <v>AMNQ24GSKB0.ENWHEVH</v>
          </cell>
          <cell r="F1513">
            <v>4</v>
          </cell>
          <cell r="G1513">
            <v>0</v>
          </cell>
          <cell r="H1513">
            <v>0</v>
          </cell>
          <cell r="I1513">
            <v>4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 t="str">
            <v>CAC</v>
          </cell>
          <cell r="AH1513" t="str">
            <v>CAC</v>
          </cell>
          <cell r="AI1513" t="str">
            <v/>
          </cell>
          <cell r="AJ1513" t="str">
            <v/>
          </cell>
          <cell r="AK1513" t="str">
            <v>0.122330</v>
          </cell>
          <cell r="AL1513" t="str">
            <v>2</v>
          </cell>
          <cell r="AM1513" t="str">
            <v>Q</v>
          </cell>
          <cell r="AN1513" t="str">
            <v>M5</v>
          </cell>
          <cell r="AO1513" t="str">
            <v>To Be Obsolete(Model)</v>
          </cell>
          <cell r="AP1513" t="str">
            <v/>
          </cell>
          <cell r="AQ1513" t="str">
            <v/>
          </cell>
          <cell r="AR1513" t="str">
            <v>Y</v>
          </cell>
          <cell r="AS1513" t="str">
            <v/>
          </cell>
          <cell r="AT1513" t="str">
            <v>AC</v>
          </cell>
          <cell r="AU1513" t="str">
            <v>Airconditioner</v>
          </cell>
          <cell r="AV1513" t="str">
            <v>ACMT</v>
          </cell>
          <cell r="AW1513" t="str">
            <v>Multi</v>
          </cell>
          <cell r="AX1513" t="str">
            <v>ACMTID</v>
          </cell>
          <cell r="AY1513" t="str">
            <v>Flexible Multi-I/D(Inv.&amp; MPS)</v>
          </cell>
          <cell r="AZ1513" t="str">
            <v>ACMTIDMS</v>
          </cell>
          <cell r="BA1513" t="str">
            <v>Flexible Multi_I/D_Wall Mounted</v>
          </cell>
        </row>
        <row r="1514">
          <cell r="E1514" t="str">
            <v>AMNW24GL3A2.ENWHEVH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1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 t="str">
            <v>CAC</v>
          </cell>
          <cell r="AH1514" t="str">
            <v>CAC</v>
          </cell>
          <cell r="AI1514" t="str">
            <v/>
          </cell>
          <cell r="AJ1514" t="str">
            <v/>
          </cell>
          <cell r="AK1514" t="str">
            <v>0.251334</v>
          </cell>
          <cell r="AL1514" t="str">
            <v>0</v>
          </cell>
          <cell r="AM1514" t="str">
            <v>Q</v>
          </cell>
          <cell r="AN1514" t="str">
            <v>M0</v>
          </cell>
          <cell r="AO1514" t="str">
            <v>Active(Model)</v>
          </cell>
          <cell r="AP1514" t="str">
            <v/>
          </cell>
          <cell r="AQ1514" t="str">
            <v/>
          </cell>
          <cell r="AR1514" t="str">
            <v>Y</v>
          </cell>
          <cell r="AS1514" t="str">
            <v/>
          </cell>
          <cell r="AT1514" t="str">
            <v>AC</v>
          </cell>
          <cell r="AU1514" t="str">
            <v>Airconditioner</v>
          </cell>
          <cell r="AV1514" t="str">
            <v>ACMT</v>
          </cell>
          <cell r="AW1514" t="str">
            <v>Multi</v>
          </cell>
          <cell r="AX1514" t="str">
            <v>ACMTID</v>
          </cell>
          <cell r="AY1514" t="str">
            <v>Flexible Multi-I/D(Inv.&amp; MPS)</v>
          </cell>
          <cell r="AZ1514" t="str">
            <v>ACMTIDMD</v>
          </cell>
          <cell r="BA1514" t="str">
            <v>Flexible Multi_I/D_Duct</v>
          </cell>
        </row>
        <row r="1515">
          <cell r="E1515" t="str">
            <v>APNQ100LFA0.EMWSEVH</v>
          </cell>
          <cell r="F1515">
            <v>0</v>
          </cell>
          <cell r="G1515">
            <v>0</v>
          </cell>
          <cell r="H1515">
            <v>0</v>
          </cell>
          <cell r="I1515">
            <v>11</v>
          </cell>
          <cell r="J1515">
            <v>0</v>
          </cell>
          <cell r="K1515">
            <v>0</v>
          </cell>
          <cell r="L1515">
            <v>11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 t="str">
            <v/>
          </cell>
          <cell r="AH1515" t="str">
            <v/>
          </cell>
          <cell r="AI1515" t="str">
            <v/>
          </cell>
          <cell r="AJ1515" t="str">
            <v/>
          </cell>
          <cell r="AK1515" t="str">
            <v>1.347243</v>
          </cell>
          <cell r="AL1515" t="str">
            <v>0</v>
          </cell>
          <cell r="AM1515" t="str">
            <v>Q</v>
          </cell>
          <cell r="AN1515" t="str">
            <v>M0</v>
          </cell>
          <cell r="AO1515" t="str">
            <v>Active(Model)</v>
          </cell>
          <cell r="AP1515" t="str">
            <v/>
          </cell>
          <cell r="AQ1515" t="str">
            <v/>
          </cell>
          <cell r="AR1515" t="str">
            <v>Y</v>
          </cell>
          <cell r="AS1515" t="str">
            <v/>
          </cell>
          <cell r="AT1515" t="str">
            <v>AC</v>
          </cell>
          <cell r="AU1515" t="str">
            <v>Airconditioner</v>
          </cell>
          <cell r="AV1515" t="str">
            <v>ACPC</v>
          </cell>
          <cell r="AW1515" t="str">
            <v>PAC</v>
          </cell>
          <cell r="AX1515" t="str">
            <v>ACPCDH</v>
          </cell>
          <cell r="AY1515" t="str">
            <v>PAC_Inverter Cooling</v>
          </cell>
          <cell r="AZ1515" t="str">
            <v>ACPCDHAA</v>
          </cell>
          <cell r="BA1515" t="str">
            <v>PAC_Inverter C/O_I/D</v>
          </cell>
        </row>
        <row r="1516">
          <cell r="E1516" t="str">
            <v>APUQ100LFA0.EMWBEVH</v>
          </cell>
          <cell r="F1516">
            <v>0</v>
          </cell>
          <cell r="G1516">
            <v>0</v>
          </cell>
          <cell r="H1516">
            <v>0</v>
          </cell>
          <cell r="I1516">
            <v>1</v>
          </cell>
          <cell r="J1516">
            <v>0</v>
          </cell>
          <cell r="K1516">
            <v>0</v>
          </cell>
          <cell r="L1516">
            <v>1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 t="str">
            <v>CAC</v>
          </cell>
          <cell r="AH1516" t="str">
            <v>CAC</v>
          </cell>
          <cell r="AI1516" t="str">
            <v/>
          </cell>
          <cell r="AJ1516" t="str">
            <v/>
          </cell>
          <cell r="AK1516" t="str">
            <v>1.097686</v>
          </cell>
          <cell r="AL1516" t="str">
            <v>2</v>
          </cell>
          <cell r="AM1516" t="str">
            <v>Q</v>
          </cell>
          <cell r="AN1516" t="str">
            <v>M0</v>
          </cell>
          <cell r="AO1516" t="str">
            <v>Active(Model)</v>
          </cell>
          <cell r="AP1516" t="str">
            <v/>
          </cell>
          <cell r="AQ1516" t="str">
            <v/>
          </cell>
          <cell r="AR1516" t="str">
            <v>Y</v>
          </cell>
          <cell r="AS1516" t="str">
            <v/>
          </cell>
          <cell r="AT1516" t="str">
            <v>AC</v>
          </cell>
          <cell r="AU1516" t="str">
            <v>Airconditioner</v>
          </cell>
          <cell r="AV1516" t="str">
            <v>ACPC</v>
          </cell>
          <cell r="AW1516" t="str">
            <v>PAC</v>
          </cell>
          <cell r="AX1516" t="str">
            <v>ACPCDH</v>
          </cell>
          <cell r="AY1516" t="str">
            <v>PAC_Inverter Cooling</v>
          </cell>
          <cell r="AZ1516" t="str">
            <v>ACPCDHAB</v>
          </cell>
          <cell r="BA1516" t="str">
            <v>PAC_Inverter C/O_O/D</v>
          </cell>
        </row>
        <row r="1517">
          <cell r="E1517" t="str">
            <v>ARBLN01621.ENCXLEU</v>
          </cell>
          <cell r="F1517">
            <v>83</v>
          </cell>
          <cell r="G1517">
            <v>0</v>
          </cell>
          <cell r="H1517">
            <v>0</v>
          </cell>
          <cell r="I1517">
            <v>104</v>
          </cell>
          <cell r="J1517">
            <v>0</v>
          </cell>
          <cell r="K1517">
            <v>6</v>
          </cell>
          <cell r="L1517">
            <v>21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 t="str">
            <v>CAC</v>
          </cell>
          <cell r="AH1517" t="str">
            <v>CAC</v>
          </cell>
          <cell r="AI1517" t="str">
            <v/>
          </cell>
          <cell r="AJ1517" t="str">
            <v/>
          </cell>
          <cell r="AK1517" t="str">
            <v>0.006120</v>
          </cell>
          <cell r="AL1517" t="str">
            <v>0</v>
          </cell>
          <cell r="AM1517" t="str">
            <v>Q</v>
          </cell>
          <cell r="AN1517" t="str">
            <v>M0</v>
          </cell>
          <cell r="AO1517" t="str">
            <v>Active(Model)</v>
          </cell>
          <cell r="AP1517" t="str">
            <v/>
          </cell>
          <cell r="AQ1517" t="str">
            <v/>
          </cell>
          <cell r="AR1517" t="str">
            <v>Y</v>
          </cell>
          <cell r="AS1517" t="str">
            <v/>
          </cell>
          <cell r="AT1517" t="str">
            <v>AC</v>
          </cell>
          <cell r="AU1517" t="str">
            <v>Airconditioner</v>
          </cell>
          <cell r="AV1517" t="str">
            <v>ACMV</v>
          </cell>
          <cell r="AW1517" t="str">
            <v>Multi V</v>
          </cell>
          <cell r="AX1517" t="str">
            <v>ACMVID</v>
          </cell>
          <cell r="AY1517" t="str">
            <v>Multi V I/D</v>
          </cell>
          <cell r="AZ1517" t="str">
            <v>ACMVIDPP</v>
          </cell>
          <cell r="BA1517" t="str">
            <v>Multi V_Mechanical option part</v>
          </cell>
        </row>
        <row r="1518">
          <cell r="E1518" t="str">
            <v>ARBLN03321.ENCXLEU</v>
          </cell>
          <cell r="F1518">
            <v>14</v>
          </cell>
          <cell r="G1518">
            <v>0</v>
          </cell>
          <cell r="H1518">
            <v>0</v>
          </cell>
          <cell r="I1518">
            <v>41</v>
          </cell>
          <cell r="J1518">
            <v>0</v>
          </cell>
          <cell r="K1518">
            <v>0</v>
          </cell>
          <cell r="L1518">
            <v>27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 t="str">
            <v>CAC</v>
          </cell>
          <cell r="AH1518" t="str">
            <v>CAC</v>
          </cell>
          <cell r="AI1518" t="str">
            <v/>
          </cell>
          <cell r="AJ1518" t="str">
            <v/>
          </cell>
          <cell r="AK1518" t="str">
            <v>0.007920</v>
          </cell>
          <cell r="AL1518" t="str">
            <v>0</v>
          </cell>
          <cell r="AM1518" t="str">
            <v>Q</v>
          </cell>
          <cell r="AN1518" t="str">
            <v>M0</v>
          </cell>
          <cell r="AO1518" t="str">
            <v>Active(Model)</v>
          </cell>
          <cell r="AP1518" t="str">
            <v/>
          </cell>
          <cell r="AQ1518" t="str">
            <v/>
          </cell>
          <cell r="AR1518" t="str">
            <v>Y</v>
          </cell>
          <cell r="AS1518" t="str">
            <v/>
          </cell>
          <cell r="AT1518" t="str">
            <v>AC</v>
          </cell>
          <cell r="AU1518" t="str">
            <v>Airconditioner</v>
          </cell>
          <cell r="AV1518" t="str">
            <v>ACMV</v>
          </cell>
          <cell r="AW1518" t="str">
            <v>Multi V</v>
          </cell>
          <cell r="AX1518" t="str">
            <v>ACMVID</v>
          </cell>
          <cell r="AY1518" t="str">
            <v>Multi V I/D</v>
          </cell>
          <cell r="AZ1518" t="str">
            <v>ACMVIDPP</v>
          </cell>
          <cell r="BA1518" t="str">
            <v>Multi V_Mechanical option part</v>
          </cell>
        </row>
        <row r="1519">
          <cell r="E1519" t="str">
            <v>ARBLN07121.ENCXLEU</v>
          </cell>
          <cell r="F1519">
            <v>1</v>
          </cell>
          <cell r="G1519">
            <v>0</v>
          </cell>
          <cell r="H1519">
            <v>0</v>
          </cell>
          <cell r="I1519">
            <v>29</v>
          </cell>
          <cell r="J1519">
            <v>0</v>
          </cell>
          <cell r="K1519">
            <v>0</v>
          </cell>
          <cell r="L1519">
            <v>28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 t="str">
            <v>CAC</v>
          </cell>
          <cell r="AH1519" t="str">
            <v>CAC</v>
          </cell>
          <cell r="AI1519" t="str">
            <v/>
          </cell>
          <cell r="AJ1519" t="str">
            <v/>
          </cell>
          <cell r="AK1519" t="str">
            <v>0.018135</v>
          </cell>
          <cell r="AL1519" t="str">
            <v>0</v>
          </cell>
          <cell r="AM1519" t="str">
            <v>Q</v>
          </cell>
          <cell r="AN1519" t="str">
            <v>M0</v>
          </cell>
          <cell r="AO1519" t="str">
            <v>Active(Model)</v>
          </cell>
          <cell r="AP1519" t="str">
            <v/>
          </cell>
          <cell r="AQ1519" t="str">
            <v/>
          </cell>
          <cell r="AR1519" t="str">
            <v>Y</v>
          </cell>
          <cell r="AS1519" t="str">
            <v/>
          </cell>
          <cell r="AT1519" t="str">
            <v>AC</v>
          </cell>
          <cell r="AU1519" t="str">
            <v>Airconditioner</v>
          </cell>
          <cell r="AV1519" t="str">
            <v>ACMV</v>
          </cell>
          <cell r="AW1519" t="str">
            <v>Multi V</v>
          </cell>
          <cell r="AX1519" t="str">
            <v>ACMVID</v>
          </cell>
          <cell r="AY1519" t="str">
            <v>Multi V I/D</v>
          </cell>
          <cell r="AZ1519" t="str">
            <v>ACMVIDPP</v>
          </cell>
          <cell r="BA1519" t="str">
            <v>Multi V_Mechanical option part</v>
          </cell>
        </row>
        <row r="1520">
          <cell r="E1520" t="str">
            <v>ARBLN14521.ENCXLEU</v>
          </cell>
          <cell r="F1520">
            <v>10</v>
          </cell>
          <cell r="G1520">
            <v>0</v>
          </cell>
          <cell r="H1520">
            <v>0</v>
          </cell>
          <cell r="I1520">
            <v>10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 t="str">
            <v>CAC</v>
          </cell>
          <cell r="AH1520" t="str">
            <v>CAC</v>
          </cell>
          <cell r="AI1520" t="str">
            <v/>
          </cell>
          <cell r="AJ1520" t="str">
            <v/>
          </cell>
          <cell r="AK1520" t="str">
            <v>0.019130</v>
          </cell>
          <cell r="AL1520" t="str">
            <v>0</v>
          </cell>
          <cell r="AM1520" t="str">
            <v>Q</v>
          </cell>
          <cell r="AN1520" t="str">
            <v>M0</v>
          </cell>
          <cell r="AO1520" t="str">
            <v>Active(Model)</v>
          </cell>
          <cell r="AP1520" t="str">
            <v/>
          </cell>
          <cell r="AQ1520" t="str">
            <v/>
          </cell>
          <cell r="AR1520" t="str">
            <v>Y</v>
          </cell>
          <cell r="AS1520" t="str">
            <v/>
          </cell>
          <cell r="AT1520" t="str">
            <v>AC</v>
          </cell>
          <cell r="AU1520" t="str">
            <v>Airconditioner</v>
          </cell>
          <cell r="AV1520" t="str">
            <v>ACMV</v>
          </cell>
          <cell r="AW1520" t="str">
            <v>Multi V</v>
          </cell>
          <cell r="AX1520" t="str">
            <v>ACMVID</v>
          </cell>
          <cell r="AY1520" t="str">
            <v>Multi V I/D</v>
          </cell>
          <cell r="AZ1520" t="str">
            <v>ACMVIDPP</v>
          </cell>
          <cell r="BA1520" t="str">
            <v>Multi V_Mechanical option part</v>
          </cell>
        </row>
        <row r="1521">
          <cell r="E1521" t="str">
            <v>ARCNN21.ENCXLEU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18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 t="str">
            <v>CAC</v>
          </cell>
          <cell r="AH1521" t="str">
            <v>CAC</v>
          </cell>
          <cell r="AI1521" t="str">
            <v/>
          </cell>
          <cell r="AJ1521" t="str">
            <v/>
          </cell>
          <cell r="AK1521" t="str">
            <v>0.022770</v>
          </cell>
          <cell r="AL1521" t="str">
            <v>0</v>
          </cell>
          <cell r="AM1521" t="str">
            <v>Q</v>
          </cell>
          <cell r="AN1521" t="str">
            <v>M0</v>
          </cell>
          <cell r="AO1521" t="str">
            <v>Active(Model)</v>
          </cell>
          <cell r="AP1521" t="str">
            <v/>
          </cell>
          <cell r="AQ1521" t="str">
            <v/>
          </cell>
          <cell r="AR1521" t="str">
            <v>Y</v>
          </cell>
          <cell r="AS1521" t="str">
            <v/>
          </cell>
          <cell r="AT1521" t="str">
            <v>AC</v>
          </cell>
          <cell r="AU1521" t="str">
            <v>Airconditioner</v>
          </cell>
          <cell r="AV1521" t="str">
            <v>ACMV</v>
          </cell>
          <cell r="AW1521" t="str">
            <v>Multi V</v>
          </cell>
          <cell r="AX1521" t="str">
            <v>ACMVID</v>
          </cell>
          <cell r="AY1521" t="str">
            <v>Multi V I/D</v>
          </cell>
          <cell r="AZ1521" t="str">
            <v>ACMVIDPP</v>
          </cell>
          <cell r="BA1521" t="str">
            <v>Multi V_Mechanical option part</v>
          </cell>
        </row>
        <row r="1522">
          <cell r="E1522" t="str">
            <v>ARCNN31.ENCXLEU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5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 t="str">
            <v>CAC</v>
          </cell>
          <cell r="AH1522" t="str">
            <v>CAC</v>
          </cell>
          <cell r="AI1522" t="str">
            <v/>
          </cell>
          <cell r="AJ1522" t="str">
            <v/>
          </cell>
          <cell r="AK1522" t="str">
            <v>0.022770</v>
          </cell>
          <cell r="AL1522" t="str">
            <v>0</v>
          </cell>
          <cell r="AM1522" t="str">
            <v>Q</v>
          </cell>
          <cell r="AN1522" t="str">
            <v>M0</v>
          </cell>
          <cell r="AO1522" t="str">
            <v>Active(Model)</v>
          </cell>
          <cell r="AP1522" t="str">
            <v/>
          </cell>
          <cell r="AQ1522" t="str">
            <v/>
          </cell>
          <cell r="AR1522" t="str">
            <v>Y</v>
          </cell>
          <cell r="AS1522" t="str">
            <v/>
          </cell>
          <cell r="AT1522" t="str">
            <v>AC</v>
          </cell>
          <cell r="AU1522" t="str">
            <v>Airconditioner</v>
          </cell>
          <cell r="AV1522" t="str">
            <v>ACMV</v>
          </cell>
          <cell r="AW1522" t="str">
            <v>Multi V</v>
          </cell>
          <cell r="AX1522" t="str">
            <v>ACMVID</v>
          </cell>
          <cell r="AY1522" t="str">
            <v>Multi V I/D</v>
          </cell>
          <cell r="AZ1522" t="str">
            <v>ACMVIDPP</v>
          </cell>
          <cell r="BA1522" t="str">
            <v>Multi V_Mechanical option part</v>
          </cell>
        </row>
        <row r="1523">
          <cell r="E1523" t="str">
            <v>ARNU07GM1A4.ANCSASE</v>
          </cell>
          <cell r="F1523">
            <v>1</v>
          </cell>
          <cell r="G1523">
            <v>0</v>
          </cell>
          <cell r="H1523">
            <v>0</v>
          </cell>
          <cell r="I1523">
            <v>1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 t="str">
            <v/>
          </cell>
          <cell r="AH1523" t="str">
            <v/>
          </cell>
          <cell r="AI1523" t="str">
            <v/>
          </cell>
          <cell r="AJ1523" t="str">
            <v/>
          </cell>
          <cell r="AK1523" t="str">
            <v>0.287401</v>
          </cell>
          <cell r="AL1523" t="str">
            <v>0</v>
          </cell>
          <cell r="AM1523" t="str">
            <v>Q</v>
          </cell>
          <cell r="AN1523" t="str">
            <v>M0</v>
          </cell>
          <cell r="AO1523" t="str">
            <v>Active(Model)</v>
          </cell>
          <cell r="AP1523" t="str">
            <v/>
          </cell>
          <cell r="AQ1523" t="str">
            <v/>
          </cell>
          <cell r="AR1523" t="str">
            <v>Y</v>
          </cell>
          <cell r="AS1523" t="str">
            <v/>
          </cell>
          <cell r="AT1523" t="str">
            <v>AC</v>
          </cell>
          <cell r="AU1523" t="str">
            <v>Airconditioner</v>
          </cell>
          <cell r="AV1523" t="str">
            <v>ACMV</v>
          </cell>
          <cell r="AW1523" t="str">
            <v>Multi V</v>
          </cell>
          <cell r="AX1523" t="str">
            <v>ACMVID</v>
          </cell>
          <cell r="AY1523" t="str">
            <v>Multi V I/D</v>
          </cell>
          <cell r="AZ1523" t="str">
            <v>ACMVIDMD</v>
          </cell>
          <cell r="BA1523" t="str">
            <v>Multi V_I/D_Duct</v>
          </cell>
        </row>
        <row r="1524">
          <cell r="E1524" t="str">
            <v>ARNU07GSJN4.AMBBASE</v>
          </cell>
          <cell r="F1524">
            <v>1</v>
          </cell>
          <cell r="G1524">
            <v>0</v>
          </cell>
          <cell r="H1524">
            <v>0</v>
          </cell>
          <cell r="I1524">
            <v>1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 t="str">
            <v>CAC</v>
          </cell>
          <cell r="AH1524" t="str">
            <v>CAC</v>
          </cell>
          <cell r="AI1524" t="str">
            <v/>
          </cell>
          <cell r="AJ1524" t="str">
            <v/>
          </cell>
          <cell r="AK1524" t="str">
            <v>0.084623</v>
          </cell>
          <cell r="AL1524" t="str">
            <v>2</v>
          </cell>
          <cell r="AM1524" t="str">
            <v>Q</v>
          </cell>
          <cell r="AN1524" t="str">
            <v>M0</v>
          </cell>
          <cell r="AO1524" t="str">
            <v>Active(Model)</v>
          </cell>
          <cell r="AP1524" t="str">
            <v/>
          </cell>
          <cell r="AQ1524" t="str">
            <v/>
          </cell>
          <cell r="AR1524" t="str">
            <v>Y</v>
          </cell>
          <cell r="AS1524" t="str">
            <v/>
          </cell>
          <cell r="AT1524" t="str">
            <v>AC</v>
          </cell>
          <cell r="AU1524" t="str">
            <v>Airconditioner</v>
          </cell>
          <cell r="AV1524" t="str">
            <v>ACMV</v>
          </cell>
          <cell r="AW1524" t="str">
            <v>Multi V</v>
          </cell>
          <cell r="AX1524" t="str">
            <v>ACMVID</v>
          </cell>
          <cell r="AY1524" t="str">
            <v>Multi V I/D</v>
          </cell>
          <cell r="AZ1524" t="str">
            <v>ACMVIDMS</v>
          </cell>
          <cell r="BA1524" t="str">
            <v>Multi V_I/D_Wall Mounted</v>
          </cell>
        </row>
        <row r="1525">
          <cell r="E1525" t="str">
            <v>ARNU09GTRB4.ANWBASE</v>
          </cell>
          <cell r="F1525">
            <v>50</v>
          </cell>
          <cell r="G1525">
            <v>0</v>
          </cell>
          <cell r="H1525">
            <v>0</v>
          </cell>
          <cell r="I1525">
            <v>50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 t="str">
            <v>CAC</v>
          </cell>
          <cell r="AH1525" t="str">
            <v>CAC</v>
          </cell>
          <cell r="AI1525" t="str">
            <v/>
          </cell>
          <cell r="AJ1525" t="str">
            <v/>
          </cell>
          <cell r="AK1525" t="str">
            <v>0.122801</v>
          </cell>
          <cell r="AL1525" t="str">
            <v>2</v>
          </cell>
          <cell r="AM1525" t="str">
            <v>Q</v>
          </cell>
          <cell r="AN1525" t="str">
            <v>M0</v>
          </cell>
          <cell r="AO1525" t="str">
            <v>Active(Model)</v>
          </cell>
          <cell r="AP1525" t="str">
            <v/>
          </cell>
          <cell r="AQ1525" t="str">
            <v/>
          </cell>
          <cell r="AR1525" t="str">
            <v>Y</v>
          </cell>
          <cell r="AS1525" t="str">
            <v/>
          </cell>
          <cell r="AT1525" t="str">
            <v>AC</v>
          </cell>
          <cell r="AU1525" t="str">
            <v>Airconditioner</v>
          </cell>
          <cell r="AV1525" t="str">
            <v>ACMV</v>
          </cell>
          <cell r="AW1525" t="str">
            <v>Multi V</v>
          </cell>
          <cell r="AX1525" t="str">
            <v>ACMVID</v>
          </cell>
          <cell r="AY1525" t="str">
            <v>Multi V I/D</v>
          </cell>
          <cell r="AZ1525" t="str">
            <v>ACMVIDMC</v>
          </cell>
          <cell r="BA1525" t="str">
            <v>Multi V_I/D_Cassette</v>
          </cell>
        </row>
        <row r="1526">
          <cell r="E1526" t="str">
            <v>ARNU09GTUB4.ANWBASE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1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 t="str">
            <v>CAC</v>
          </cell>
          <cell r="AH1526" t="str">
            <v>CAC</v>
          </cell>
          <cell r="AI1526" t="str">
            <v/>
          </cell>
          <cell r="AJ1526" t="str">
            <v/>
          </cell>
          <cell r="AK1526" t="str">
            <v>0.152523</v>
          </cell>
          <cell r="AL1526" t="str">
            <v>2</v>
          </cell>
          <cell r="AM1526" t="str">
            <v>Q</v>
          </cell>
          <cell r="AN1526" t="str">
            <v>M0</v>
          </cell>
          <cell r="AO1526" t="str">
            <v>Active(Model)</v>
          </cell>
          <cell r="AP1526" t="str">
            <v/>
          </cell>
          <cell r="AQ1526" t="str">
            <v/>
          </cell>
          <cell r="AR1526" t="str">
            <v>Y</v>
          </cell>
          <cell r="AS1526" t="str">
            <v/>
          </cell>
          <cell r="AT1526" t="str">
            <v>AC</v>
          </cell>
          <cell r="AU1526" t="str">
            <v>Airconditioner</v>
          </cell>
          <cell r="AV1526" t="str">
            <v>ACMV</v>
          </cell>
          <cell r="AW1526" t="str">
            <v>Multi V</v>
          </cell>
          <cell r="AX1526" t="str">
            <v>ACMVID</v>
          </cell>
          <cell r="AY1526" t="str">
            <v>Multi V I/D</v>
          </cell>
          <cell r="AZ1526" t="str">
            <v>ACMVIDMC</v>
          </cell>
          <cell r="BA1526" t="str">
            <v>Multi V_I/D_Cassette</v>
          </cell>
        </row>
        <row r="1527">
          <cell r="E1527" t="str">
            <v>ARNU12GM1A4.ANCSASE</v>
          </cell>
          <cell r="F1527">
            <v>44</v>
          </cell>
          <cell r="G1527">
            <v>0</v>
          </cell>
          <cell r="H1527">
            <v>0</v>
          </cell>
          <cell r="I1527">
            <v>44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2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 t="str">
            <v/>
          </cell>
          <cell r="AH1527" t="str">
            <v/>
          </cell>
          <cell r="AI1527" t="str">
            <v/>
          </cell>
          <cell r="AJ1527" t="str">
            <v/>
          </cell>
          <cell r="AK1527" t="str">
            <v>0.287401</v>
          </cell>
          <cell r="AL1527" t="str">
            <v>0</v>
          </cell>
          <cell r="AM1527" t="str">
            <v>Q</v>
          </cell>
          <cell r="AN1527" t="str">
            <v>M0</v>
          </cell>
          <cell r="AO1527" t="str">
            <v>Active(Model)</v>
          </cell>
          <cell r="AP1527" t="str">
            <v/>
          </cell>
          <cell r="AQ1527" t="str">
            <v/>
          </cell>
          <cell r="AR1527" t="str">
            <v>Y</v>
          </cell>
          <cell r="AS1527" t="str">
            <v/>
          </cell>
          <cell r="AT1527" t="str">
            <v>AC</v>
          </cell>
          <cell r="AU1527" t="str">
            <v>Airconditioner</v>
          </cell>
          <cell r="AV1527" t="str">
            <v>ACMV</v>
          </cell>
          <cell r="AW1527" t="str">
            <v>Multi V</v>
          </cell>
          <cell r="AX1527" t="str">
            <v>ACMVID</v>
          </cell>
          <cell r="AY1527" t="str">
            <v>Multi V I/D</v>
          </cell>
          <cell r="AZ1527" t="str">
            <v>ACMVIDMD</v>
          </cell>
          <cell r="BA1527" t="str">
            <v>Multi V_I/D_Duct</v>
          </cell>
        </row>
        <row r="1528">
          <cell r="E1528" t="str">
            <v>ARNU15GM1A4.ANCBASE</v>
          </cell>
          <cell r="F1528">
            <v>0</v>
          </cell>
          <cell r="G1528">
            <v>0</v>
          </cell>
          <cell r="H1528">
            <v>0</v>
          </cell>
          <cell r="I1528">
            <v>6</v>
          </cell>
          <cell r="J1528">
            <v>0</v>
          </cell>
          <cell r="K1528">
            <v>5</v>
          </cell>
          <cell r="L1528">
            <v>6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 t="str">
            <v>CAC</v>
          </cell>
          <cell r="AH1528" t="str">
            <v>CAC</v>
          </cell>
          <cell r="AI1528" t="str">
            <v/>
          </cell>
          <cell r="AJ1528" t="str">
            <v/>
          </cell>
          <cell r="AK1528" t="str">
            <v>0.287401</v>
          </cell>
          <cell r="AL1528" t="str">
            <v>2</v>
          </cell>
          <cell r="AM1528" t="str">
            <v>Q</v>
          </cell>
          <cell r="AN1528" t="str">
            <v>M0</v>
          </cell>
          <cell r="AO1528" t="str">
            <v>Active(Model)</v>
          </cell>
          <cell r="AP1528" t="str">
            <v/>
          </cell>
          <cell r="AQ1528" t="str">
            <v/>
          </cell>
          <cell r="AR1528" t="str">
            <v>Y</v>
          </cell>
          <cell r="AS1528" t="str">
            <v/>
          </cell>
          <cell r="AT1528" t="str">
            <v>AC</v>
          </cell>
          <cell r="AU1528" t="str">
            <v>Airconditioner</v>
          </cell>
          <cell r="AV1528" t="str">
            <v>ACMV</v>
          </cell>
          <cell r="AW1528" t="str">
            <v>Multi V</v>
          </cell>
          <cell r="AX1528" t="str">
            <v>ACMVID</v>
          </cell>
          <cell r="AY1528" t="str">
            <v>Multi V I/D</v>
          </cell>
          <cell r="AZ1528" t="str">
            <v>ACMVIDMD</v>
          </cell>
          <cell r="BA1528" t="str">
            <v>Multi V_I/D_Duct</v>
          </cell>
        </row>
        <row r="1529">
          <cell r="E1529" t="str">
            <v>ARNU15GM1A4.ANCSASE</v>
          </cell>
          <cell r="F1529">
            <v>25</v>
          </cell>
          <cell r="G1529">
            <v>0</v>
          </cell>
          <cell r="H1529">
            <v>0</v>
          </cell>
          <cell r="I1529">
            <v>25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 t="str">
            <v/>
          </cell>
          <cell r="AH1529" t="str">
            <v/>
          </cell>
          <cell r="AI1529" t="str">
            <v/>
          </cell>
          <cell r="AJ1529" t="str">
            <v/>
          </cell>
          <cell r="AK1529" t="str">
            <v>0.287401</v>
          </cell>
          <cell r="AL1529" t="str">
            <v>0</v>
          </cell>
          <cell r="AM1529" t="str">
            <v>Q</v>
          </cell>
          <cell r="AN1529" t="str">
            <v>M0</v>
          </cell>
          <cell r="AO1529" t="str">
            <v>Active(Model)</v>
          </cell>
          <cell r="AP1529" t="str">
            <v/>
          </cell>
          <cell r="AQ1529" t="str">
            <v/>
          </cell>
          <cell r="AR1529" t="str">
            <v>Y</v>
          </cell>
          <cell r="AS1529" t="str">
            <v/>
          </cell>
          <cell r="AT1529" t="str">
            <v>AC</v>
          </cell>
          <cell r="AU1529" t="str">
            <v>Airconditioner</v>
          </cell>
          <cell r="AV1529" t="str">
            <v>ACMV</v>
          </cell>
          <cell r="AW1529" t="str">
            <v>Multi V</v>
          </cell>
          <cell r="AX1529" t="str">
            <v>ACMVID</v>
          </cell>
          <cell r="AY1529" t="str">
            <v>Multi V I/D</v>
          </cell>
          <cell r="AZ1529" t="str">
            <v>ACMVIDMD</v>
          </cell>
          <cell r="BA1529" t="str">
            <v>Multi V_I/D_Duct</v>
          </cell>
        </row>
        <row r="1530">
          <cell r="E1530" t="str">
            <v>ARNU15GTQB4.ANWBASE</v>
          </cell>
          <cell r="F1530">
            <v>45</v>
          </cell>
          <cell r="G1530">
            <v>0</v>
          </cell>
          <cell r="H1530">
            <v>0</v>
          </cell>
          <cell r="I1530">
            <v>45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 t="str">
            <v>CAC</v>
          </cell>
          <cell r="AH1530" t="str">
            <v>CAC</v>
          </cell>
          <cell r="AI1530" t="str">
            <v/>
          </cell>
          <cell r="AJ1530" t="str">
            <v/>
          </cell>
          <cell r="AK1530" t="str">
            <v>0.140898</v>
          </cell>
          <cell r="AL1530" t="str">
            <v>2</v>
          </cell>
          <cell r="AM1530" t="str">
            <v>Q</v>
          </cell>
          <cell r="AN1530" t="str">
            <v>M0</v>
          </cell>
          <cell r="AO1530" t="str">
            <v>Active(Model)</v>
          </cell>
          <cell r="AP1530" t="str">
            <v/>
          </cell>
          <cell r="AQ1530" t="str">
            <v/>
          </cell>
          <cell r="AR1530" t="str">
            <v>Y</v>
          </cell>
          <cell r="AS1530" t="str">
            <v/>
          </cell>
          <cell r="AT1530" t="str">
            <v>AC</v>
          </cell>
          <cell r="AU1530" t="str">
            <v>Airconditioner</v>
          </cell>
          <cell r="AV1530" t="str">
            <v>ACMV</v>
          </cell>
          <cell r="AW1530" t="str">
            <v>Multi V</v>
          </cell>
          <cell r="AX1530" t="str">
            <v>ACMVID</v>
          </cell>
          <cell r="AY1530" t="str">
            <v>Multi V I/D</v>
          </cell>
          <cell r="AZ1530" t="str">
            <v>ACMVIDMC</v>
          </cell>
          <cell r="BA1530" t="str">
            <v>Multi V_I/D_Cassette</v>
          </cell>
        </row>
        <row r="1531">
          <cell r="E1531" t="str">
            <v>ARNU18GM1A4.ANCSASE</v>
          </cell>
          <cell r="F1531">
            <v>126</v>
          </cell>
          <cell r="G1531">
            <v>0</v>
          </cell>
          <cell r="H1531">
            <v>0</v>
          </cell>
          <cell r="I1531">
            <v>140</v>
          </cell>
          <cell r="J1531">
            <v>0</v>
          </cell>
          <cell r="K1531">
            <v>0</v>
          </cell>
          <cell r="L1531">
            <v>14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 t="str">
            <v/>
          </cell>
          <cell r="AH1531" t="str">
            <v/>
          </cell>
          <cell r="AI1531" t="str">
            <v/>
          </cell>
          <cell r="AJ1531" t="str">
            <v/>
          </cell>
          <cell r="AK1531" t="str">
            <v>0.287401</v>
          </cell>
          <cell r="AL1531" t="str">
            <v>0</v>
          </cell>
          <cell r="AM1531" t="str">
            <v>Q</v>
          </cell>
          <cell r="AN1531" t="str">
            <v>M0</v>
          </cell>
          <cell r="AO1531" t="str">
            <v>Active(Model)</v>
          </cell>
          <cell r="AP1531" t="str">
            <v/>
          </cell>
          <cell r="AQ1531" t="str">
            <v/>
          </cell>
          <cell r="AR1531" t="str">
            <v>Y</v>
          </cell>
          <cell r="AS1531" t="str">
            <v/>
          </cell>
          <cell r="AT1531" t="str">
            <v>AC</v>
          </cell>
          <cell r="AU1531" t="str">
            <v>Airconditioner</v>
          </cell>
          <cell r="AV1531" t="str">
            <v>ACMV</v>
          </cell>
          <cell r="AW1531" t="str">
            <v>Multi V</v>
          </cell>
          <cell r="AX1531" t="str">
            <v>ACMVID</v>
          </cell>
          <cell r="AY1531" t="str">
            <v>Multi V I/D</v>
          </cell>
          <cell r="AZ1531" t="str">
            <v>ACMVIDMD</v>
          </cell>
          <cell r="BA1531" t="str">
            <v>Multi V_I/D_Duct</v>
          </cell>
        </row>
        <row r="1532">
          <cell r="E1532" t="str">
            <v>ARNU18GSKN4.AMBBASE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3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 t="str">
            <v>CAC</v>
          </cell>
          <cell r="AH1532" t="str">
            <v>CAC</v>
          </cell>
          <cell r="AI1532" t="str">
            <v/>
          </cell>
          <cell r="AJ1532" t="str">
            <v/>
          </cell>
          <cell r="AK1532" t="str">
            <v>0.122330</v>
          </cell>
          <cell r="AL1532" t="str">
            <v>2</v>
          </cell>
          <cell r="AM1532" t="str">
            <v>Q</v>
          </cell>
          <cell r="AN1532" t="str">
            <v>M0</v>
          </cell>
          <cell r="AO1532" t="str">
            <v>Active(Model)</v>
          </cell>
          <cell r="AP1532" t="str">
            <v/>
          </cell>
          <cell r="AQ1532" t="str">
            <v/>
          </cell>
          <cell r="AR1532" t="str">
            <v>Y</v>
          </cell>
          <cell r="AS1532" t="str">
            <v/>
          </cell>
          <cell r="AT1532" t="str">
            <v>AC</v>
          </cell>
          <cell r="AU1532" t="str">
            <v>Airconditioner</v>
          </cell>
          <cell r="AV1532" t="str">
            <v>ACMV</v>
          </cell>
          <cell r="AW1532" t="str">
            <v>Multi V</v>
          </cell>
          <cell r="AX1532" t="str">
            <v>ACMVID</v>
          </cell>
          <cell r="AY1532" t="str">
            <v>Multi V I/D</v>
          </cell>
          <cell r="AZ1532" t="str">
            <v>ACMVIDMS</v>
          </cell>
          <cell r="BA1532" t="str">
            <v>Multi V_I/D_Wall Mounted</v>
          </cell>
        </row>
        <row r="1533">
          <cell r="E1533" t="str">
            <v>ARNU18GTQB4.ANWBASE</v>
          </cell>
          <cell r="F1533">
            <v>34</v>
          </cell>
          <cell r="G1533">
            <v>0</v>
          </cell>
          <cell r="H1533">
            <v>0</v>
          </cell>
          <cell r="I1533">
            <v>34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 t="str">
            <v>CAC</v>
          </cell>
          <cell r="AH1533" t="str">
            <v>CAC</v>
          </cell>
          <cell r="AI1533" t="str">
            <v/>
          </cell>
          <cell r="AJ1533" t="str">
            <v/>
          </cell>
          <cell r="AK1533" t="str">
            <v>0.140898</v>
          </cell>
          <cell r="AL1533" t="str">
            <v>2</v>
          </cell>
          <cell r="AM1533" t="str">
            <v>Q</v>
          </cell>
          <cell r="AN1533" t="str">
            <v>M0</v>
          </cell>
          <cell r="AO1533" t="str">
            <v>Active(Model)</v>
          </cell>
          <cell r="AP1533" t="str">
            <v/>
          </cell>
          <cell r="AQ1533" t="str">
            <v/>
          </cell>
          <cell r="AR1533" t="str">
            <v>Y</v>
          </cell>
          <cell r="AS1533" t="str">
            <v/>
          </cell>
          <cell r="AT1533" t="str">
            <v>AC</v>
          </cell>
          <cell r="AU1533" t="str">
            <v>Airconditioner</v>
          </cell>
          <cell r="AV1533" t="str">
            <v>ACMV</v>
          </cell>
          <cell r="AW1533" t="str">
            <v>Multi V</v>
          </cell>
          <cell r="AX1533" t="str">
            <v>ACMVID</v>
          </cell>
          <cell r="AY1533" t="str">
            <v>Multi V I/D</v>
          </cell>
          <cell r="AZ1533" t="str">
            <v>ACMVIDMC</v>
          </cell>
          <cell r="BA1533" t="str">
            <v>Multi V_I/D_Cassette</v>
          </cell>
        </row>
        <row r="1534">
          <cell r="E1534" t="str">
            <v>ARNU18GTTB4.ANWBASE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2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 t="str">
            <v>CAC</v>
          </cell>
          <cell r="AH1534" t="str">
            <v>CAC</v>
          </cell>
          <cell r="AI1534" t="str">
            <v/>
          </cell>
          <cell r="AJ1534" t="str">
            <v/>
          </cell>
          <cell r="AK1534" t="str">
            <v>0.195907</v>
          </cell>
          <cell r="AL1534" t="str">
            <v>2</v>
          </cell>
          <cell r="AM1534" t="str">
            <v>Q</v>
          </cell>
          <cell r="AN1534" t="str">
            <v>M0</v>
          </cell>
          <cell r="AO1534" t="str">
            <v>Active(Model)</v>
          </cell>
          <cell r="AP1534" t="str">
            <v/>
          </cell>
          <cell r="AQ1534" t="str">
            <v/>
          </cell>
          <cell r="AR1534" t="str">
            <v>Y</v>
          </cell>
          <cell r="AS1534" t="str">
            <v/>
          </cell>
          <cell r="AT1534" t="str">
            <v>AC</v>
          </cell>
          <cell r="AU1534" t="str">
            <v>Airconditioner</v>
          </cell>
          <cell r="AV1534" t="str">
            <v>ACMV</v>
          </cell>
          <cell r="AW1534" t="str">
            <v>Multi V</v>
          </cell>
          <cell r="AX1534" t="str">
            <v>ACMVID</v>
          </cell>
          <cell r="AY1534" t="str">
            <v>Multi V I/D</v>
          </cell>
          <cell r="AZ1534" t="str">
            <v>ACMVIDMC</v>
          </cell>
          <cell r="BA1534" t="str">
            <v>Multi V_I/D_Cassette</v>
          </cell>
        </row>
        <row r="1535">
          <cell r="E1535" t="str">
            <v>ARNU24GM1A4.ANCSASE</v>
          </cell>
          <cell r="F1535">
            <v>0</v>
          </cell>
          <cell r="G1535">
            <v>0</v>
          </cell>
          <cell r="H1535">
            <v>0</v>
          </cell>
          <cell r="I1535">
            <v>26</v>
          </cell>
          <cell r="J1535">
            <v>0</v>
          </cell>
          <cell r="K1535">
            <v>0</v>
          </cell>
          <cell r="L1535">
            <v>26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 t="str">
            <v/>
          </cell>
          <cell r="AH1535" t="str">
            <v/>
          </cell>
          <cell r="AI1535" t="str">
            <v/>
          </cell>
          <cell r="AJ1535" t="str">
            <v/>
          </cell>
          <cell r="AK1535" t="str">
            <v>0.287401</v>
          </cell>
          <cell r="AL1535" t="str">
            <v>0</v>
          </cell>
          <cell r="AM1535" t="str">
            <v>Q</v>
          </cell>
          <cell r="AN1535" t="str">
            <v>M0</v>
          </cell>
          <cell r="AO1535" t="str">
            <v>Active(Model)</v>
          </cell>
          <cell r="AP1535" t="str">
            <v/>
          </cell>
          <cell r="AQ1535" t="str">
            <v/>
          </cell>
          <cell r="AR1535" t="str">
            <v>Y</v>
          </cell>
          <cell r="AS1535" t="str">
            <v/>
          </cell>
          <cell r="AT1535" t="str">
            <v>AC</v>
          </cell>
          <cell r="AU1535" t="str">
            <v>Airconditioner</v>
          </cell>
          <cell r="AV1535" t="str">
            <v>ACMV</v>
          </cell>
          <cell r="AW1535" t="str">
            <v>Multi V</v>
          </cell>
          <cell r="AX1535" t="str">
            <v>ACMVID</v>
          </cell>
          <cell r="AY1535" t="str">
            <v>Multi V I/D</v>
          </cell>
          <cell r="AZ1535" t="str">
            <v>ACMVIDMD</v>
          </cell>
          <cell r="BA1535" t="str">
            <v>Multi V_I/D_Duct</v>
          </cell>
        </row>
        <row r="1536">
          <cell r="E1536" t="str">
            <v>ARNU24GSKN4.AMBBASE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3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 t="str">
            <v>CAC</v>
          </cell>
          <cell r="AH1536" t="str">
            <v>CAC</v>
          </cell>
          <cell r="AI1536" t="str">
            <v/>
          </cell>
          <cell r="AJ1536" t="str">
            <v/>
          </cell>
          <cell r="AK1536" t="str">
            <v>0.122330</v>
          </cell>
          <cell r="AL1536" t="str">
            <v>2</v>
          </cell>
          <cell r="AM1536" t="str">
            <v>Q</v>
          </cell>
          <cell r="AN1536" t="str">
            <v>M0</v>
          </cell>
          <cell r="AO1536" t="str">
            <v>Active(Model)</v>
          </cell>
          <cell r="AP1536" t="str">
            <v/>
          </cell>
          <cell r="AQ1536" t="str">
            <v/>
          </cell>
          <cell r="AR1536" t="str">
            <v>Y</v>
          </cell>
          <cell r="AS1536" t="str">
            <v/>
          </cell>
          <cell r="AT1536" t="str">
            <v>AC</v>
          </cell>
          <cell r="AU1536" t="str">
            <v>Airconditioner</v>
          </cell>
          <cell r="AV1536" t="str">
            <v>ACMV</v>
          </cell>
          <cell r="AW1536" t="str">
            <v>Multi V</v>
          </cell>
          <cell r="AX1536" t="str">
            <v>ACMVID</v>
          </cell>
          <cell r="AY1536" t="str">
            <v>Multi V I/D</v>
          </cell>
          <cell r="AZ1536" t="str">
            <v>ACMVIDMS</v>
          </cell>
          <cell r="BA1536" t="str">
            <v>Multi V_I/D_Wall Mounted</v>
          </cell>
        </row>
        <row r="1537">
          <cell r="E1537" t="str">
            <v>ARNU24GTTB4.ANWBASE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1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 t="str">
            <v>CAC</v>
          </cell>
          <cell r="AH1537" t="str">
            <v>CAC</v>
          </cell>
          <cell r="AI1537" t="str">
            <v/>
          </cell>
          <cell r="AJ1537" t="str">
            <v/>
          </cell>
          <cell r="AK1537" t="str">
            <v>0.195907</v>
          </cell>
          <cell r="AL1537" t="str">
            <v>2</v>
          </cell>
          <cell r="AM1537" t="str">
            <v>Q</v>
          </cell>
          <cell r="AN1537" t="str">
            <v>M0</v>
          </cell>
          <cell r="AO1537" t="str">
            <v>Active(Model)</v>
          </cell>
          <cell r="AP1537" t="str">
            <v/>
          </cell>
          <cell r="AQ1537" t="str">
            <v/>
          </cell>
          <cell r="AR1537" t="str">
            <v>Y</v>
          </cell>
          <cell r="AS1537" t="str">
            <v/>
          </cell>
          <cell r="AT1537" t="str">
            <v>AC</v>
          </cell>
          <cell r="AU1537" t="str">
            <v>Airconditioner</v>
          </cell>
          <cell r="AV1537" t="str">
            <v>ACMV</v>
          </cell>
          <cell r="AW1537" t="str">
            <v>Multi V</v>
          </cell>
          <cell r="AX1537" t="str">
            <v>ACMVID</v>
          </cell>
          <cell r="AY1537" t="str">
            <v>Multi V I/D</v>
          </cell>
          <cell r="AZ1537" t="str">
            <v>ACMVIDMC</v>
          </cell>
          <cell r="BA1537" t="str">
            <v>Multi V_I/D_Cassette</v>
          </cell>
        </row>
        <row r="1538">
          <cell r="E1538" t="str">
            <v>ARNU28GM2A4.ANCSASE</v>
          </cell>
          <cell r="F1538">
            <v>4</v>
          </cell>
          <cell r="G1538">
            <v>0</v>
          </cell>
          <cell r="H1538">
            <v>0</v>
          </cell>
          <cell r="I1538">
            <v>4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 t="str">
            <v/>
          </cell>
          <cell r="AH1538" t="str">
            <v/>
          </cell>
          <cell r="AI1538" t="str">
            <v/>
          </cell>
          <cell r="AJ1538" t="str">
            <v/>
          </cell>
          <cell r="AK1538" t="str">
            <v>0.378847</v>
          </cell>
          <cell r="AL1538" t="str">
            <v>0</v>
          </cell>
          <cell r="AM1538" t="str">
            <v>Q</v>
          </cell>
          <cell r="AN1538" t="str">
            <v>M0</v>
          </cell>
          <cell r="AO1538" t="str">
            <v>Active(Model)</v>
          </cell>
          <cell r="AP1538" t="str">
            <v/>
          </cell>
          <cell r="AQ1538" t="str">
            <v/>
          </cell>
          <cell r="AR1538" t="str">
            <v>Y</v>
          </cell>
          <cell r="AS1538" t="str">
            <v/>
          </cell>
          <cell r="AT1538" t="str">
            <v>AC</v>
          </cell>
          <cell r="AU1538" t="str">
            <v>Airconditioner</v>
          </cell>
          <cell r="AV1538" t="str">
            <v>ACMV</v>
          </cell>
          <cell r="AW1538" t="str">
            <v>Multi V</v>
          </cell>
          <cell r="AX1538" t="str">
            <v>ACMVID</v>
          </cell>
          <cell r="AY1538" t="str">
            <v>Multi V I/D</v>
          </cell>
          <cell r="AZ1538" t="str">
            <v>ACMVIDMD</v>
          </cell>
          <cell r="BA1538" t="str">
            <v>Multi V_I/D_Duct</v>
          </cell>
        </row>
        <row r="1539">
          <cell r="E1539" t="str">
            <v>ARNU30GTBB4.ENWBASE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5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 t="str">
            <v/>
          </cell>
          <cell r="AH1539" t="str">
            <v/>
          </cell>
          <cell r="AI1539" t="str">
            <v/>
          </cell>
          <cell r="AJ1539" t="str">
            <v/>
          </cell>
          <cell r="AK1539" t="str">
            <v>0.233351</v>
          </cell>
          <cell r="AL1539" t="str">
            <v>2</v>
          </cell>
          <cell r="AM1539" t="str">
            <v>Q</v>
          </cell>
          <cell r="AN1539" t="str">
            <v>M0</v>
          </cell>
          <cell r="AO1539" t="str">
            <v>Active(Model)</v>
          </cell>
          <cell r="AP1539" t="str">
            <v/>
          </cell>
          <cell r="AQ1539" t="str">
            <v/>
          </cell>
          <cell r="AR1539" t="str">
            <v>Y</v>
          </cell>
          <cell r="AS1539" t="str">
            <v/>
          </cell>
          <cell r="AT1539" t="str">
            <v>AC</v>
          </cell>
          <cell r="AU1539" t="str">
            <v>Airconditioner</v>
          </cell>
          <cell r="AV1539" t="str">
            <v>ACMV</v>
          </cell>
          <cell r="AW1539" t="str">
            <v>Multi V</v>
          </cell>
          <cell r="AX1539" t="str">
            <v>ACMVID</v>
          </cell>
          <cell r="AY1539" t="str">
            <v>Multi V I/D</v>
          </cell>
          <cell r="AZ1539" t="str">
            <v>ACMVIDMC</v>
          </cell>
          <cell r="BA1539" t="str">
            <v>Multi V_I/D_Cassette</v>
          </cell>
        </row>
        <row r="1540">
          <cell r="E1540" t="str">
            <v>ARNU36GM2A4.ANCSASE</v>
          </cell>
          <cell r="F1540">
            <v>5</v>
          </cell>
          <cell r="G1540">
            <v>0</v>
          </cell>
          <cell r="H1540">
            <v>0</v>
          </cell>
          <cell r="I1540">
            <v>13</v>
          </cell>
          <cell r="J1540">
            <v>0</v>
          </cell>
          <cell r="K1540">
            <v>0</v>
          </cell>
          <cell r="L1540">
            <v>8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 t="str">
            <v/>
          </cell>
          <cell r="AH1540" t="str">
            <v/>
          </cell>
          <cell r="AI1540" t="str">
            <v/>
          </cell>
          <cell r="AJ1540" t="str">
            <v/>
          </cell>
          <cell r="AK1540" t="str">
            <v>0.378847</v>
          </cell>
          <cell r="AL1540" t="str">
            <v>0</v>
          </cell>
          <cell r="AM1540" t="str">
            <v>Q</v>
          </cell>
          <cell r="AN1540" t="str">
            <v>M0</v>
          </cell>
          <cell r="AO1540" t="str">
            <v>Active(Model)</v>
          </cell>
          <cell r="AP1540" t="str">
            <v/>
          </cell>
          <cell r="AQ1540" t="str">
            <v/>
          </cell>
          <cell r="AR1540" t="str">
            <v>Y</v>
          </cell>
          <cell r="AS1540" t="str">
            <v/>
          </cell>
          <cell r="AT1540" t="str">
            <v>AC</v>
          </cell>
          <cell r="AU1540" t="str">
            <v>Airconditioner</v>
          </cell>
          <cell r="AV1540" t="str">
            <v>ACMV</v>
          </cell>
          <cell r="AW1540" t="str">
            <v>Multi V</v>
          </cell>
          <cell r="AX1540" t="str">
            <v>ACMVID</v>
          </cell>
          <cell r="AY1540" t="str">
            <v>Multi V I/D</v>
          </cell>
          <cell r="AZ1540" t="str">
            <v>ACMVIDMD</v>
          </cell>
          <cell r="BA1540" t="str">
            <v>Multi V_I/D_Duct</v>
          </cell>
        </row>
        <row r="1541">
          <cell r="E1541" t="str">
            <v>ARNU36GTAB4.ENWBASE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2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 t="str">
            <v/>
          </cell>
          <cell r="AH1541" t="str">
            <v/>
          </cell>
          <cell r="AI1541" t="str">
            <v/>
          </cell>
          <cell r="AJ1541" t="str">
            <v/>
          </cell>
          <cell r="AK1541" t="str">
            <v>0.304371</v>
          </cell>
          <cell r="AL1541" t="str">
            <v>2</v>
          </cell>
          <cell r="AM1541" t="str">
            <v>Q</v>
          </cell>
          <cell r="AN1541" t="str">
            <v>M0</v>
          </cell>
          <cell r="AO1541" t="str">
            <v>Active(Model)</v>
          </cell>
          <cell r="AP1541" t="str">
            <v/>
          </cell>
          <cell r="AQ1541" t="str">
            <v/>
          </cell>
          <cell r="AR1541" t="str">
            <v>Y</v>
          </cell>
          <cell r="AS1541" t="str">
            <v/>
          </cell>
          <cell r="AT1541" t="str">
            <v>AC</v>
          </cell>
          <cell r="AU1541" t="str">
            <v>Airconditioner</v>
          </cell>
          <cell r="AV1541" t="str">
            <v>ACMV</v>
          </cell>
          <cell r="AW1541" t="str">
            <v>Multi V</v>
          </cell>
          <cell r="AX1541" t="str">
            <v>ACMVID</v>
          </cell>
          <cell r="AY1541" t="str">
            <v>Multi V I/D</v>
          </cell>
          <cell r="AZ1541" t="str">
            <v>ACMVIDMC</v>
          </cell>
          <cell r="BA1541" t="str">
            <v>Multi V_I/D_Cassette</v>
          </cell>
        </row>
        <row r="1542">
          <cell r="E1542" t="str">
            <v>ARNU42GM2A4.ANCSASE</v>
          </cell>
          <cell r="F1542">
            <v>3</v>
          </cell>
          <cell r="G1542">
            <v>0</v>
          </cell>
          <cell r="H1542">
            <v>0</v>
          </cell>
          <cell r="I1542">
            <v>25</v>
          </cell>
          <cell r="J1542">
            <v>0</v>
          </cell>
          <cell r="K1542">
            <v>0</v>
          </cell>
          <cell r="L1542">
            <v>22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 t="str">
            <v/>
          </cell>
          <cell r="AH1542" t="str">
            <v/>
          </cell>
          <cell r="AI1542" t="str">
            <v/>
          </cell>
          <cell r="AJ1542" t="str">
            <v/>
          </cell>
          <cell r="AK1542" t="str">
            <v>0.378847</v>
          </cell>
          <cell r="AL1542" t="str">
            <v>0</v>
          </cell>
          <cell r="AM1542" t="str">
            <v>Q</v>
          </cell>
          <cell r="AN1542" t="str">
            <v>M0</v>
          </cell>
          <cell r="AO1542" t="str">
            <v>Active(Model)</v>
          </cell>
          <cell r="AP1542" t="str">
            <v/>
          </cell>
          <cell r="AQ1542" t="str">
            <v/>
          </cell>
          <cell r="AR1542" t="str">
            <v>Y</v>
          </cell>
          <cell r="AS1542" t="str">
            <v/>
          </cell>
          <cell r="AT1542" t="str">
            <v>AC</v>
          </cell>
          <cell r="AU1542" t="str">
            <v>Airconditioner</v>
          </cell>
          <cell r="AV1542" t="str">
            <v>ACMV</v>
          </cell>
          <cell r="AW1542" t="str">
            <v>Multi V</v>
          </cell>
          <cell r="AX1542" t="str">
            <v>ACMVID</v>
          </cell>
          <cell r="AY1542" t="str">
            <v>Multi V I/D</v>
          </cell>
          <cell r="AZ1542" t="str">
            <v>ACMVIDMD</v>
          </cell>
          <cell r="BA1542" t="str">
            <v>Multi V_I/D_Duct</v>
          </cell>
        </row>
        <row r="1543">
          <cell r="E1543" t="str">
            <v>ARNU42GTAB4.ENWBASE</v>
          </cell>
          <cell r="F1543">
            <v>2</v>
          </cell>
          <cell r="G1543">
            <v>0</v>
          </cell>
          <cell r="H1543">
            <v>0</v>
          </cell>
          <cell r="I1543">
            <v>2</v>
          </cell>
          <cell r="J1543">
            <v>0</v>
          </cell>
          <cell r="K1543">
            <v>9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 t="str">
            <v/>
          </cell>
          <cell r="AH1543" t="str">
            <v/>
          </cell>
          <cell r="AI1543" t="str">
            <v/>
          </cell>
          <cell r="AJ1543" t="str">
            <v/>
          </cell>
          <cell r="AK1543" t="str">
            <v>0.304371</v>
          </cell>
          <cell r="AL1543" t="str">
            <v>2</v>
          </cell>
          <cell r="AM1543" t="str">
            <v>Q</v>
          </cell>
          <cell r="AN1543" t="str">
            <v>M0</v>
          </cell>
          <cell r="AO1543" t="str">
            <v>Active(Model)</v>
          </cell>
          <cell r="AP1543" t="str">
            <v/>
          </cell>
          <cell r="AQ1543" t="str">
            <v/>
          </cell>
          <cell r="AR1543" t="str">
            <v>Y</v>
          </cell>
          <cell r="AS1543" t="str">
            <v/>
          </cell>
          <cell r="AT1543" t="str">
            <v>AC</v>
          </cell>
          <cell r="AU1543" t="str">
            <v>Airconditioner</v>
          </cell>
          <cell r="AV1543" t="str">
            <v>ACMV</v>
          </cell>
          <cell r="AW1543" t="str">
            <v>Multi V</v>
          </cell>
          <cell r="AX1543" t="str">
            <v>ACMVID</v>
          </cell>
          <cell r="AY1543" t="str">
            <v>Multi V I/D</v>
          </cell>
          <cell r="AZ1543" t="str">
            <v>ACMVIDMC</v>
          </cell>
          <cell r="BA1543" t="str">
            <v>Multi V_I/D_Cassette</v>
          </cell>
        </row>
        <row r="1544">
          <cell r="E1544" t="str">
            <v>ARNU42GTMA4.ANWBASE</v>
          </cell>
          <cell r="F1544">
            <v>21</v>
          </cell>
          <cell r="G1544">
            <v>0</v>
          </cell>
          <cell r="H1544">
            <v>0</v>
          </cell>
          <cell r="I1544">
            <v>21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 t="str">
            <v>CAC</v>
          </cell>
          <cell r="AH1544" t="str">
            <v>CAC</v>
          </cell>
          <cell r="AI1544" t="str">
            <v/>
          </cell>
          <cell r="AJ1544" t="str">
            <v/>
          </cell>
          <cell r="AK1544" t="str">
            <v>0.304371</v>
          </cell>
          <cell r="AL1544" t="str">
            <v>2</v>
          </cell>
          <cell r="AM1544" t="str">
            <v>Q</v>
          </cell>
          <cell r="AN1544" t="str">
            <v>M0</v>
          </cell>
          <cell r="AO1544" t="str">
            <v>Active(Model)</v>
          </cell>
          <cell r="AP1544" t="str">
            <v/>
          </cell>
          <cell r="AQ1544" t="str">
            <v/>
          </cell>
          <cell r="AR1544" t="str">
            <v>Y</v>
          </cell>
          <cell r="AS1544" t="str">
            <v/>
          </cell>
          <cell r="AT1544" t="str">
            <v>AC</v>
          </cell>
          <cell r="AU1544" t="str">
            <v>Airconditioner</v>
          </cell>
          <cell r="AV1544" t="str">
            <v>ACMV</v>
          </cell>
          <cell r="AW1544" t="str">
            <v>Multi V</v>
          </cell>
          <cell r="AX1544" t="str">
            <v>ACMVID</v>
          </cell>
          <cell r="AY1544" t="str">
            <v>Multi V I/D</v>
          </cell>
          <cell r="AZ1544" t="str">
            <v>ACMVIDMC</v>
          </cell>
          <cell r="BA1544" t="str">
            <v>Multi V_I/D_Cassette</v>
          </cell>
        </row>
        <row r="1545">
          <cell r="E1545" t="str">
            <v>ARNU48GM3A4.ANCSASE</v>
          </cell>
          <cell r="F1545">
            <v>0</v>
          </cell>
          <cell r="G1545">
            <v>0</v>
          </cell>
          <cell r="H1545">
            <v>0</v>
          </cell>
          <cell r="I1545">
            <v>53</v>
          </cell>
          <cell r="J1545">
            <v>0</v>
          </cell>
          <cell r="K1545">
            <v>0</v>
          </cell>
          <cell r="L1545">
            <v>53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 t="str">
            <v/>
          </cell>
          <cell r="AH1545" t="str">
            <v/>
          </cell>
          <cell r="AI1545" t="str">
            <v/>
          </cell>
          <cell r="AJ1545" t="str">
            <v/>
          </cell>
          <cell r="AK1545" t="str">
            <v>0.479724</v>
          </cell>
          <cell r="AL1545" t="str">
            <v>0</v>
          </cell>
          <cell r="AM1545" t="str">
            <v>Q</v>
          </cell>
          <cell r="AN1545" t="str">
            <v>M0</v>
          </cell>
          <cell r="AO1545" t="str">
            <v>Active(Model)</v>
          </cell>
          <cell r="AP1545" t="str">
            <v/>
          </cell>
          <cell r="AQ1545" t="str">
            <v/>
          </cell>
          <cell r="AR1545" t="str">
            <v>Y</v>
          </cell>
          <cell r="AS1545" t="str">
            <v/>
          </cell>
          <cell r="AT1545" t="str">
            <v>AC</v>
          </cell>
          <cell r="AU1545" t="str">
            <v>Airconditioner</v>
          </cell>
          <cell r="AV1545" t="str">
            <v>ACMV</v>
          </cell>
          <cell r="AW1545" t="str">
            <v>Multi V</v>
          </cell>
          <cell r="AX1545" t="str">
            <v>ACMVID</v>
          </cell>
          <cell r="AY1545" t="str">
            <v>Multi V I/D</v>
          </cell>
          <cell r="AZ1545" t="str">
            <v>ACMVIDMD</v>
          </cell>
          <cell r="BA1545" t="str">
            <v>Multi V_I/D_Duct</v>
          </cell>
        </row>
        <row r="1546">
          <cell r="E1546" t="str">
            <v>ARNU48GTAB4.ENWBASE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5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 t="str">
            <v/>
          </cell>
          <cell r="AH1546" t="str">
            <v/>
          </cell>
          <cell r="AI1546" t="str">
            <v/>
          </cell>
          <cell r="AJ1546" t="str">
            <v/>
          </cell>
          <cell r="AK1546" t="str">
            <v>0.304371</v>
          </cell>
          <cell r="AL1546" t="str">
            <v>2</v>
          </cell>
          <cell r="AM1546" t="str">
            <v>Q</v>
          </cell>
          <cell r="AN1546" t="str">
            <v>M0</v>
          </cell>
          <cell r="AO1546" t="str">
            <v>Active(Model)</v>
          </cell>
          <cell r="AP1546" t="str">
            <v/>
          </cell>
          <cell r="AQ1546" t="str">
            <v/>
          </cell>
          <cell r="AR1546" t="str">
            <v>Y</v>
          </cell>
          <cell r="AS1546" t="str">
            <v/>
          </cell>
          <cell r="AT1546" t="str">
            <v>AC</v>
          </cell>
          <cell r="AU1546" t="str">
            <v>Airconditioner</v>
          </cell>
          <cell r="AV1546" t="str">
            <v>ACMV</v>
          </cell>
          <cell r="AW1546" t="str">
            <v>Multi V</v>
          </cell>
          <cell r="AX1546" t="str">
            <v>ACMVID</v>
          </cell>
          <cell r="AY1546" t="str">
            <v>Multi V I/D</v>
          </cell>
          <cell r="AZ1546" t="str">
            <v>ACMVIDMC</v>
          </cell>
          <cell r="BA1546" t="str">
            <v>Multi V_I/D_Cassette</v>
          </cell>
        </row>
        <row r="1547">
          <cell r="E1547" t="str">
            <v>ARNU48GTMA4.ANWBASE</v>
          </cell>
          <cell r="F1547">
            <v>11</v>
          </cell>
          <cell r="G1547">
            <v>0</v>
          </cell>
          <cell r="H1547">
            <v>0</v>
          </cell>
          <cell r="I1547">
            <v>11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 t="str">
            <v>CAC</v>
          </cell>
          <cell r="AH1547" t="str">
            <v>CAC</v>
          </cell>
          <cell r="AI1547" t="str">
            <v/>
          </cell>
          <cell r="AJ1547" t="str">
            <v/>
          </cell>
          <cell r="AK1547" t="str">
            <v>0.304371</v>
          </cell>
          <cell r="AL1547" t="str">
            <v>2</v>
          </cell>
          <cell r="AM1547" t="str">
            <v>Q</v>
          </cell>
          <cell r="AN1547" t="str">
            <v>M0</v>
          </cell>
          <cell r="AO1547" t="str">
            <v>Active(Model)</v>
          </cell>
          <cell r="AP1547" t="str">
            <v/>
          </cell>
          <cell r="AQ1547" t="str">
            <v/>
          </cell>
          <cell r="AR1547" t="str">
            <v>Y</v>
          </cell>
          <cell r="AS1547" t="str">
            <v/>
          </cell>
          <cell r="AT1547" t="str">
            <v>AC</v>
          </cell>
          <cell r="AU1547" t="str">
            <v>Airconditioner</v>
          </cell>
          <cell r="AV1547" t="str">
            <v>ACMV</v>
          </cell>
          <cell r="AW1547" t="str">
            <v>Multi V</v>
          </cell>
          <cell r="AX1547" t="str">
            <v>ACMVID</v>
          </cell>
          <cell r="AY1547" t="str">
            <v>Multi V I/D</v>
          </cell>
          <cell r="AZ1547" t="str">
            <v>ACMVIDMC</v>
          </cell>
          <cell r="BA1547" t="str">
            <v>Multi V_I/D_Cassette</v>
          </cell>
        </row>
        <row r="1548">
          <cell r="E1548" t="str">
            <v>ARNU54GM3A4.ANCBASE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1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 t="str">
            <v>CAC</v>
          </cell>
          <cell r="AH1548" t="str">
            <v>CAC</v>
          </cell>
          <cell r="AI1548" t="str">
            <v/>
          </cell>
          <cell r="AJ1548" t="str">
            <v/>
          </cell>
          <cell r="AK1548" t="str">
            <v>0.479724</v>
          </cell>
          <cell r="AL1548" t="str">
            <v>2</v>
          </cell>
          <cell r="AM1548" t="str">
            <v>Q</v>
          </cell>
          <cell r="AN1548" t="str">
            <v>M0</v>
          </cell>
          <cell r="AO1548" t="str">
            <v>Active(Model)</v>
          </cell>
          <cell r="AP1548" t="str">
            <v/>
          </cell>
          <cell r="AQ1548" t="str">
            <v/>
          </cell>
          <cell r="AR1548" t="str">
            <v>Y</v>
          </cell>
          <cell r="AS1548" t="str">
            <v/>
          </cell>
          <cell r="AT1548" t="str">
            <v>AC</v>
          </cell>
          <cell r="AU1548" t="str">
            <v>Airconditioner</v>
          </cell>
          <cell r="AV1548" t="str">
            <v>ACMV</v>
          </cell>
          <cell r="AW1548" t="str">
            <v>Multi V</v>
          </cell>
          <cell r="AX1548" t="str">
            <v>ACMVID</v>
          </cell>
          <cell r="AY1548" t="str">
            <v>Multi V I/D</v>
          </cell>
          <cell r="AZ1548" t="str">
            <v>ACMVIDMD</v>
          </cell>
          <cell r="BA1548" t="str">
            <v>Multi V_I/D_Duct</v>
          </cell>
        </row>
        <row r="1549">
          <cell r="E1549" t="str">
            <v>ARNU54GM3A4.ANCSASE</v>
          </cell>
          <cell r="F1549">
            <v>12</v>
          </cell>
          <cell r="G1549">
            <v>0</v>
          </cell>
          <cell r="H1549">
            <v>0</v>
          </cell>
          <cell r="I1549">
            <v>47</v>
          </cell>
          <cell r="J1549">
            <v>0</v>
          </cell>
          <cell r="K1549">
            <v>12</v>
          </cell>
          <cell r="L1549">
            <v>35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 t="str">
            <v/>
          </cell>
          <cell r="AH1549" t="str">
            <v/>
          </cell>
          <cell r="AI1549" t="str">
            <v/>
          </cell>
          <cell r="AJ1549" t="str">
            <v/>
          </cell>
          <cell r="AK1549" t="str">
            <v>0.479724</v>
          </cell>
          <cell r="AL1549" t="str">
            <v>0</v>
          </cell>
          <cell r="AM1549" t="str">
            <v>Q</v>
          </cell>
          <cell r="AN1549" t="str">
            <v>M0</v>
          </cell>
          <cell r="AO1549" t="str">
            <v>Active(Model)</v>
          </cell>
          <cell r="AP1549" t="str">
            <v/>
          </cell>
          <cell r="AQ1549" t="str">
            <v/>
          </cell>
          <cell r="AR1549" t="str">
            <v>Y</v>
          </cell>
          <cell r="AS1549" t="str">
            <v/>
          </cell>
          <cell r="AT1549" t="str">
            <v>AC</v>
          </cell>
          <cell r="AU1549" t="str">
            <v>Airconditioner</v>
          </cell>
          <cell r="AV1549" t="str">
            <v>ACMV</v>
          </cell>
          <cell r="AW1549" t="str">
            <v>Multi V</v>
          </cell>
          <cell r="AX1549" t="str">
            <v>ACMVID</v>
          </cell>
          <cell r="AY1549" t="str">
            <v>Multi V I/D</v>
          </cell>
          <cell r="AZ1549" t="str">
            <v>ACMVIDMD</v>
          </cell>
          <cell r="BA1549" t="str">
            <v>Multi V_I/D_Duct</v>
          </cell>
        </row>
        <row r="1550">
          <cell r="E1550" t="str">
            <v>ARNU54GTMA4.ANWBASE</v>
          </cell>
          <cell r="F1550">
            <v>4</v>
          </cell>
          <cell r="G1550">
            <v>0</v>
          </cell>
          <cell r="H1550">
            <v>0</v>
          </cell>
          <cell r="I1550">
            <v>4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 t="str">
            <v>CAC</v>
          </cell>
          <cell r="AH1550" t="str">
            <v>CAC</v>
          </cell>
          <cell r="AI1550" t="str">
            <v/>
          </cell>
          <cell r="AJ1550" t="str">
            <v/>
          </cell>
          <cell r="AK1550" t="str">
            <v>0.304371</v>
          </cell>
          <cell r="AL1550" t="str">
            <v>2</v>
          </cell>
          <cell r="AM1550" t="str">
            <v>Q</v>
          </cell>
          <cell r="AN1550" t="str">
            <v>M0</v>
          </cell>
          <cell r="AO1550" t="str">
            <v>Active(Model)</v>
          </cell>
          <cell r="AP1550" t="str">
            <v/>
          </cell>
          <cell r="AQ1550" t="str">
            <v/>
          </cell>
          <cell r="AR1550" t="str">
            <v>Y</v>
          </cell>
          <cell r="AS1550" t="str">
            <v/>
          </cell>
          <cell r="AT1550" t="str">
            <v>AC</v>
          </cell>
          <cell r="AU1550" t="str">
            <v>Airconditioner</v>
          </cell>
          <cell r="AV1550" t="str">
            <v>ACMV</v>
          </cell>
          <cell r="AW1550" t="str">
            <v>Multi V</v>
          </cell>
          <cell r="AX1550" t="str">
            <v>ACMVID</v>
          </cell>
          <cell r="AY1550" t="str">
            <v>Multi V I/D</v>
          </cell>
          <cell r="AZ1550" t="str">
            <v>ACMVIDMC</v>
          </cell>
          <cell r="BA1550" t="str">
            <v>Multi V_I/D_Cassette</v>
          </cell>
        </row>
        <row r="1551">
          <cell r="E1551" t="str">
            <v>ARUN040LSS5.EWGBASA</v>
          </cell>
          <cell r="F1551">
            <v>1</v>
          </cell>
          <cell r="G1551">
            <v>0</v>
          </cell>
          <cell r="H1551">
            <v>0</v>
          </cell>
          <cell r="I1551">
            <v>1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 t="str">
            <v/>
          </cell>
          <cell r="AH1551" t="str">
            <v/>
          </cell>
          <cell r="AI1551" t="str">
            <v/>
          </cell>
          <cell r="AJ1551" t="str">
            <v/>
          </cell>
          <cell r="AK1551" t="str">
            <v>0.485937</v>
          </cell>
          <cell r="AL1551" t="str">
            <v>0</v>
          </cell>
          <cell r="AM1551" t="str">
            <v>Q</v>
          </cell>
          <cell r="AN1551" t="str">
            <v>M0</v>
          </cell>
          <cell r="AO1551" t="str">
            <v>Active(Model)</v>
          </cell>
          <cell r="AP1551" t="str">
            <v/>
          </cell>
          <cell r="AQ1551" t="str">
            <v/>
          </cell>
          <cell r="AR1551" t="str">
            <v>Y</v>
          </cell>
          <cell r="AS1551" t="str">
            <v/>
          </cell>
          <cell r="AT1551" t="str">
            <v>AC</v>
          </cell>
          <cell r="AU1551" t="str">
            <v>Airconditioner</v>
          </cell>
          <cell r="AV1551" t="str">
            <v>ACMV</v>
          </cell>
          <cell r="AW1551" t="str">
            <v>Multi V</v>
          </cell>
          <cell r="AX1551" t="str">
            <v>ACMVOD</v>
          </cell>
          <cell r="AY1551" t="str">
            <v>Multi V O/D</v>
          </cell>
          <cell r="AZ1551" t="str">
            <v>ACMVODMO</v>
          </cell>
          <cell r="BA1551" t="str">
            <v>Multi V_O/D_MINI (S)</v>
          </cell>
        </row>
        <row r="1552">
          <cell r="E1552" t="str">
            <v>ARUN060LSS5.EWGBASA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 t="str">
            <v/>
          </cell>
          <cell r="AH1552" t="str">
            <v/>
          </cell>
          <cell r="AI1552" t="str">
            <v/>
          </cell>
          <cell r="AJ1552" t="str">
            <v/>
          </cell>
          <cell r="AK1552" t="str">
            <v>0.485937</v>
          </cell>
          <cell r="AL1552" t="str">
            <v>0</v>
          </cell>
          <cell r="AM1552" t="str">
            <v>Q</v>
          </cell>
          <cell r="AN1552" t="str">
            <v>M0</v>
          </cell>
          <cell r="AO1552" t="str">
            <v>Active(Model)</v>
          </cell>
          <cell r="AP1552" t="str">
            <v/>
          </cell>
          <cell r="AQ1552" t="str">
            <v/>
          </cell>
          <cell r="AR1552" t="str">
            <v>Y</v>
          </cell>
          <cell r="AS1552" t="str">
            <v/>
          </cell>
          <cell r="AT1552" t="str">
            <v>AC</v>
          </cell>
          <cell r="AU1552" t="str">
            <v>Airconditioner</v>
          </cell>
          <cell r="AV1552" t="str">
            <v>ACMV</v>
          </cell>
          <cell r="AW1552" t="str">
            <v>Multi V</v>
          </cell>
          <cell r="AX1552" t="str">
            <v>ACMVOD</v>
          </cell>
          <cell r="AY1552" t="str">
            <v>Multi V O/D</v>
          </cell>
          <cell r="AZ1552" t="str">
            <v>ACMVODMO</v>
          </cell>
          <cell r="BA1552" t="str">
            <v>Multi V_O/D_MINI (S)</v>
          </cell>
        </row>
        <row r="1553">
          <cell r="E1553" t="str">
            <v>ARUN100LSS0.AWGBASE</v>
          </cell>
          <cell r="F1553">
            <v>0</v>
          </cell>
          <cell r="G1553">
            <v>0</v>
          </cell>
          <cell r="H1553">
            <v>0</v>
          </cell>
          <cell r="I1553">
            <v>2</v>
          </cell>
          <cell r="J1553">
            <v>0</v>
          </cell>
          <cell r="K1553">
            <v>0</v>
          </cell>
          <cell r="L1553">
            <v>2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 t="str">
            <v>CAC</v>
          </cell>
          <cell r="AH1553" t="str">
            <v>CAC</v>
          </cell>
          <cell r="AI1553" t="str">
            <v/>
          </cell>
          <cell r="AJ1553" t="str">
            <v/>
          </cell>
          <cell r="AK1553" t="str">
            <v>1.090463</v>
          </cell>
          <cell r="AL1553" t="str">
            <v>2</v>
          </cell>
          <cell r="AM1553" t="str">
            <v>Q</v>
          </cell>
          <cell r="AN1553" t="str">
            <v>M0</v>
          </cell>
          <cell r="AO1553" t="str">
            <v>Active(Model)</v>
          </cell>
          <cell r="AP1553" t="str">
            <v/>
          </cell>
          <cell r="AQ1553" t="str">
            <v/>
          </cell>
          <cell r="AR1553" t="str">
            <v>Y</v>
          </cell>
          <cell r="AS1553" t="str">
            <v/>
          </cell>
          <cell r="AT1553" t="str">
            <v>AC</v>
          </cell>
          <cell r="AU1553" t="str">
            <v>Airconditioner</v>
          </cell>
          <cell r="AV1553" t="str">
            <v>ACMV</v>
          </cell>
          <cell r="AW1553" t="str">
            <v>Multi V</v>
          </cell>
          <cell r="AX1553" t="str">
            <v>ACMVOD</v>
          </cell>
          <cell r="AY1553" t="str">
            <v>Multi V O/D</v>
          </cell>
          <cell r="AZ1553" t="str">
            <v>ACMVODMO</v>
          </cell>
          <cell r="BA1553" t="str">
            <v>Multi V_O/D_MINI (S)</v>
          </cell>
        </row>
        <row r="1554">
          <cell r="E1554" t="str">
            <v>ARUV121LLS5.EWGTASA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8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 t="str">
            <v/>
          </cell>
          <cell r="AH1554" t="str">
            <v/>
          </cell>
          <cell r="AI1554" t="str">
            <v/>
          </cell>
          <cell r="AJ1554" t="str">
            <v/>
          </cell>
          <cell r="AK1554" t="str">
            <v>1.382394</v>
          </cell>
          <cell r="AL1554" t="str">
            <v>0</v>
          </cell>
          <cell r="AM1554" t="str">
            <v>Q</v>
          </cell>
          <cell r="AN1554" t="str">
            <v>M0</v>
          </cell>
          <cell r="AO1554" t="str">
            <v>Active(Model)</v>
          </cell>
          <cell r="AP1554" t="str">
            <v/>
          </cell>
          <cell r="AQ1554" t="str">
            <v/>
          </cell>
          <cell r="AR1554" t="str">
            <v>Y</v>
          </cell>
          <cell r="AS1554" t="str">
            <v/>
          </cell>
          <cell r="AT1554" t="str">
            <v>AC</v>
          </cell>
          <cell r="AU1554" t="str">
            <v>Airconditioner</v>
          </cell>
          <cell r="AV1554" t="str">
            <v>ACMV</v>
          </cell>
          <cell r="AW1554" t="str">
            <v>Multi V</v>
          </cell>
          <cell r="AX1554" t="str">
            <v>ACMVOD</v>
          </cell>
          <cell r="AY1554" t="str">
            <v>Multi V O/D</v>
          </cell>
          <cell r="AZ1554" t="str">
            <v>ACMVODMI</v>
          </cell>
          <cell r="BA1554" t="str">
            <v>Multi V_O/D_PRO</v>
          </cell>
        </row>
        <row r="1555">
          <cell r="E1555" t="str">
            <v>ARUV141LLS5.EWGTASA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3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 t="str">
            <v/>
          </cell>
          <cell r="AH1555" t="str">
            <v/>
          </cell>
          <cell r="AI1555" t="str">
            <v/>
          </cell>
          <cell r="AJ1555" t="str">
            <v/>
          </cell>
          <cell r="AK1555" t="str">
            <v>1.382394</v>
          </cell>
          <cell r="AL1555" t="str">
            <v>0</v>
          </cell>
          <cell r="AM1555" t="str">
            <v>Q</v>
          </cell>
          <cell r="AN1555" t="str">
            <v>M0</v>
          </cell>
          <cell r="AO1555" t="str">
            <v>Active(Model)</v>
          </cell>
          <cell r="AP1555" t="str">
            <v/>
          </cell>
          <cell r="AQ1555" t="str">
            <v/>
          </cell>
          <cell r="AR1555" t="str">
            <v>Y</v>
          </cell>
          <cell r="AS1555" t="str">
            <v/>
          </cell>
          <cell r="AT1555" t="str">
            <v>AC</v>
          </cell>
          <cell r="AU1555" t="str">
            <v>Airconditioner</v>
          </cell>
          <cell r="AV1555" t="str">
            <v>ACMV</v>
          </cell>
          <cell r="AW1555" t="str">
            <v>Multi V</v>
          </cell>
          <cell r="AX1555" t="str">
            <v>ACMVOD</v>
          </cell>
          <cell r="AY1555" t="str">
            <v>Multi V O/D</v>
          </cell>
          <cell r="AZ1555" t="str">
            <v>ACMVODMI</v>
          </cell>
          <cell r="BA1555" t="str">
            <v>Multi V_O/D_PRO</v>
          </cell>
        </row>
        <row r="1556">
          <cell r="E1556" t="str">
            <v>ARUV161LLS5.EWGTASA</v>
          </cell>
          <cell r="F1556">
            <v>0</v>
          </cell>
          <cell r="G1556">
            <v>0</v>
          </cell>
          <cell r="H1556">
            <v>0</v>
          </cell>
          <cell r="I1556">
            <v>6</v>
          </cell>
          <cell r="J1556">
            <v>0</v>
          </cell>
          <cell r="K1556">
            <v>5</v>
          </cell>
          <cell r="L1556">
            <v>6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 t="str">
            <v/>
          </cell>
          <cell r="AH1556" t="str">
            <v/>
          </cell>
          <cell r="AI1556" t="str">
            <v/>
          </cell>
          <cell r="AJ1556" t="str">
            <v/>
          </cell>
          <cell r="AK1556" t="str">
            <v>1.854784</v>
          </cell>
          <cell r="AL1556" t="str">
            <v>0</v>
          </cell>
          <cell r="AM1556" t="str">
            <v>Q</v>
          </cell>
          <cell r="AN1556" t="str">
            <v>M0</v>
          </cell>
          <cell r="AO1556" t="str">
            <v>Active(Model)</v>
          </cell>
          <cell r="AP1556" t="str">
            <v/>
          </cell>
          <cell r="AQ1556" t="str">
            <v/>
          </cell>
          <cell r="AR1556" t="str">
            <v>Y</v>
          </cell>
          <cell r="AS1556" t="str">
            <v/>
          </cell>
          <cell r="AT1556" t="str">
            <v>AC</v>
          </cell>
          <cell r="AU1556" t="str">
            <v>Airconditioner</v>
          </cell>
          <cell r="AV1556" t="str">
            <v>ACMV</v>
          </cell>
          <cell r="AW1556" t="str">
            <v>Multi V</v>
          </cell>
          <cell r="AX1556" t="str">
            <v>ACMVOD</v>
          </cell>
          <cell r="AY1556" t="str">
            <v>Multi V O/D</v>
          </cell>
          <cell r="AZ1556" t="str">
            <v>ACMVODMI</v>
          </cell>
          <cell r="BA1556" t="str">
            <v>Multi V_O/D_PRO</v>
          </cell>
        </row>
        <row r="1557">
          <cell r="E1557" t="str">
            <v>ARUV181LLS5.EWGTASA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5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 t="str">
            <v/>
          </cell>
          <cell r="AH1557" t="str">
            <v/>
          </cell>
          <cell r="AI1557" t="str">
            <v/>
          </cell>
          <cell r="AJ1557" t="str">
            <v/>
          </cell>
          <cell r="AK1557" t="str">
            <v>1.854784</v>
          </cell>
          <cell r="AL1557" t="str">
            <v>0</v>
          </cell>
          <cell r="AM1557" t="str">
            <v>Q</v>
          </cell>
          <cell r="AN1557" t="str">
            <v>M0</v>
          </cell>
          <cell r="AO1557" t="str">
            <v>Active(Model)</v>
          </cell>
          <cell r="AP1557" t="str">
            <v/>
          </cell>
          <cell r="AQ1557" t="str">
            <v/>
          </cell>
          <cell r="AR1557" t="str">
            <v>Y</v>
          </cell>
          <cell r="AS1557" t="str">
            <v/>
          </cell>
          <cell r="AT1557" t="str">
            <v>AC</v>
          </cell>
          <cell r="AU1557" t="str">
            <v>Airconditioner</v>
          </cell>
          <cell r="AV1557" t="str">
            <v>ACMV</v>
          </cell>
          <cell r="AW1557" t="str">
            <v>Multi V</v>
          </cell>
          <cell r="AX1557" t="str">
            <v>ACMVOD</v>
          </cell>
          <cell r="AY1557" t="str">
            <v>Multi V O/D</v>
          </cell>
          <cell r="AZ1557" t="str">
            <v>ACMVODMI</v>
          </cell>
          <cell r="BA1557" t="str">
            <v>Multi V_O/D_PRO</v>
          </cell>
        </row>
        <row r="1558">
          <cell r="E1558" t="str">
            <v>ARUV201LLS5.EWGTASA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4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 t="str">
            <v/>
          </cell>
          <cell r="AH1558" t="str">
            <v/>
          </cell>
          <cell r="AI1558" t="str">
            <v/>
          </cell>
          <cell r="AJ1558" t="str">
            <v/>
          </cell>
          <cell r="AK1558" t="str">
            <v>1.854784</v>
          </cell>
          <cell r="AL1558" t="str">
            <v>0</v>
          </cell>
          <cell r="AM1558" t="str">
            <v>Q</v>
          </cell>
          <cell r="AN1558" t="str">
            <v>M0</v>
          </cell>
          <cell r="AO1558" t="str">
            <v>Active(Model)</v>
          </cell>
          <cell r="AP1558" t="str">
            <v/>
          </cell>
          <cell r="AQ1558" t="str">
            <v/>
          </cell>
          <cell r="AR1558" t="str">
            <v>Y</v>
          </cell>
          <cell r="AS1558" t="str">
            <v/>
          </cell>
          <cell r="AT1558" t="str">
            <v>AC</v>
          </cell>
          <cell r="AU1558" t="str">
            <v>Airconditioner</v>
          </cell>
          <cell r="AV1558" t="str">
            <v>ACMV</v>
          </cell>
          <cell r="AW1558" t="str">
            <v>Multi V</v>
          </cell>
          <cell r="AX1558" t="str">
            <v>ACMVOD</v>
          </cell>
          <cell r="AY1558" t="str">
            <v>Multi V O/D</v>
          </cell>
          <cell r="AZ1558" t="str">
            <v>ACMVODMI</v>
          </cell>
          <cell r="BA1558" t="str">
            <v>Multi V_O/D_PRO</v>
          </cell>
        </row>
        <row r="1559">
          <cell r="E1559" t="str">
            <v>ARUV221LLS5.EWGTASA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4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 t="str">
            <v/>
          </cell>
          <cell r="AH1559" t="str">
            <v/>
          </cell>
          <cell r="AI1559" t="str">
            <v/>
          </cell>
          <cell r="AJ1559" t="str">
            <v/>
          </cell>
          <cell r="AK1559" t="str">
            <v>1.854784</v>
          </cell>
          <cell r="AL1559" t="str">
            <v>0</v>
          </cell>
          <cell r="AM1559" t="str">
            <v>Q</v>
          </cell>
          <cell r="AN1559" t="str">
            <v>M0</v>
          </cell>
          <cell r="AO1559" t="str">
            <v>Active(Model)</v>
          </cell>
          <cell r="AP1559" t="str">
            <v/>
          </cell>
          <cell r="AQ1559" t="str">
            <v/>
          </cell>
          <cell r="AR1559" t="str">
            <v>Y</v>
          </cell>
          <cell r="AS1559" t="str">
            <v/>
          </cell>
          <cell r="AT1559" t="str">
            <v>AC</v>
          </cell>
          <cell r="AU1559" t="str">
            <v>Airconditioner</v>
          </cell>
          <cell r="AV1559" t="str">
            <v>ACMV</v>
          </cell>
          <cell r="AW1559" t="str">
            <v>Multi V</v>
          </cell>
          <cell r="AX1559" t="str">
            <v>ACMVOD</v>
          </cell>
          <cell r="AY1559" t="str">
            <v>Multi V O/D</v>
          </cell>
          <cell r="AZ1559" t="str">
            <v>ACMVODMI</v>
          </cell>
          <cell r="BA1559" t="str">
            <v>Multi V_O/D_PRO</v>
          </cell>
        </row>
        <row r="1560">
          <cell r="E1560" t="str">
            <v>ARUV241LLS5.EWGTASA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1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 t="str">
            <v/>
          </cell>
          <cell r="AH1560" t="str">
            <v/>
          </cell>
          <cell r="AI1560" t="str">
            <v/>
          </cell>
          <cell r="AJ1560" t="str">
            <v/>
          </cell>
          <cell r="AK1560" t="str">
            <v>1.854784</v>
          </cell>
          <cell r="AL1560" t="str">
            <v>0</v>
          </cell>
          <cell r="AM1560" t="str">
            <v>Q</v>
          </cell>
          <cell r="AN1560" t="str">
            <v>M0</v>
          </cell>
          <cell r="AO1560" t="str">
            <v>Active(Model)</v>
          </cell>
          <cell r="AP1560" t="str">
            <v/>
          </cell>
          <cell r="AQ1560" t="str">
            <v/>
          </cell>
          <cell r="AR1560" t="str">
            <v>Y</v>
          </cell>
          <cell r="AS1560" t="str">
            <v/>
          </cell>
          <cell r="AT1560" t="str">
            <v>AC</v>
          </cell>
          <cell r="AU1560" t="str">
            <v>Airconditioner</v>
          </cell>
          <cell r="AV1560" t="str">
            <v>ACMV</v>
          </cell>
          <cell r="AW1560" t="str">
            <v>Multi V</v>
          </cell>
          <cell r="AX1560" t="str">
            <v>ACMVOD</v>
          </cell>
          <cell r="AY1560" t="str">
            <v>Multi V O/D</v>
          </cell>
          <cell r="AZ1560" t="str">
            <v>ACMVODMI</v>
          </cell>
          <cell r="BA1560" t="str">
            <v>Multi V_O/D_PRO</v>
          </cell>
        </row>
        <row r="1561">
          <cell r="E1561" t="str">
            <v>ARUV261LLS5.EWGTASA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26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 t="str">
            <v/>
          </cell>
          <cell r="AH1561" t="str">
            <v/>
          </cell>
          <cell r="AI1561" t="str">
            <v/>
          </cell>
          <cell r="AJ1561" t="str">
            <v/>
          </cell>
          <cell r="AK1561" t="str">
            <v>1.854784</v>
          </cell>
          <cell r="AL1561" t="str">
            <v>0</v>
          </cell>
          <cell r="AM1561" t="str">
            <v>Q</v>
          </cell>
          <cell r="AN1561" t="str">
            <v>M0</v>
          </cell>
          <cell r="AO1561" t="str">
            <v>Active(Model)</v>
          </cell>
          <cell r="AP1561" t="str">
            <v/>
          </cell>
          <cell r="AQ1561" t="str">
            <v/>
          </cell>
          <cell r="AR1561" t="str">
            <v>Y</v>
          </cell>
          <cell r="AS1561" t="str">
            <v/>
          </cell>
          <cell r="AT1561" t="str">
            <v>AC</v>
          </cell>
          <cell r="AU1561" t="str">
            <v>Airconditioner</v>
          </cell>
          <cell r="AV1561" t="str">
            <v>ACMV</v>
          </cell>
          <cell r="AW1561" t="str">
            <v>Multi V</v>
          </cell>
          <cell r="AX1561" t="str">
            <v>ACMVOD</v>
          </cell>
          <cell r="AY1561" t="str">
            <v>Multi V O/D</v>
          </cell>
          <cell r="AZ1561" t="str">
            <v>ACMVODMI</v>
          </cell>
          <cell r="BA1561" t="str">
            <v>Multi V_O/D_PRO</v>
          </cell>
        </row>
        <row r="1562">
          <cell r="E1562" t="str">
            <v>AS10GDBY0.ABAE</v>
          </cell>
          <cell r="F1562">
            <v>0</v>
          </cell>
          <cell r="G1562">
            <v>0</v>
          </cell>
          <cell r="H1562">
            <v>0</v>
          </cell>
          <cell r="I1562">
            <v>1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 t="str">
            <v/>
          </cell>
          <cell r="AH1562" t="str">
            <v/>
          </cell>
          <cell r="AI1562" t="str">
            <v/>
          </cell>
          <cell r="AJ1562" t="str">
            <v/>
          </cell>
          <cell r="AK1562" t="str">
            <v>0.241988</v>
          </cell>
          <cell r="AL1562" t="str">
            <v>0</v>
          </cell>
          <cell r="AM1562" t="str">
            <v>Q</v>
          </cell>
          <cell r="AN1562" t="str">
            <v>M0</v>
          </cell>
          <cell r="AO1562" t="str">
            <v>Active(Model)</v>
          </cell>
          <cell r="AP1562" t="str">
            <v/>
          </cell>
          <cell r="AQ1562" t="str">
            <v/>
          </cell>
          <cell r="AR1562" t="str">
            <v>Y</v>
          </cell>
          <cell r="AS1562" t="str">
            <v/>
          </cell>
          <cell r="AT1562" t="str">
            <v>HC</v>
          </cell>
          <cell r="AU1562" t="str">
            <v>Healthcare</v>
          </cell>
          <cell r="AV1562" t="str">
            <v>HCWC</v>
          </cell>
          <cell r="AW1562" t="str">
            <v>Wellness care</v>
          </cell>
          <cell r="AX1562" t="str">
            <v>HCWCAS</v>
          </cell>
          <cell r="AY1562" t="str">
            <v>Air Solution</v>
          </cell>
          <cell r="AZ1562" t="str">
            <v>HCWCASAC</v>
          </cell>
          <cell r="BA1562" t="str">
            <v>Air Cleaner</v>
          </cell>
        </row>
        <row r="1563">
          <cell r="E1563" t="str">
            <v>AS10GDWH0.ABAE</v>
          </cell>
          <cell r="F1563">
            <v>0</v>
          </cell>
          <cell r="G1563">
            <v>0</v>
          </cell>
          <cell r="H1563">
            <v>0</v>
          </cell>
          <cell r="I1563">
            <v>1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 t="str">
            <v>RACPREMIUM</v>
          </cell>
          <cell r="AH1563" t="str">
            <v>RAC_Premium</v>
          </cell>
          <cell r="AI1563" t="str">
            <v/>
          </cell>
          <cell r="AJ1563" t="str">
            <v/>
          </cell>
          <cell r="AK1563" t="str">
            <v>0.215177</v>
          </cell>
          <cell r="AL1563" t="str">
            <v>0</v>
          </cell>
          <cell r="AM1563" t="str">
            <v>Q</v>
          </cell>
          <cell r="AN1563" t="str">
            <v>M0</v>
          </cell>
          <cell r="AO1563" t="str">
            <v>Active(Model)</v>
          </cell>
          <cell r="AP1563" t="str">
            <v/>
          </cell>
          <cell r="AQ1563" t="str">
            <v/>
          </cell>
          <cell r="AR1563" t="str">
            <v>Y</v>
          </cell>
          <cell r="AS1563" t="str">
            <v/>
          </cell>
          <cell r="AT1563" t="str">
            <v>HC</v>
          </cell>
          <cell r="AU1563" t="str">
            <v>Healthcare</v>
          </cell>
          <cell r="AV1563" t="str">
            <v>HCWC</v>
          </cell>
          <cell r="AW1563" t="str">
            <v>Wellness care</v>
          </cell>
          <cell r="AX1563" t="str">
            <v>HCWCAS</v>
          </cell>
          <cell r="AY1563" t="str">
            <v>Air Solution</v>
          </cell>
          <cell r="AZ1563" t="str">
            <v>HCWCASAC</v>
          </cell>
          <cell r="BA1563" t="str">
            <v>Air Cleaner</v>
          </cell>
        </row>
        <row r="1564">
          <cell r="E1564" t="str">
            <v>AS20GPBK0.ABAE</v>
          </cell>
          <cell r="F1564">
            <v>0</v>
          </cell>
          <cell r="G1564">
            <v>0</v>
          </cell>
          <cell r="H1564">
            <v>0</v>
          </cell>
          <cell r="I1564">
            <v>2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 t="str">
            <v/>
          </cell>
          <cell r="AH1564" t="str">
            <v/>
          </cell>
          <cell r="AI1564" t="str">
            <v/>
          </cell>
          <cell r="AJ1564" t="str">
            <v/>
          </cell>
          <cell r="AK1564" t="str">
            <v>0.130270</v>
          </cell>
          <cell r="AL1564" t="str">
            <v>0</v>
          </cell>
          <cell r="AM1564" t="str">
            <v>Q</v>
          </cell>
          <cell r="AN1564" t="str">
            <v>M0</v>
          </cell>
          <cell r="AO1564" t="str">
            <v>Active(Model)</v>
          </cell>
          <cell r="AP1564" t="str">
            <v/>
          </cell>
          <cell r="AQ1564" t="str">
            <v/>
          </cell>
          <cell r="AR1564" t="str">
            <v>Y</v>
          </cell>
          <cell r="AS1564" t="str">
            <v/>
          </cell>
          <cell r="AT1564" t="str">
            <v>HC</v>
          </cell>
          <cell r="AU1564" t="str">
            <v>Healthcare</v>
          </cell>
          <cell r="AV1564" t="str">
            <v>HCWC</v>
          </cell>
          <cell r="AW1564" t="str">
            <v>Wellness care</v>
          </cell>
          <cell r="AX1564" t="str">
            <v>HCWCAS</v>
          </cell>
          <cell r="AY1564" t="str">
            <v>Air Solution</v>
          </cell>
          <cell r="AZ1564" t="str">
            <v>HCWCASAC</v>
          </cell>
          <cell r="BA1564" t="str">
            <v>Air Cleaner</v>
          </cell>
        </row>
        <row r="1565">
          <cell r="E1565" t="str">
            <v>AS20GPWU0.ABAE</v>
          </cell>
          <cell r="F1565">
            <v>0</v>
          </cell>
          <cell r="G1565">
            <v>0</v>
          </cell>
          <cell r="H1565">
            <v>0</v>
          </cell>
          <cell r="I1565">
            <v>2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 t="str">
            <v/>
          </cell>
          <cell r="AH1565" t="str">
            <v/>
          </cell>
          <cell r="AI1565" t="str">
            <v/>
          </cell>
          <cell r="AJ1565" t="str">
            <v/>
          </cell>
          <cell r="AK1565" t="str">
            <v>0.130270</v>
          </cell>
          <cell r="AL1565" t="str">
            <v>0</v>
          </cell>
          <cell r="AM1565" t="str">
            <v>Q</v>
          </cell>
          <cell r="AN1565" t="str">
            <v>M0</v>
          </cell>
          <cell r="AO1565" t="str">
            <v>Active(Model)</v>
          </cell>
          <cell r="AP1565" t="str">
            <v/>
          </cell>
          <cell r="AQ1565" t="str">
            <v/>
          </cell>
          <cell r="AR1565" t="str">
            <v>Y</v>
          </cell>
          <cell r="AS1565" t="str">
            <v/>
          </cell>
          <cell r="AT1565" t="str">
            <v>HC</v>
          </cell>
          <cell r="AU1565" t="str">
            <v>Healthcare</v>
          </cell>
          <cell r="AV1565" t="str">
            <v>HCWC</v>
          </cell>
          <cell r="AW1565" t="str">
            <v>Wellness care</v>
          </cell>
          <cell r="AX1565" t="str">
            <v>HCWCAS</v>
          </cell>
          <cell r="AY1565" t="str">
            <v>Air Solution</v>
          </cell>
          <cell r="AZ1565" t="str">
            <v>HCWCASAC</v>
          </cell>
          <cell r="BA1565" t="str">
            <v>Air Cleaner</v>
          </cell>
        </row>
        <row r="1566">
          <cell r="E1566" t="str">
            <v>AS20GSHU0.ABAE</v>
          </cell>
          <cell r="F1566">
            <v>0</v>
          </cell>
          <cell r="G1566">
            <v>0</v>
          </cell>
          <cell r="H1566">
            <v>0</v>
          </cell>
          <cell r="I1566">
            <v>2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 t="str">
            <v/>
          </cell>
          <cell r="AH1566" t="str">
            <v/>
          </cell>
          <cell r="AI1566" t="str">
            <v/>
          </cell>
          <cell r="AJ1566" t="str">
            <v/>
          </cell>
          <cell r="AK1566" t="str">
            <v>0.154991</v>
          </cell>
          <cell r="AL1566" t="str">
            <v>0</v>
          </cell>
          <cell r="AM1566" t="str">
            <v>Q</v>
          </cell>
          <cell r="AN1566" t="str">
            <v>M0</v>
          </cell>
          <cell r="AO1566" t="str">
            <v>Active(Model)</v>
          </cell>
          <cell r="AP1566" t="str">
            <v/>
          </cell>
          <cell r="AQ1566" t="str">
            <v/>
          </cell>
          <cell r="AR1566" t="str">
            <v>Y</v>
          </cell>
          <cell r="AS1566" t="str">
            <v/>
          </cell>
          <cell r="AT1566" t="str">
            <v>HC</v>
          </cell>
          <cell r="AU1566" t="str">
            <v>Healthcare</v>
          </cell>
          <cell r="AV1566" t="str">
            <v>HCWC</v>
          </cell>
          <cell r="AW1566" t="str">
            <v>Wellness care</v>
          </cell>
          <cell r="AX1566" t="str">
            <v>HCWCAS</v>
          </cell>
          <cell r="AY1566" t="str">
            <v>Air Solution</v>
          </cell>
          <cell r="AZ1566" t="str">
            <v>HCWCASAC</v>
          </cell>
          <cell r="BA1566" t="str">
            <v>Air Cleaner</v>
          </cell>
        </row>
        <row r="1567">
          <cell r="E1567" t="str">
            <v>AS30GGG1A.ABAE</v>
          </cell>
          <cell r="F1567">
            <v>0</v>
          </cell>
          <cell r="G1567">
            <v>0</v>
          </cell>
          <cell r="H1567">
            <v>0</v>
          </cell>
          <cell r="I1567">
            <v>1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 t="str">
            <v/>
          </cell>
          <cell r="AH1567" t="str">
            <v/>
          </cell>
          <cell r="AI1567" t="str">
            <v/>
          </cell>
          <cell r="AJ1567" t="str">
            <v/>
          </cell>
          <cell r="AK1567" t="str">
            <v>0.040843</v>
          </cell>
          <cell r="AL1567" t="str">
            <v>0</v>
          </cell>
          <cell r="AM1567" t="str">
            <v>Q</v>
          </cell>
          <cell r="AN1567" t="str">
            <v>M0</v>
          </cell>
          <cell r="AO1567" t="str">
            <v>Active(Model)</v>
          </cell>
          <cell r="AP1567" t="str">
            <v/>
          </cell>
          <cell r="AQ1567" t="str">
            <v/>
          </cell>
          <cell r="AR1567" t="str">
            <v>Y</v>
          </cell>
          <cell r="AS1567" t="str">
            <v/>
          </cell>
          <cell r="AT1567" t="str">
            <v>HC</v>
          </cell>
          <cell r="AU1567" t="str">
            <v>Healthcare</v>
          </cell>
          <cell r="AV1567" t="str">
            <v>HCWC</v>
          </cell>
          <cell r="AW1567" t="str">
            <v>Wellness care</v>
          </cell>
          <cell r="AX1567" t="str">
            <v>HCWCAS</v>
          </cell>
          <cell r="AY1567" t="str">
            <v>Air Solution</v>
          </cell>
          <cell r="AZ1567" t="str">
            <v>HCWCASCO</v>
          </cell>
          <cell r="BA1567" t="str">
            <v>Air Cleaner_ODM</v>
          </cell>
        </row>
        <row r="1568">
          <cell r="E1568" t="str">
            <v>AS30GGW1A.ABAE</v>
          </cell>
          <cell r="F1568">
            <v>1</v>
          </cell>
          <cell r="G1568">
            <v>0</v>
          </cell>
          <cell r="H1568">
            <v>0</v>
          </cell>
          <cell r="I1568">
            <v>2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 t="str">
            <v/>
          </cell>
          <cell r="AH1568" t="str">
            <v/>
          </cell>
          <cell r="AI1568" t="str">
            <v/>
          </cell>
          <cell r="AJ1568" t="str">
            <v/>
          </cell>
          <cell r="AK1568" t="str">
            <v>0.040843</v>
          </cell>
          <cell r="AL1568" t="str">
            <v>0</v>
          </cell>
          <cell r="AM1568" t="str">
            <v>Q</v>
          </cell>
          <cell r="AN1568" t="str">
            <v>M0</v>
          </cell>
          <cell r="AO1568" t="str">
            <v>Active(Model)</v>
          </cell>
          <cell r="AP1568" t="str">
            <v/>
          </cell>
          <cell r="AQ1568" t="str">
            <v/>
          </cell>
          <cell r="AR1568" t="str">
            <v>Y</v>
          </cell>
          <cell r="AS1568" t="str">
            <v/>
          </cell>
          <cell r="AT1568" t="str">
            <v>HC</v>
          </cell>
          <cell r="AU1568" t="str">
            <v>Healthcare</v>
          </cell>
          <cell r="AV1568" t="str">
            <v>HCWC</v>
          </cell>
          <cell r="AW1568" t="str">
            <v>Wellness care</v>
          </cell>
          <cell r="AX1568" t="str">
            <v>HCWCAS</v>
          </cell>
          <cell r="AY1568" t="str">
            <v>Air Solution</v>
          </cell>
          <cell r="AZ1568" t="str">
            <v>HCWCASCO</v>
          </cell>
          <cell r="BA1568" t="str">
            <v>Air Cleaner_ODM</v>
          </cell>
        </row>
        <row r="1569">
          <cell r="E1569" t="str">
            <v>AS35GGW10.ABAE</v>
          </cell>
          <cell r="F1569">
            <v>0</v>
          </cell>
          <cell r="G1569">
            <v>0</v>
          </cell>
          <cell r="H1569">
            <v>0</v>
          </cell>
          <cell r="I1569">
            <v>3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 t="str">
            <v/>
          </cell>
          <cell r="AH1569" t="str">
            <v/>
          </cell>
          <cell r="AI1569" t="str">
            <v/>
          </cell>
          <cell r="AJ1569" t="str">
            <v/>
          </cell>
          <cell r="AK1569" t="str">
            <v>0.053700</v>
          </cell>
          <cell r="AL1569" t="str">
            <v>0</v>
          </cell>
          <cell r="AM1569" t="str">
            <v>Q</v>
          </cell>
          <cell r="AN1569" t="str">
            <v>M0</v>
          </cell>
          <cell r="AO1569" t="str">
            <v>Active(Model)</v>
          </cell>
          <cell r="AP1569" t="str">
            <v/>
          </cell>
          <cell r="AQ1569" t="str">
            <v/>
          </cell>
          <cell r="AR1569" t="str">
            <v>Y</v>
          </cell>
          <cell r="AS1569" t="str">
            <v/>
          </cell>
          <cell r="AT1569" t="str">
            <v>HC</v>
          </cell>
          <cell r="AU1569" t="str">
            <v>Healthcare</v>
          </cell>
          <cell r="AV1569" t="str">
            <v>HCWC</v>
          </cell>
          <cell r="AW1569" t="str">
            <v>Wellness care</v>
          </cell>
          <cell r="AX1569" t="str">
            <v>HCWCAS</v>
          </cell>
          <cell r="AY1569" t="str">
            <v>Air Solution</v>
          </cell>
          <cell r="AZ1569" t="str">
            <v>HCWCASAC</v>
          </cell>
          <cell r="BA1569" t="str">
            <v>Air Cleaner</v>
          </cell>
        </row>
        <row r="1570">
          <cell r="E1570" t="str">
            <v>AS55GGSY0.ABAE</v>
          </cell>
          <cell r="F1570">
            <v>0</v>
          </cell>
          <cell r="G1570">
            <v>0</v>
          </cell>
          <cell r="H1570">
            <v>0</v>
          </cell>
          <cell r="I1570">
            <v>1</v>
          </cell>
          <cell r="J1570">
            <v>0</v>
          </cell>
          <cell r="K1570">
            <v>2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 t="str">
            <v/>
          </cell>
          <cell r="AH1570" t="str">
            <v/>
          </cell>
          <cell r="AI1570" t="str">
            <v/>
          </cell>
          <cell r="AJ1570" t="str">
            <v/>
          </cell>
          <cell r="AK1570" t="str">
            <v>0.117515</v>
          </cell>
          <cell r="AL1570" t="str">
            <v>0</v>
          </cell>
          <cell r="AM1570" t="str">
            <v>Q</v>
          </cell>
          <cell r="AN1570" t="str">
            <v>M0</v>
          </cell>
          <cell r="AO1570" t="str">
            <v>Active(Model)</v>
          </cell>
          <cell r="AP1570" t="str">
            <v/>
          </cell>
          <cell r="AQ1570" t="str">
            <v/>
          </cell>
          <cell r="AR1570" t="str">
            <v>Y</v>
          </cell>
          <cell r="AS1570" t="str">
            <v/>
          </cell>
          <cell r="AT1570" t="str">
            <v>HC</v>
          </cell>
          <cell r="AU1570" t="str">
            <v>Healthcare</v>
          </cell>
          <cell r="AV1570" t="str">
            <v>HCWC</v>
          </cell>
          <cell r="AW1570" t="str">
            <v>Wellness care</v>
          </cell>
          <cell r="AX1570" t="str">
            <v>HCWCAS</v>
          </cell>
          <cell r="AY1570" t="str">
            <v>Air Solution</v>
          </cell>
          <cell r="AZ1570" t="str">
            <v>HCWCASAC</v>
          </cell>
          <cell r="BA1570" t="str">
            <v>Air Cleaner</v>
          </cell>
        </row>
        <row r="1571">
          <cell r="E1571" t="str">
            <v>AS60GHWG0.ABAE</v>
          </cell>
          <cell r="F1571">
            <v>104</v>
          </cell>
          <cell r="G1571">
            <v>0</v>
          </cell>
          <cell r="H1571">
            <v>0</v>
          </cell>
          <cell r="I1571">
            <v>266</v>
          </cell>
          <cell r="J1571">
            <v>20</v>
          </cell>
          <cell r="K1571">
            <v>0</v>
          </cell>
          <cell r="L1571">
            <v>0</v>
          </cell>
          <cell r="M1571">
            <v>0</v>
          </cell>
          <cell r="N1571">
            <v>157</v>
          </cell>
          <cell r="O1571">
            <v>19</v>
          </cell>
          <cell r="P1571">
            <v>157</v>
          </cell>
          <cell r="Q1571">
            <v>0</v>
          </cell>
          <cell r="R1571">
            <v>0</v>
          </cell>
          <cell r="S1571">
            <v>280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 t="str">
            <v/>
          </cell>
          <cell r="AH1571" t="str">
            <v/>
          </cell>
          <cell r="AI1571" t="str">
            <v/>
          </cell>
          <cell r="AJ1571" t="str">
            <v/>
          </cell>
          <cell r="AK1571" t="str">
            <v>0.099832</v>
          </cell>
          <cell r="AL1571" t="str">
            <v>0</v>
          </cell>
          <cell r="AM1571" t="str">
            <v>Q</v>
          </cell>
          <cell r="AN1571" t="str">
            <v>M0</v>
          </cell>
          <cell r="AO1571" t="str">
            <v>Active(Model)</v>
          </cell>
          <cell r="AP1571" t="str">
            <v/>
          </cell>
          <cell r="AQ1571" t="str">
            <v/>
          </cell>
          <cell r="AR1571" t="str">
            <v>Y</v>
          </cell>
          <cell r="AS1571" t="str">
            <v/>
          </cell>
          <cell r="AT1571" t="str">
            <v>HC</v>
          </cell>
          <cell r="AU1571" t="str">
            <v>Healthcare</v>
          </cell>
          <cell r="AV1571" t="str">
            <v>HCWC</v>
          </cell>
          <cell r="AW1571" t="str">
            <v>Wellness care</v>
          </cell>
          <cell r="AX1571" t="str">
            <v>HCWCAS</v>
          </cell>
          <cell r="AY1571" t="str">
            <v>Air Solution</v>
          </cell>
          <cell r="AZ1571" t="str">
            <v>HCWCASCO</v>
          </cell>
          <cell r="BA1571" t="str">
            <v>Air Cleaner_ODM</v>
          </cell>
        </row>
        <row r="1572">
          <cell r="E1572" t="str">
            <v>AS65GDBY0.ABAE</v>
          </cell>
          <cell r="F1572">
            <v>0</v>
          </cell>
          <cell r="G1572">
            <v>0</v>
          </cell>
          <cell r="H1572">
            <v>0</v>
          </cell>
          <cell r="I1572">
            <v>9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7</v>
          </cell>
          <cell r="O1572">
            <v>0</v>
          </cell>
          <cell r="P1572">
            <v>7</v>
          </cell>
          <cell r="Q1572">
            <v>0</v>
          </cell>
          <cell r="R1572">
            <v>0</v>
          </cell>
          <cell r="S1572">
            <v>8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1</v>
          </cell>
          <cell r="AD1572">
            <v>0</v>
          </cell>
          <cell r="AE1572">
            <v>1</v>
          </cell>
          <cell r="AF1572">
            <v>1</v>
          </cell>
          <cell r="AG1572" t="str">
            <v/>
          </cell>
          <cell r="AH1572" t="str">
            <v/>
          </cell>
          <cell r="AI1572" t="str">
            <v/>
          </cell>
          <cell r="AJ1572" t="str">
            <v/>
          </cell>
          <cell r="AK1572" t="str">
            <v>0.131261</v>
          </cell>
          <cell r="AL1572" t="str">
            <v>0</v>
          </cell>
          <cell r="AM1572" t="str">
            <v>Q</v>
          </cell>
          <cell r="AN1572" t="str">
            <v>M0</v>
          </cell>
          <cell r="AO1572" t="str">
            <v>Active(Model)</v>
          </cell>
          <cell r="AP1572" t="str">
            <v/>
          </cell>
          <cell r="AQ1572" t="str">
            <v/>
          </cell>
          <cell r="AR1572" t="str">
            <v>Y</v>
          </cell>
          <cell r="AS1572" t="str">
            <v/>
          </cell>
          <cell r="AT1572" t="str">
            <v>HC</v>
          </cell>
          <cell r="AU1572" t="str">
            <v>Healthcare</v>
          </cell>
          <cell r="AV1572" t="str">
            <v>HCWC</v>
          </cell>
          <cell r="AW1572" t="str">
            <v>Wellness care</v>
          </cell>
          <cell r="AX1572" t="str">
            <v>HCWCAS</v>
          </cell>
          <cell r="AY1572" t="str">
            <v>Air Solution</v>
          </cell>
          <cell r="AZ1572" t="str">
            <v>HCWCASAC</v>
          </cell>
          <cell r="BA1572" t="str">
            <v>Air Cleaner</v>
          </cell>
        </row>
        <row r="1573">
          <cell r="E1573" t="str">
            <v>AS65GDWH0.ABAE</v>
          </cell>
          <cell r="F1573">
            <v>0</v>
          </cell>
          <cell r="G1573">
            <v>0</v>
          </cell>
          <cell r="H1573">
            <v>0</v>
          </cell>
          <cell r="I1573">
            <v>1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 t="str">
            <v>RACPREMIUM</v>
          </cell>
          <cell r="AH1573" t="str">
            <v>RAC_Premium</v>
          </cell>
          <cell r="AI1573" t="str">
            <v/>
          </cell>
          <cell r="AJ1573" t="str">
            <v/>
          </cell>
          <cell r="AK1573" t="str">
            <v>0.124292</v>
          </cell>
          <cell r="AL1573" t="str">
            <v>0</v>
          </cell>
          <cell r="AM1573" t="str">
            <v>Q</v>
          </cell>
          <cell r="AN1573" t="str">
            <v>M0</v>
          </cell>
          <cell r="AO1573" t="str">
            <v>Active(Model)</v>
          </cell>
          <cell r="AP1573" t="str">
            <v/>
          </cell>
          <cell r="AQ1573" t="str">
            <v/>
          </cell>
          <cell r="AR1573" t="str">
            <v>Y</v>
          </cell>
          <cell r="AS1573" t="str">
            <v/>
          </cell>
          <cell r="AT1573" t="str">
            <v>HC</v>
          </cell>
          <cell r="AU1573" t="str">
            <v>Healthcare</v>
          </cell>
          <cell r="AV1573" t="str">
            <v>HCWC</v>
          </cell>
          <cell r="AW1573" t="str">
            <v>Wellness care</v>
          </cell>
          <cell r="AX1573" t="str">
            <v>HCWCAS</v>
          </cell>
          <cell r="AY1573" t="str">
            <v>Air Solution</v>
          </cell>
          <cell r="AZ1573" t="str">
            <v>HCWCASAC</v>
          </cell>
          <cell r="BA1573" t="str">
            <v>Air Cleaner</v>
          </cell>
        </row>
        <row r="1574">
          <cell r="E1574" t="str">
            <v>B33BG.ABMPEVN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 t="str">
            <v>REFBASIC</v>
          </cell>
          <cell r="AH1574" t="str">
            <v>REF_Basic</v>
          </cell>
          <cell r="AI1574" t="str">
            <v/>
          </cell>
          <cell r="AJ1574" t="str">
            <v/>
          </cell>
          <cell r="AK1574" t="str">
            <v>0.872636</v>
          </cell>
          <cell r="AL1574" t="str">
            <v>2</v>
          </cell>
          <cell r="AM1574" t="str">
            <v>Q</v>
          </cell>
          <cell r="AN1574" t="str">
            <v>M0</v>
          </cell>
          <cell r="AO1574" t="str">
            <v>Active(Model)</v>
          </cell>
          <cell r="AP1574" t="str">
            <v/>
          </cell>
          <cell r="AQ1574" t="str">
            <v/>
          </cell>
          <cell r="AR1574" t="str">
            <v>Y</v>
          </cell>
          <cell r="AS1574" t="str">
            <v/>
          </cell>
          <cell r="AT1574" t="str">
            <v>RF</v>
          </cell>
          <cell r="AU1574" t="str">
            <v>Refrigerator</v>
          </cell>
          <cell r="AV1574" t="str">
            <v>RFBF</v>
          </cell>
          <cell r="AW1574" t="str">
            <v>Bottom Freezer</v>
          </cell>
          <cell r="AX1574" t="str">
            <v>RFBFBF</v>
          </cell>
          <cell r="AY1574" t="str">
            <v>Bottom Freezer</v>
          </cell>
          <cell r="AZ1574" t="str">
            <v>RFBFBF2D</v>
          </cell>
          <cell r="BA1574" t="str">
            <v>2D Bottom Freezer</v>
          </cell>
        </row>
        <row r="1575">
          <cell r="E1575" t="str">
            <v>BOUNCE.AVNMLBK</v>
          </cell>
          <cell r="F1575">
            <v>1</v>
          </cell>
          <cell r="G1575">
            <v>0</v>
          </cell>
          <cell r="H1575">
            <v>0</v>
          </cell>
          <cell r="I1575">
            <v>5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 t="str">
            <v/>
          </cell>
          <cell r="AH1575" t="str">
            <v/>
          </cell>
          <cell r="AI1575" t="str">
            <v/>
          </cell>
          <cell r="AJ1575" t="str">
            <v/>
          </cell>
          <cell r="AK1575" t="str">
            <v>0.005433</v>
          </cell>
          <cell r="AL1575" t="str">
            <v>0</v>
          </cell>
          <cell r="AM1575" t="str">
            <v>Q</v>
          </cell>
          <cell r="AN1575" t="str">
            <v>M0</v>
          </cell>
          <cell r="AO1575" t="str">
            <v>Active(Model)</v>
          </cell>
          <cell r="AP1575" t="str">
            <v/>
          </cell>
          <cell r="AQ1575" t="str">
            <v/>
          </cell>
          <cell r="AR1575" t="str">
            <v>Y</v>
          </cell>
          <cell r="AS1575" t="str">
            <v/>
          </cell>
          <cell r="AT1575" t="str">
            <v>AO</v>
          </cell>
          <cell r="AU1575" t="str">
            <v>AO</v>
          </cell>
          <cell r="AV1575" t="str">
            <v>AOAA</v>
          </cell>
          <cell r="AW1575" t="str">
            <v>Home Audio_OS</v>
          </cell>
          <cell r="AX1575" t="str">
            <v>AOAADS</v>
          </cell>
          <cell r="AY1575" t="str">
            <v>Wireless Speaker_OS</v>
          </cell>
          <cell r="AZ1575" t="str">
            <v>AOAADSPS</v>
          </cell>
          <cell r="BA1575" t="str">
            <v>Bluetooth Speaker_OS</v>
          </cell>
        </row>
        <row r="1576">
          <cell r="E1576" t="str">
            <v>BUDSLITE.AAMALBK</v>
          </cell>
          <cell r="F1576">
            <v>0</v>
          </cell>
          <cell r="G1576">
            <v>0</v>
          </cell>
          <cell r="H1576">
            <v>0</v>
          </cell>
          <cell r="I1576">
            <v>3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1</v>
          </cell>
          <cell r="AD1576">
            <v>0</v>
          </cell>
          <cell r="AE1576">
            <v>1</v>
          </cell>
          <cell r="AF1576">
            <v>1</v>
          </cell>
          <cell r="AG1576" t="str">
            <v/>
          </cell>
          <cell r="AH1576" t="str">
            <v/>
          </cell>
          <cell r="AI1576" t="str">
            <v/>
          </cell>
          <cell r="AJ1576" t="str">
            <v/>
          </cell>
          <cell r="AK1576" t="str">
            <v>0.000337</v>
          </cell>
          <cell r="AL1576" t="str">
            <v>0</v>
          </cell>
          <cell r="AM1576" t="str">
            <v>Q</v>
          </cell>
          <cell r="AN1576" t="str">
            <v>M0</v>
          </cell>
          <cell r="AO1576" t="str">
            <v>Active(Model)</v>
          </cell>
          <cell r="AP1576" t="str">
            <v/>
          </cell>
          <cell r="AQ1576" t="str">
            <v/>
          </cell>
          <cell r="AR1576" t="str">
            <v>Y</v>
          </cell>
          <cell r="AS1576" t="str">
            <v/>
          </cell>
          <cell r="AT1576" t="str">
            <v>AO</v>
          </cell>
          <cell r="AU1576" t="str">
            <v>AO</v>
          </cell>
          <cell r="AV1576" t="str">
            <v>AOPD</v>
          </cell>
          <cell r="AW1576" t="str">
            <v>Wireless Headset_OS</v>
          </cell>
          <cell r="AX1576" t="str">
            <v>AOPDWH</v>
          </cell>
          <cell r="AY1576" t="str">
            <v>Wireless Headset Universal Out-Box Headset_OS</v>
          </cell>
          <cell r="AZ1576" t="str">
            <v>AOPDWHEB</v>
          </cell>
          <cell r="BA1576" t="str">
            <v>Wireless Headset Earbuds_OS</v>
          </cell>
        </row>
        <row r="1577">
          <cell r="E1577" t="str">
            <v>BUDSPLUS.AAMALWH</v>
          </cell>
          <cell r="F1577">
            <v>4</v>
          </cell>
          <cell r="G1577">
            <v>0</v>
          </cell>
          <cell r="H1577">
            <v>0</v>
          </cell>
          <cell r="I1577">
            <v>10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 t="str">
            <v/>
          </cell>
          <cell r="AH1577" t="str">
            <v/>
          </cell>
          <cell r="AI1577" t="str">
            <v/>
          </cell>
          <cell r="AJ1577" t="str">
            <v/>
          </cell>
          <cell r="AK1577" t="str">
            <v>0.000431</v>
          </cell>
          <cell r="AL1577" t="str">
            <v>0</v>
          </cell>
          <cell r="AM1577" t="str">
            <v>Q</v>
          </cell>
          <cell r="AN1577" t="str">
            <v>M0</v>
          </cell>
          <cell r="AO1577" t="str">
            <v>Active(Model)</v>
          </cell>
          <cell r="AP1577" t="str">
            <v/>
          </cell>
          <cell r="AQ1577" t="str">
            <v/>
          </cell>
          <cell r="AR1577" t="str">
            <v>Y</v>
          </cell>
          <cell r="AS1577" t="str">
            <v/>
          </cell>
          <cell r="AT1577" t="str">
            <v>AO</v>
          </cell>
          <cell r="AU1577" t="str">
            <v>AO</v>
          </cell>
          <cell r="AV1577" t="str">
            <v>AOPD</v>
          </cell>
          <cell r="AW1577" t="str">
            <v>Wireless Headset_OS</v>
          </cell>
          <cell r="AX1577" t="str">
            <v>AOPDWH</v>
          </cell>
          <cell r="AY1577" t="str">
            <v>Wireless Headset Universal Out-Box Headset_OS</v>
          </cell>
          <cell r="AZ1577" t="str">
            <v>AOPDWHEB</v>
          </cell>
          <cell r="BA1577" t="str">
            <v>Wireless Headset Earbuds_OS</v>
          </cell>
        </row>
        <row r="1578">
          <cell r="E1578" t="str">
            <v>CDT29MUOES.ASSPEVN</v>
          </cell>
          <cell r="F1578">
            <v>0</v>
          </cell>
          <cell r="G1578">
            <v>0</v>
          </cell>
          <cell r="H1578">
            <v>0</v>
          </cell>
          <cell r="I1578">
            <v>2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2</v>
          </cell>
          <cell r="O1578">
            <v>0</v>
          </cell>
          <cell r="P1578">
            <v>2</v>
          </cell>
          <cell r="Q1578">
            <v>0</v>
          </cell>
          <cell r="R1578">
            <v>0</v>
          </cell>
          <cell r="S1578">
            <v>2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 t="str">
            <v>WMPREPLUS</v>
          </cell>
          <cell r="AH1578" t="str">
            <v>WM_Premium_Plus</v>
          </cell>
          <cell r="AI1578" t="str">
            <v/>
          </cell>
          <cell r="AJ1578" t="str">
            <v/>
          </cell>
          <cell r="AK1578" t="str">
            <v>0.794851</v>
          </cell>
          <cell r="AL1578" t="str">
            <v>0</v>
          </cell>
          <cell r="AM1578" t="str">
            <v>Q</v>
          </cell>
          <cell r="AN1578" t="str">
            <v>M0</v>
          </cell>
          <cell r="AO1578" t="str">
            <v>Active(Model)</v>
          </cell>
          <cell r="AP1578" t="str">
            <v/>
          </cell>
          <cell r="AQ1578" t="str">
            <v/>
          </cell>
          <cell r="AR1578" t="str">
            <v>Y</v>
          </cell>
          <cell r="AS1578" t="str">
            <v/>
          </cell>
          <cell r="AT1578" t="str">
            <v>WM</v>
          </cell>
          <cell r="AU1578" t="str">
            <v>Washing Machine</v>
          </cell>
          <cell r="AV1578" t="str">
            <v>WMWR</v>
          </cell>
          <cell r="AW1578" t="str">
            <v>Clothes Dryer</v>
          </cell>
          <cell r="AX1578" t="str">
            <v>WMWRWC</v>
          </cell>
          <cell r="AY1578" t="str">
            <v>Clothes Dryer_Commercial</v>
          </cell>
          <cell r="AZ1578" t="str">
            <v>WMWRWCCA</v>
          </cell>
          <cell r="BA1578" t="str">
            <v>Clothes Dryer_Commercial</v>
          </cell>
        </row>
        <row r="1579">
          <cell r="E1579" t="str">
            <v>CWG27MDQRS.ASSQEML</v>
          </cell>
          <cell r="F1579">
            <v>0</v>
          </cell>
          <cell r="G1579">
            <v>0</v>
          </cell>
          <cell r="H1579">
            <v>0</v>
          </cell>
          <cell r="I1579">
            <v>1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 t="str">
            <v>WMBASIC</v>
          </cell>
          <cell r="AH1579" t="str">
            <v>WM_Basic</v>
          </cell>
          <cell r="AI1579" t="str">
            <v/>
          </cell>
          <cell r="AJ1579" t="str">
            <v/>
          </cell>
          <cell r="AK1579" t="str">
            <v>0.648104</v>
          </cell>
          <cell r="AL1579" t="str">
            <v>2</v>
          </cell>
          <cell r="AM1579" t="str">
            <v>Q</v>
          </cell>
          <cell r="AN1579" t="str">
            <v>M0</v>
          </cell>
          <cell r="AO1579" t="str">
            <v>Active(Model)</v>
          </cell>
          <cell r="AP1579" t="str">
            <v/>
          </cell>
          <cell r="AQ1579" t="str">
            <v/>
          </cell>
          <cell r="AR1579" t="str">
            <v>Y</v>
          </cell>
          <cell r="AS1579" t="str">
            <v/>
          </cell>
          <cell r="AT1579" t="str">
            <v>WM</v>
          </cell>
          <cell r="AU1579" t="str">
            <v>Washing Machine</v>
          </cell>
          <cell r="AV1579" t="str">
            <v>WMWL</v>
          </cell>
          <cell r="AW1579" t="str">
            <v>Clothes Washer</v>
          </cell>
          <cell r="AX1579" t="str">
            <v>WMWLFC</v>
          </cell>
          <cell r="AY1579" t="str">
            <v>Clothes Washer_Front Loader_Commercial</v>
          </cell>
          <cell r="AZ1579" t="str">
            <v>WMWLFCHA</v>
          </cell>
          <cell r="BA1579" t="str">
            <v>Clothes Washer_Front Loader_Commercial</v>
          </cell>
        </row>
        <row r="1580">
          <cell r="E1580" t="str">
            <v>CWT29MDORS.ASSPEVN</v>
          </cell>
          <cell r="F1580">
            <v>0</v>
          </cell>
          <cell r="G1580">
            <v>0</v>
          </cell>
          <cell r="H1580">
            <v>0</v>
          </cell>
          <cell r="I1580">
            <v>1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1</v>
          </cell>
          <cell r="O1580">
            <v>0</v>
          </cell>
          <cell r="P1580">
            <v>1</v>
          </cell>
          <cell r="Q1580">
            <v>0</v>
          </cell>
          <cell r="R1580">
            <v>0</v>
          </cell>
          <cell r="S1580">
            <v>1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 t="str">
            <v>WMPREPLUS</v>
          </cell>
          <cell r="AH1580" t="str">
            <v>WM_Premium_Plus</v>
          </cell>
          <cell r="AI1580" t="str">
            <v/>
          </cell>
          <cell r="AJ1580" t="str">
            <v/>
          </cell>
          <cell r="AK1580" t="str">
            <v>0.794165</v>
          </cell>
          <cell r="AL1580" t="str">
            <v>0</v>
          </cell>
          <cell r="AM1580" t="str">
            <v>Q</v>
          </cell>
          <cell r="AN1580" t="str">
            <v>M0</v>
          </cell>
          <cell r="AO1580" t="str">
            <v>Active(Model)</v>
          </cell>
          <cell r="AP1580" t="str">
            <v/>
          </cell>
          <cell r="AQ1580" t="str">
            <v/>
          </cell>
          <cell r="AR1580" t="str">
            <v>Y</v>
          </cell>
          <cell r="AS1580" t="str">
            <v/>
          </cell>
          <cell r="AT1580" t="str">
            <v>WM</v>
          </cell>
          <cell r="AU1580" t="str">
            <v>Washing Machine</v>
          </cell>
          <cell r="AV1580" t="str">
            <v>WMWL</v>
          </cell>
          <cell r="AW1580" t="str">
            <v>Clothes Washer</v>
          </cell>
          <cell r="AX1580" t="str">
            <v>WMWLFC</v>
          </cell>
          <cell r="AY1580" t="str">
            <v>Clothes Washer_Front Loader_Commercial</v>
          </cell>
          <cell r="AZ1580" t="str">
            <v>WMWLFCHA</v>
          </cell>
          <cell r="BA1580" t="str">
            <v>Clothes Washer_Front Loader_Commercial</v>
          </cell>
        </row>
        <row r="1581">
          <cell r="E1581" t="str">
            <v>F2515RNTG.AEGPEVN</v>
          </cell>
          <cell r="F1581">
            <v>0</v>
          </cell>
          <cell r="G1581">
            <v>0</v>
          </cell>
          <cell r="H1581">
            <v>0</v>
          </cell>
          <cell r="I1581">
            <v>2</v>
          </cell>
          <cell r="J1581">
            <v>0</v>
          </cell>
          <cell r="K1581">
            <v>10</v>
          </cell>
          <cell r="L1581">
            <v>0</v>
          </cell>
          <cell r="M1581">
            <v>0</v>
          </cell>
          <cell r="N1581">
            <v>0</v>
          </cell>
          <cell r="O1581">
            <v>3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 t="str">
            <v>WMPREMIUM</v>
          </cell>
          <cell r="AH1581" t="str">
            <v>WM_Premium</v>
          </cell>
          <cell r="AI1581" t="str">
            <v/>
          </cell>
          <cell r="AJ1581" t="str">
            <v/>
          </cell>
          <cell r="AK1581" t="str">
            <v>0.485214</v>
          </cell>
          <cell r="AL1581" t="str">
            <v>2</v>
          </cell>
          <cell r="AM1581" t="str">
            <v>Q</v>
          </cell>
          <cell r="AN1581" t="str">
            <v>M0</v>
          </cell>
          <cell r="AO1581" t="str">
            <v>Active(Model)</v>
          </cell>
          <cell r="AP1581" t="str">
            <v/>
          </cell>
          <cell r="AQ1581" t="str">
            <v/>
          </cell>
          <cell r="AR1581" t="str">
            <v>Y</v>
          </cell>
          <cell r="AS1581" t="str">
            <v/>
          </cell>
          <cell r="AT1581" t="str">
            <v>WM</v>
          </cell>
          <cell r="AU1581" t="str">
            <v>Washing Machine</v>
          </cell>
          <cell r="AV1581" t="str">
            <v>WMWL</v>
          </cell>
          <cell r="AW1581" t="str">
            <v>Clothes Washer</v>
          </cell>
          <cell r="AX1581" t="str">
            <v>WMWLFL</v>
          </cell>
          <cell r="AY1581" t="str">
            <v>Clothes Washer_Front Loader</v>
          </cell>
          <cell r="AZ1581" t="str">
            <v>WMWLFLDB</v>
          </cell>
          <cell r="BA1581" t="str">
            <v>Clothes Washer_Drum_25</v>
          </cell>
        </row>
        <row r="1582">
          <cell r="E1582" t="str">
            <v>F2515SNTG.AEGPEVN</v>
          </cell>
          <cell r="F1582">
            <v>0</v>
          </cell>
          <cell r="G1582">
            <v>0</v>
          </cell>
          <cell r="H1582">
            <v>0</v>
          </cell>
          <cell r="I1582">
            <v>3</v>
          </cell>
          <cell r="J1582">
            <v>0</v>
          </cell>
          <cell r="K1582">
            <v>52</v>
          </cell>
          <cell r="L1582">
            <v>0</v>
          </cell>
          <cell r="M1582">
            <v>1</v>
          </cell>
          <cell r="N1582">
            <v>2</v>
          </cell>
          <cell r="O1582">
            <v>6</v>
          </cell>
          <cell r="P1582">
            <v>3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 t="str">
            <v>WMPREMIUM</v>
          </cell>
          <cell r="AH1582" t="str">
            <v>WM_Premium</v>
          </cell>
          <cell r="AI1582" t="str">
            <v/>
          </cell>
          <cell r="AJ1582" t="str">
            <v/>
          </cell>
          <cell r="AK1582" t="str">
            <v>0.485214</v>
          </cell>
          <cell r="AL1582" t="str">
            <v>2</v>
          </cell>
          <cell r="AM1582" t="str">
            <v>Q</v>
          </cell>
          <cell r="AN1582" t="str">
            <v>M0</v>
          </cell>
          <cell r="AO1582" t="str">
            <v>Active(Model)</v>
          </cell>
          <cell r="AP1582" t="str">
            <v/>
          </cell>
          <cell r="AQ1582" t="str">
            <v/>
          </cell>
          <cell r="AR1582" t="str">
            <v>Y</v>
          </cell>
          <cell r="AS1582" t="str">
            <v/>
          </cell>
          <cell r="AT1582" t="str">
            <v>WM</v>
          </cell>
          <cell r="AU1582" t="str">
            <v>Washing Machine</v>
          </cell>
          <cell r="AV1582" t="str">
            <v>WMWL</v>
          </cell>
          <cell r="AW1582" t="str">
            <v>Clothes Washer</v>
          </cell>
          <cell r="AX1582" t="str">
            <v>WMWLFL</v>
          </cell>
          <cell r="AY1582" t="str">
            <v>Clothes Washer_Front Loader</v>
          </cell>
          <cell r="AZ1582" t="str">
            <v>WMWLFLDB</v>
          </cell>
          <cell r="BA1582" t="str">
            <v>Clothes Washer_Drum_25</v>
          </cell>
        </row>
        <row r="1583">
          <cell r="E1583" t="str">
            <v>F2517RNTG.AEGPEVN</v>
          </cell>
          <cell r="F1583">
            <v>0</v>
          </cell>
          <cell r="G1583">
            <v>0</v>
          </cell>
          <cell r="H1583">
            <v>0</v>
          </cell>
          <cell r="I1583">
            <v>3</v>
          </cell>
          <cell r="J1583">
            <v>0</v>
          </cell>
          <cell r="K1583">
            <v>10</v>
          </cell>
          <cell r="L1583">
            <v>0</v>
          </cell>
          <cell r="M1583">
            <v>0</v>
          </cell>
          <cell r="N1583">
            <v>2</v>
          </cell>
          <cell r="O1583">
            <v>0</v>
          </cell>
          <cell r="P1583">
            <v>2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 t="str">
            <v>WMPREMIUM</v>
          </cell>
          <cell r="AH1583" t="str">
            <v>WM_Premium</v>
          </cell>
          <cell r="AI1583" t="str">
            <v/>
          </cell>
          <cell r="AJ1583" t="str">
            <v/>
          </cell>
          <cell r="AK1583" t="str">
            <v>0.579360</v>
          </cell>
          <cell r="AL1583" t="str">
            <v>0</v>
          </cell>
          <cell r="AM1583" t="str">
            <v>Q</v>
          </cell>
          <cell r="AN1583" t="str">
            <v>M0</v>
          </cell>
          <cell r="AO1583" t="str">
            <v>Active(Model)</v>
          </cell>
          <cell r="AP1583" t="str">
            <v/>
          </cell>
          <cell r="AQ1583" t="str">
            <v/>
          </cell>
          <cell r="AR1583" t="str">
            <v>Y</v>
          </cell>
          <cell r="AS1583" t="str">
            <v/>
          </cell>
          <cell r="AT1583" t="str">
            <v>WM</v>
          </cell>
          <cell r="AU1583" t="str">
            <v>Washing Machine</v>
          </cell>
          <cell r="AV1583" t="str">
            <v>WMWL</v>
          </cell>
          <cell r="AW1583" t="str">
            <v>Clothes Washer</v>
          </cell>
          <cell r="AX1583" t="str">
            <v>WMWLFL</v>
          </cell>
          <cell r="AY1583" t="str">
            <v>Clothes Washer_Front Loader</v>
          </cell>
          <cell r="AZ1583" t="str">
            <v>WMWLFLDB</v>
          </cell>
          <cell r="BA1583" t="str">
            <v>Clothes Washer_Drum_25</v>
          </cell>
        </row>
        <row r="1584">
          <cell r="E1584" t="str">
            <v>F2517SNTG.AEGPEVN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35</v>
          </cell>
          <cell r="L1584">
            <v>0</v>
          </cell>
          <cell r="M1584">
            <v>0</v>
          </cell>
          <cell r="N1584">
            <v>0</v>
          </cell>
          <cell r="O1584">
            <v>2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 t="str">
            <v>WMPREMIUM</v>
          </cell>
          <cell r="AH1584" t="str">
            <v>WM_Premium</v>
          </cell>
          <cell r="AI1584" t="str">
            <v/>
          </cell>
          <cell r="AJ1584" t="str">
            <v/>
          </cell>
          <cell r="AK1584" t="str">
            <v>0.579360</v>
          </cell>
          <cell r="AL1584" t="str">
            <v>2</v>
          </cell>
          <cell r="AM1584" t="str">
            <v>Q</v>
          </cell>
          <cell r="AN1584" t="str">
            <v>M0</v>
          </cell>
          <cell r="AO1584" t="str">
            <v>Active(Model)</v>
          </cell>
          <cell r="AP1584" t="str">
            <v/>
          </cell>
          <cell r="AQ1584" t="str">
            <v/>
          </cell>
          <cell r="AR1584" t="str">
            <v>Y</v>
          </cell>
          <cell r="AS1584" t="str">
            <v/>
          </cell>
          <cell r="AT1584" t="str">
            <v>WM</v>
          </cell>
          <cell r="AU1584" t="str">
            <v>Washing Machine</v>
          </cell>
          <cell r="AV1584" t="str">
            <v>WMWL</v>
          </cell>
          <cell r="AW1584" t="str">
            <v>Clothes Washer</v>
          </cell>
          <cell r="AX1584" t="str">
            <v>WMWLFL</v>
          </cell>
          <cell r="AY1584" t="str">
            <v>Clothes Washer_Front Loader</v>
          </cell>
          <cell r="AZ1584" t="str">
            <v>WMWLFLDB</v>
          </cell>
          <cell r="BA1584" t="str">
            <v>Clothes Washer_Drum_25</v>
          </cell>
        </row>
        <row r="1585">
          <cell r="E1585" t="str">
            <v>F40BG.ADBPEVN</v>
          </cell>
          <cell r="F1585">
            <v>0</v>
          </cell>
          <cell r="G1585">
            <v>0</v>
          </cell>
          <cell r="H1585">
            <v>0</v>
          </cell>
          <cell r="I1585">
            <v>74</v>
          </cell>
          <cell r="J1585">
            <v>0</v>
          </cell>
          <cell r="K1585">
            <v>10</v>
          </cell>
          <cell r="L1585">
            <v>0</v>
          </cell>
          <cell r="M1585">
            <v>70</v>
          </cell>
          <cell r="N1585">
            <v>1</v>
          </cell>
          <cell r="O1585">
            <v>61</v>
          </cell>
          <cell r="P1585">
            <v>71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 t="str">
            <v>REFBASIC</v>
          </cell>
          <cell r="AH1585" t="str">
            <v>REF_Basic</v>
          </cell>
          <cell r="AI1585" t="str">
            <v/>
          </cell>
          <cell r="AJ1585" t="str">
            <v/>
          </cell>
          <cell r="AK1585" t="str">
            <v>1.093913</v>
          </cell>
          <cell r="AL1585" t="str">
            <v>2</v>
          </cell>
          <cell r="AM1585" t="str">
            <v>Q</v>
          </cell>
          <cell r="AN1585" t="str">
            <v>M0</v>
          </cell>
          <cell r="AO1585" t="str">
            <v>Active(Model)</v>
          </cell>
          <cell r="AP1585" t="str">
            <v/>
          </cell>
          <cell r="AQ1585" t="str">
            <v/>
          </cell>
          <cell r="AR1585" t="str">
            <v>Y</v>
          </cell>
          <cell r="AS1585" t="str">
            <v/>
          </cell>
          <cell r="AT1585" t="str">
            <v>RF</v>
          </cell>
          <cell r="AU1585" t="str">
            <v>Refrigerator</v>
          </cell>
          <cell r="AV1585" t="str">
            <v>RFBF</v>
          </cell>
          <cell r="AW1585" t="str">
            <v>Bottom Freezer</v>
          </cell>
          <cell r="AX1585" t="str">
            <v>RFBFMD</v>
          </cell>
          <cell r="AY1585" t="str">
            <v>French Door Swing</v>
          </cell>
          <cell r="AZ1585" t="str">
            <v>RFBFMD4D</v>
          </cell>
          <cell r="BA1585" t="str">
            <v>4D F/D Swing</v>
          </cell>
        </row>
        <row r="1586">
          <cell r="E1586" t="str">
            <v>F50BG.ADBPEVN</v>
          </cell>
          <cell r="F1586">
            <v>0</v>
          </cell>
          <cell r="G1586">
            <v>0</v>
          </cell>
          <cell r="H1586">
            <v>0</v>
          </cell>
          <cell r="I1586">
            <v>23</v>
          </cell>
          <cell r="J1586">
            <v>0</v>
          </cell>
          <cell r="K1586">
            <v>13</v>
          </cell>
          <cell r="L1586">
            <v>0</v>
          </cell>
          <cell r="M1586">
            <v>20</v>
          </cell>
          <cell r="N1586">
            <v>0</v>
          </cell>
          <cell r="O1586">
            <v>79</v>
          </cell>
          <cell r="P1586">
            <v>20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12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2</v>
          </cell>
          <cell r="AF1586">
            <v>0</v>
          </cell>
          <cell r="AG1586" t="str">
            <v>REFPREMIUM</v>
          </cell>
          <cell r="AH1586" t="str">
            <v>REF_Premium</v>
          </cell>
          <cell r="AI1586" t="str">
            <v/>
          </cell>
          <cell r="AJ1586" t="str">
            <v/>
          </cell>
          <cell r="AK1586" t="str">
            <v>1.307124</v>
          </cell>
          <cell r="AL1586" t="str">
            <v>2</v>
          </cell>
          <cell r="AM1586" t="str">
            <v>Q</v>
          </cell>
          <cell r="AN1586" t="str">
            <v>M0</v>
          </cell>
          <cell r="AO1586" t="str">
            <v>Active(Model)</v>
          </cell>
          <cell r="AP1586" t="str">
            <v/>
          </cell>
          <cell r="AQ1586" t="str">
            <v/>
          </cell>
          <cell r="AR1586" t="str">
            <v>Y</v>
          </cell>
          <cell r="AS1586" t="str">
            <v/>
          </cell>
          <cell r="AT1586" t="str">
            <v>RF</v>
          </cell>
          <cell r="AU1586" t="str">
            <v>Refrigerator</v>
          </cell>
          <cell r="AV1586" t="str">
            <v>RFBF</v>
          </cell>
          <cell r="AW1586" t="str">
            <v>Bottom Freezer</v>
          </cell>
          <cell r="AX1586" t="str">
            <v>RFBFMD</v>
          </cell>
          <cell r="AY1586" t="str">
            <v>French Door Swing</v>
          </cell>
          <cell r="AZ1586" t="str">
            <v>RFBFMD4D</v>
          </cell>
          <cell r="BA1586" t="str">
            <v>4D F/D Swing</v>
          </cell>
        </row>
        <row r="1587">
          <cell r="E1587" t="str">
            <v>F51EG.ADMPEVN</v>
          </cell>
          <cell r="F1587">
            <v>27</v>
          </cell>
          <cell r="G1587">
            <v>0</v>
          </cell>
          <cell r="H1587">
            <v>0</v>
          </cell>
          <cell r="I1587">
            <v>44</v>
          </cell>
          <cell r="J1587">
            <v>1</v>
          </cell>
          <cell r="K1587">
            <v>0</v>
          </cell>
          <cell r="L1587">
            <v>0</v>
          </cell>
          <cell r="M1587">
            <v>2</v>
          </cell>
          <cell r="N1587">
            <v>13</v>
          </cell>
          <cell r="O1587">
            <v>17</v>
          </cell>
          <cell r="P1587">
            <v>15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 t="str">
            <v>REFPREMIUM</v>
          </cell>
          <cell r="AH1587" t="str">
            <v>REF_Premium</v>
          </cell>
          <cell r="AI1587" t="str">
            <v/>
          </cell>
          <cell r="AJ1587" t="str">
            <v/>
          </cell>
          <cell r="AK1587" t="str">
            <v>1.266426</v>
          </cell>
          <cell r="AL1587" t="str">
            <v>2</v>
          </cell>
          <cell r="AM1587" t="str">
            <v>Q</v>
          </cell>
          <cell r="AN1587" t="str">
            <v>M0</v>
          </cell>
          <cell r="AO1587" t="str">
            <v>Active(Model)</v>
          </cell>
          <cell r="AP1587" t="str">
            <v/>
          </cell>
          <cell r="AQ1587" t="str">
            <v/>
          </cell>
          <cell r="AR1587" t="str">
            <v>Y</v>
          </cell>
          <cell r="AS1587" t="str">
            <v/>
          </cell>
          <cell r="AT1587" t="str">
            <v>RF</v>
          </cell>
          <cell r="AU1587" t="str">
            <v>Refrigerator</v>
          </cell>
          <cell r="AV1587" t="str">
            <v>RFBF</v>
          </cell>
          <cell r="AW1587" t="str">
            <v>Bottom Freezer</v>
          </cell>
          <cell r="AX1587" t="str">
            <v>RFBFMD</v>
          </cell>
          <cell r="AY1587" t="str">
            <v>French Door Swing</v>
          </cell>
          <cell r="AZ1587" t="str">
            <v>RFBFMD4D</v>
          </cell>
          <cell r="BA1587" t="str">
            <v>4D F/D Swing</v>
          </cell>
        </row>
        <row r="1588">
          <cell r="E1588" t="str">
            <v>F53EGR.ABBPEVN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 t="str">
            <v>REFPREPLUS</v>
          </cell>
          <cell r="AH1588" t="str">
            <v>REF_Premium_Plus</v>
          </cell>
          <cell r="AI1588" t="str">
            <v/>
          </cell>
          <cell r="AJ1588" t="str">
            <v/>
          </cell>
          <cell r="AK1588" t="str">
            <v>1.261887</v>
          </cell>
          <cell r="AL1588" t="str">
            <v>2</v>
          </cell>
          <cell r="AM1588" t="str">
            <v>Q</v>
          </cell>
          <cell r="AN1588" t="str">
            <v>M0</v>
          </cell>
          <cell r="AO1588" t="str">
            <v>Active(Model)</v>
          </cell>
          <cell r="AP1588" t="str">
            <v/>
          </cell>
          <cell r="AQ1588" t="str">
            <v/>
          </cell>
          <cell r="AR1588" t="str">
            <v>Y</v>
          </cell>
          <cell r="AS1588" t="str">
            <v/>
          </cell>
          <cell r="AT1588" t="str">
            <v>RF</v>
          </cell>
          <cell r="AU1588" t="str">
            <v>Refrigerator</v>
          </cell>
          <cell r="AV1588" t="str">
            <v>RFBF</v>
          </cell>
          <cell r="AW1588" t="str">
            <v>Bottom Freezer</v>
          </cell>
          <cell r="AX1588" t="str">
            <v>RFBFFD</v>
          </cell>
          <cell r="AY1588" t="str">
            <v>French Door Drawer</v>
          </cell>
          <cell r="AZ1588" t="str">
            <v>RFBFFD4D</v>
          </cell>
          <cell r="BA1588" t="str">
            <v>4D F/D Drawer</v>
          </cell>
        </row>
        <row r="1589">
          <cell r="E1589" t="str">
            <v>F56BG.ABMPEVN</v>
          </cell>
          <cell r="F1589">
            <v>6</v>
          </cell>
          <cell r="G1589">
            <v>0</v>
          </cell>
          <cell r="H1589">
            <v>0</v>
          </cell>
          <cell r="I1589">
            <v>8</v>
          </cell>
          <cell r="J1589">
            <v>5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21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5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 t="str">
            <v>REFPREMIUM</v>
          </cell>
          <cell r="AH1589" t="str">
            <v>REF_Premium</v>
          </cell>
          <cell r="AI1589" t="str">
            <v/>
          </cell>
          <cell r="AJ1589" t="str">
            <v/>
          </cell>
          <cell r="AK1589" t="str">
            <v>1.270720</v>
          </cell>
          <cell r="AL1589" t="str">
            <v>2</v>
          </cell>
          <cell r="AM1589" t="str">
            <v>Q</v>
          </cell>
          <cell r="AN1589" t="str">
            <v>M0</v>
          </cell>
          <cell r="AO1589" t="str">
            <v>Active(Model)</v>
          </cell>
          <cell r="AP1589" t="str">
            <v/>
          </cell>
          <cell r="AQ1589" t="str">
            <v/>
          </cell>
          <cell r="AR1589" t="str">
            <v>Y</v>
          </cell>
          <cell r="AS1589" t="str">
            <v/>
          </cell>
          <cell r="AT1589" t="str">
            <v>RF</v>
          </cell>
          <cell r="AU1589" t="str">
            <v>Refrigerator</v>
          </cell>
          <cell r="AV1589" t="str">
            <v>RFBF</v>
          </cell>
          <cell r="AW1589" t="str">
            <v>Bottom Freezer</v>
          </cell>
          <cell r="AX1589" t="str">
            <v>RFBFMD</v>
          </cell>
          <cell r="AY1589" t="str">
            <v>French Door Swing</v>
          </cell>
          <cell r="AZ1589" t="str">
            <v>RFBFMD4D</v>
          </cell>
          <cell r="BA1589" t="str">
            <v>4D F/D Swing</v>
          </cell>
        </row>
        <row r="1590">
          <cell r="E1590" t="str">
            <v>F58BGD.ABMPEVN</v>
          </cell>
          <cell r="F1590">
            <v>7</v>
          </cell>
          <cell r="G1590">
            <v>0</v>
          </cell>
          <cell r="H1590">
            <v>0</v>
          </cell>
          <cell r="I1590">
            <v>19</v>
          </cell>
          <cell r="J1590">
            <v>0</v>
          </cell>
          <cell r="K1590">
            <v>0</v>
          </cell>
          <cell r="L1590">
            <v>0</v>
          </cell>
          <cell r="M1590">
            <v>1</v>
          </cell>
          <cell r="N1590">
            <v>9</v>
          </cell>
          <cell r="O1590">
            <v>2</v>
          </cell>
          <cell r="P1590">
            <v>10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 t="str">
            <v>REFPREPLUS</v>
          </cell>
          <cell r="AH1590" t="str">
            <v>REF_Premium_Plus</v>
          </cell>
          <cell r="AI1590" t="str">
            <v/>
          </cell>
          <cell r="AJ1590" t="str">
            <v/>
          </cell>
          <cell r="AK1590" t="str">
            <v>1.289601</v>
          </cell>
          <cell r="AL1590" t="str">
            <v>2</v>
          </cell>
          <cell r="AM1590" t="str">
            <v>F</v>
          </cell>
          <cell r="AN1590" t="str">
            <v>M0</v>
          </cell>
          <cell r="AO1590" t="str">
            <v>Active(Model)</v>
          </cell>
          <cell r="AP1590" t="str">
            <v/>
          </cell>
          <cell r="AQ1590" t="str">
            <v/>
          </cell>
          <cell r="AR1590" t="str">
            <v>Y</v>
          </cell>
          <cell r="AS1590" t="str">
            <v/>
          </cell>
          <cell r="AT1590" t="str">
            <v>RF</v>
          </cell>
          <cell r="AU1590" t="str">
            <v>Refrigerator</v>
          </cell>
          <cell r="AV1590" t="str">
            <v>RFBF</v>
          </cell>
          <cell r="AW1590" t="str">
            <v>Bottom Freezer</v>
          </cell>
          <cell r="AX1590" t="str">
            <v>RFBFMD</v>
          </cell>
          <cell r="AY1590" t="str">
            <v>French Door Swing</v>
          </cell>
          <cell r="AZ1590" t="str">
            <v>RFBFMD4D</v>
          </cell>
          <cell r="BA1590" t="str">
            <v>4D F/D Swing</v>
          </cell>
        </row>
        <row r="1591">
          <cell r="E1591" t="str">
            <v>F61BMD.AEPPEVN</v>
          </cell>
          <cell r="F1591">
            <v>2</v>
          </cell>
          <cell r="G1591">
            <v>0</v>
          </cell>
          <cell r="H1591">
            <v>0</v>
          </cell>
          <cell r="I1591">
            <v>4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 t="str">
            <v>REFPREPLUS</v>
          </cell>
          <cell r="AH1591" t="str">
            <v>REF_Premium_Plus</v>
          </cell>
          <cell r="AI1591" t="str">
            <v/>
          </cell>
          <cell r="AJ1591" t="str">
            <v/>
          </cell>
          <cell r="AK1591" t="str">
            <v>1.347179</v>
          </cell>
          <cell r="AL1591" t="str">
            <v>2</v>
          </cell>
          <cell r="AM1591" t="str">
            <v>F</v>
          </cell>
          <cell r="AN1591" t="str">
            <v>M0</v>
          </cell>
          <cell r="AO1591" t="str">
            <v>Active(Model)</v>
          </cell>
          <cell r="AP1591" t="str">
            <v/>
          </cell>
          <cell r="AQ1591" t="str">
            <v/>
          </cell>
          <cell r="AR1591" t="str">
            <v>Y</v>
          </cell>
          <cell r="AS1591" t="str">
            <v/>
          </cell>
          <cell r="AT1591" t="str">
            <v>RF</v>
          </cell>
          <cell r="AU1591" t="str">
            <v>Refrigerator</v>
          </cell>
          <cell r="AV1591" t="str">
            <v>RFBF</v>
          </cell>
          <cell r="AW1591" t="str">
            <v>Bottom Freezer</v>
          </cell>
          <cell r="AX1591" t="str">
            <v>RFBFMD</v>
          </cell>
          <cell r="AY1591" t="str">
            <v>French Door Swing</v>
          </cell>
          <cell r="AZ1591" t="str">
            <v>RFBFMD4D</v>
          </cell>
          <cell r="BA1591" t="str">
            <v>4D F/D Swing</v>
          </cell>
        </row>
        <row r="1592">
          <cell r="E1592" t="str">
            <v>FB1209D5M.AMBPEVN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175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 t="str">
            <v>WMPREMIUM</v>
          </cell>
          <cell r="AH1592" t="str">
            <v>WM_Premium</v>
          </cell>
          <cell r="AI1592" t="str">
            <v/>
          </cell>
          <cell r="AJ1592" t="str">
            <v/>
          </cell>
          <cell r="AK1592" t="str">
            <v>0.387684</v>
          </cell>
          <cell r="AL1592" t="str">
            <v>0</v>
          </cell>
          <cell r="AM1592" t="str">
            <v>Q</v>
          </cell>
          <cell r="AN1592" t="str">
            <v>M0</v>
          </cell>
          <cell r="AO1592" t="str">
            <v>Active(Model)</v>
          </cell>
          <cell r="AP1592" t="str">
            <v/>
          </cell>
          <cell r="AQ1592" t="str">
            <v/>
          </cell>
          <cell r="AR1592" t="str">
            <v>Y</v>
          </cell>
          <cell r="AS1592" t="str">
            <v/>
          </cell>
          <cell r="AT1592" t="str">
            <v>WM</v>
          </cell>
          <cell r="AU1592" t="str">
            <v>Washing Machine</v>
          </cell>
          <cell r="AV1592" t="str">
            <v>WMWL</v>
          </cell>
          <cell r="AW1592" t="str">
            <v>Clothes Washer</v>
          </cell>
          <cell r="AX1592" t="str">
            <v>WMWLFL</v>
          </cell>
          <cell r="AY1592" t="str">
            <v>Clothes Washer_Front Loader</v>
          </cell>
          <cell r="AZ1592" t="str">
            <v>WMWLFLSC</v>
          </cell>
          <cell r="BA1592" t="str">
            <v>Clothes Washer_Drum(DD)_Steam_24</v>
          </cell>
        </row>
        <row r="1593">
          <cell r="E1593" t="str">
            <v>FB1209S5M.AMBPEVN</v>
          </cell>
          <cell r="F1593">
            <v>0</v>
          </cell>
          <cell r="G1593">
            <v>0</v>
          </cell>
          <cell r="H1593">
            <v>0</v>
          </cell>
          <cell r="I1593">
            <v>50</v>
          </cell>
          <cell r="J1593">
            <v>1</v>
          </cell>
          <cell r="K1593">
            <v>32</v>
          </cell>
          <cell r="L1593">
            <v>0</v>
          </cell>
          <cell r="M1593">
            <v>50</v>
          </cell>
          <cell r="N1593">
            <v>0</v>
          </cell>
          <cell r="O1593">
            <v>19</v>
          </cell>
          <cell r="P1593">
            <v>50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 t="str">
            <v>WMPREMIUM</v>
          </cell>
          <cell r="AH1593" t="str">
            <v>WM_Premium</v>
          </cell>
          <cell r="AI1593" t="str">
            <v/>
          </cell>
          <cell r="AJ1593" t="str">
            <v/>
          </cell>
          <cell r="AK1593" t="str">
            <v>0.387684</v>
          </cell>
          <cell r="AL1593" t="str">
            <v>0</v>
          </cell>
          <cell r="AM1593" t="str">
            <v>Q</v>
          </cell>
          <cell r="AN1593" t="str">
            <v>M0</v>
          </cell>
          <cell r="AO1593" t="str">
            <v>Active(Model)</v>
          </cell>
          <cell r="AP1593" t="str">
            <v/>
          </cell>
          <cell r="AQ1593" t="str">
            <v/>
          </cell>
          <cell r="AR1593" t="str">
            <v>Y</v>
          </cell>
          <cell r="AS1593" t="str">
            <v/>
          </cell>
          <cell r="AT1593" t="str">
            <v>WM</v>
          </cell>
          <cell r="AU1593" t="str">
            <v>Washing Machine</v>
          </cell>
          <cell r="AV1593" t="str">
            <v>WMWL</v>
          </cell>
          <cell r="AW1593" t="str">
            <v>Clothes Washer</v>
          </cell>
          <cell r="AX1593" t="str">
            <v>WMWLFL</v>
          </cell>
          <cell r="AY1593" t="str">
            <v>Clothes Washer_Front Loader</v>
          </cell>
          <cell r="AZ1593" t="str">
            <v>WMWLFLSC</v>
          </cell>
          <cell r="BA1593" t="str">
            <v>Clothes Washer_Drum(DD)_Steam_24</v>
          </cell>
        </row>
        <row r="1594">
          <cell r="E1594" t="str">
            <v>FB1209S5O.ANBPEVN</v>
          </cell>
          <cell r="F1594">
            <v>47</v>
          </cell>
          <cell r="G1594">
            <v>0</v>
          </cell>
          <cell r="H1594">
            <v>0</v>
          </cell>
          <cell r="I1594">
            <v>49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2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1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 t="str">
            <v>WMPREMIUM</v>
          </cell>
          <cell r="AH1594" t="str">
            <v>WM_Premium</v>
          </cell>
          <cell r="AI1594" t="str">
            <v/>
          </cell>
          <cell r="AJ1594" t="str">
            <v/>
          </cell>
          <cell r="AK1594" t="str">
            <v>0.387684</v>
          </cell>
          <cell r="AL1594" t="str">
            <v>2</v>
          </cell>
          <cell r="AM1594" t="str">
            <v>Q</v>
          </cell>
          <cell r="AN1594" t="str">
            <v>M0</v>
          </cell>
          <cell r="AO1594" t="str">
            <v>Active(Model)</v>
          </cell>
          <cell r="AP1594" t="str">
            <v/>
          </cell>
          <cell r="AQ1594" t="str">
            <v/>
          </cell>
          <cell r="AR1594" t="str">
            <v>Y</v>
          </cell>
          <cell r="AS1594" t="str">
            <v/>
          </cell>
          <cell r="AT1594" t="str">
            <v>WM</v>
          </cell>
          <cell r="AU1594" t="str">
            <v>Washing Machine</v>
          </cell>
          <cell r="AV1594" t="str">
            <v>WMWL</v>
          </cell>
          <cell r="AW1594" t="str">
            <v>Clothes Washer</v>
          </cell>
          <cell r="AX1594" t="str">
            <v>WMWLFL</v>
          </cell>
          <cell r="AY1594" t="str">
            <v>Clothes Washer_Front Loader</v>
          </cell>
          <cell r="AZ1594" t="str">
            <v>WMWLFLSC</v>
          </cell>
          <cell r="BA1594" t="str">
            <v>Clothes Washer_Drum(DD)_Steam_24</v>
          </cell>
        </row>
        <row r="1595">
          <cell r="E1595" t="str">
            <v>FB1209S5W.ABWPEVN</v>
          </cell>
          <cell r="F1595">
            <v>0</v>
          </cell>
          <cell r="G1595">
            <v>0</v>
          </cell>
          <cell r="H1595">
            <v>0</v>
          </cell>
          <cell r="I1595">
            <v>7</v>
          </cell>
          <cell r="J1595">
            <v>0</v>
          </cell>
          <cell r="K1595">
            <v>5</v>
          </cell>
          <cell r="L1595">
            <v>0</v>
          </cell>
          <cell r="M1595">
            <v>0</v>
          </cell>
          <cell r="N1595">
            <v>0</v>
          </cell>
          <cell r="O1595">
            <v>8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 t="str">
            <v>WMPREMIUM</v>
          </cell>
          <cell r="AH1595" t="str">
            <v>WM_Premium</v>
          </cell>
          <cell r="AI1595" t="str">
            <v/>
          </cell>
          <cell r="AJ1595" t="str">
            <v/>
          </cell>
          <cell r="AK1595" t="str">
            <v>0.381810</v>
          </cell>
          <cell r="AL1595" t="str">
            <v>0</v>
          </cell>
          <cell r="AM1595" t="str">
            <v>Q</v>
          </cell>
          <cell r="AN1595" t="str">
            <v>M0</v>
          </cell>
          <cell r="AO1595" t="str">
            <v>Active(Model)</v>
          </cell>
          <cell r="AP1595" t="str">
            <v/>
          </cell>
          <cell r="AQ1595" t="str">
            <v/>
          </cell>
          <cell r="AR1595" t="str">
            <v>Y</v>
          </cell>
          <cell r="AS1595" t="str">
            <v/>
          </cell>
          <cell r="AT1595" t="str">
            <v>WM</v>
          </cell>
          <cell r="AU1595" t="str">
            <v>Washing Machine</v>
          </cell>
          <cell r="AV1595" t="str">
            <v>WMWL</v>
          </cell>
          <cell r="AW1595" t="str">
            <v>Clothes Washer</v>
          </cell>
          <cell r="AX1595" t="str">
            <v>WMWLFL</v>
          </cell>
          <cell r="AY1595" t="str">
            <v>Clothes Washer_Front Loader</v>
          </cell>
          <cell r="AZ1595" t="str">
            <v>WMWLFLSC</v>
          </cell>
          <cell r="BA1595" t="str">
            <v>Clothes Washer_Drum(DD)_Steam_24</v>
          </cell>
        </row>
        <row r="1596">
          <cell r="E1596" t="str">
            <v>FS15GPBK0.ABAE</v>
          </cell>
          <cell r="F1596">
            <v>6</v>
          </cell>
          <cell r="G1596">
            <v>0</v>
          </cell>
          <cell r="H1596">
            <v>0</v>
          </cell>
          <cell r="I1596">
            <v>9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 t="str">
            <v/>
          </cell>
          <cell r="AH1596" t="str">
            <v/>
          </cell>
          <cell r="AI1596" t="str">
            <v/>
          </cell>
          <cell r="AJ1596" t="str">
            <v/>
          </cell>
          <cell r="AK1596" t="str">
            <v>0.122368</v>
          </cell>
          <cell r="AL1596" t="str">
            <v>0</v>
          </cell>
          <cell r="AM1596" t="str">
            <v>Q</v>
          </cell>
          <cell r="AN1596" t="str">
            <v>M0</v>
          </cell>
          <cell r="AO1596" t="str">
            <v>Active(Model)</v>
          </cell>
          <cell r="AP1596" t="str">
            <v/>
          </cell>
          <cell r="AQ1596" t="str">
            <v/>
          </cell>
          <cell r="AR1596" t="str">
            <v>Y</v>
          </cell>
          <cell r="AS1596" t="str">
            <v/>
          </cell>
          <cell r="AT1596" t="str">
            <v>HC</v>
          </cell>
          <cell r="AU1596" t="str">
            <v>Healthcare</v>
          </cell>
          <cell r="AV1596" t="str">
            <v>HCWC</v>
          </cell>
          <cell r="AW1596" t="str">
            <v>Wellness care</v>
          </cell>
          <cell r="AX1596" t="str">
            <v>HCWCAS</v>
          </cell>
          <cell r="AY1596" t="str">
            <v>Air Solution</v>
          </cell>
          <cell r="AZ1596" t="str">
            <v>HCWCASAC</v>
          </cell>
          <cell r="BA1596" t="str">
            <v>Air Cleaner</v>
          </cell>
        </row>
        <row r="1597">
          <cell r="E1597" t="str">
            <v>FV1409S4M1.AMBPEVN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56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 t="str">
            <v>WMPREMIUM</v>
          </cell>
          <cell r="AH1597" t="str">
            <v>WM_Premium</v>
          </cell>
          <cell r="AI1597" t="str">
            <v/>
          </cell>
          <cell r="AJ1597" t="str">
            <v/>
          </cell>
          <cell r="AK1597" t="str">
            <v>0.383328</v>
          </cell>
          <cell r="AL1597" t="str">
            <v>2</v>
          </cell>
          <cell r="AM1597" t="str">
            <v>F</v>
          </cell>
          <cell r="AN1597" t="str">
            <v>M0</v>
          </cell>
          <cell r="AO1597" t="str">
            <v>Active(Model)</v>
          </cell>
          <cell r="AP1597" t="str">
            <v/>
          </cell>
          <cell r="AQ1597" t="str">
            <v/>
          </cell>
          <cell r="AR1597" t="str">
            <v>Y</v>
          </cell>
          <cell r="AS1597" t="str">
            <v/>
          </cell>
          <cell r="AT1597" t="str">
            <v>WM</v>
          </cell>
          <cell r="AU1597" t="str">
            <v>Washing Machine</v>
          </cell>
          <cell r="AV1597" t="str">
            <v>WMWL</v>
          </cell>
          <cell r="AW1597" t="str">
            <v>Clothes Washer</v>
          </cell>
          <cell r="AX1597" t="str">
            <v>WMWLFL</v>
          </cell>
          <cell r="AY1597" t="str">
            <v>Clothes Washer_Front Loader</v>
          </cell>
          <cell r="AZ1597" t="str">
            <v>WMWLFLSC</v>
          </cell>
          <cell r="BA1597" t="str">
            <v>Clothes Washer_Drum(DD)_Steam_24</v>
          </cell>
        </row>
        <row r="1598">
          <cell r="E1598" t="str">
            <v>FV1410S4M1.AMBPEVN</v>
          </cell>
          <cell r="F1598">
            <v>0</v>
          </cell>
          <cell r="G1598">
            <v>0</v>
          </cell>
          <cell r="H1598">
            <v>0</v>
          </cell>
          <cell r="I1598">
            <v>5</v>
          </cell>
          <cell r="J1598">
            <v>0</v>
          </cell>
          <cell r="K1598">
            <v>657</v>
          </cell>
          <cell r="L1598">
            <v>0</v>
          </cell>
          <cell r="M1598">
            <v>0</v>
          </cell>
          <cell r="N1598">
            <v>0</v>
          </cell>
          <cell r="O1598">
            <v>219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 t="str">
            <v>WMPREMIUM</v>
          </cell>
          <cell r="AH1598" t="str">
            <v>WM_Premium</v>
          </cell>
          <cell r="AI1598" t="str">
            <v/>
          </cell>
          <cell r="AJ1598" t="str">
            <v/>
          </cell>
          <cell r="AK1598" t="str">
            <v>0.383328</v>
          </cell>
          <cell r="AL1598" t="str">
            <v>2</v>
          </cell>
          <cell r="AM1598" t="str">
            <v>F</v>
          </cell>
          <cell r="AN1598" t="str">
            <v>M0</v>
          </cell>
          <cell r="AO1598" t="str">
            <v>Active(Model)</v>
          </cell>
          <cell r="AP1598" t="str">
            <v/>
          </cell>
          <cell r="AQ1598" t="str">
            <v/>
          </cell>
          <cell r="AR1598" t="str">
            <v>Y</v>
          </cell>
          <cell r="AS1598" t="str">
            <v/>
          </cell>
          <cell r="AT1598" t="str">
            <v>WM</v>
          </cell>
          <cell r="AU1598" t="str">
            <v>Washing Machine</v>
          </cell>
          <cell r="AV1598" t="str">
            <v>WMWL</v>
          </cell>
          <cell r="AW1598" t="str">
            <v>Clothes Washer</v>
          </cell>
          <cell r="AX1598" t="str">
            <v>WMWLFL</v>
          </cell>
          <cell r="AY1598" t="str">
            <v>Clothes Washer_Front Loader</v>
          </cell>
          <cell r="AZ1598" t="str">
            <v>WMWLFLSC</v>
          </cell>
          <cell r="BA1598" t="str">
            <v>Clothes Washer_Drum(DD)_Steam_24</v>
          </cell>
        </row>
        <row r="1599">
          <cell r="E1599" t="str">
            <v>FV1410S4W1.ABWPEVN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1</v>
          </cell>
          <cell r="L1599">
            <v>0</v>
          </cell>
          <cell r="M1599">
            <v>0</v>
          </cell>
          <cell r="N1599">
            <v>0</v>
          </cell>
          <cell r="O1599">
            <v>2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 t="str">
            <v>WMPREMIUM</v>
          </cell>
          <cell r="AH1599" t="str">
            <v>WM_Premium</v>
          </cell>
          <cell r="AI1599" t="str">
            <v/>
          </cell>
          <cell r="AJ1599" t="str">
            <v/>
          </cell>
          <cell r="AK1599" t="str">
            <v>0.383328</v>
          </cell>
          <cell r="AL1599" t="str">
            <v>2</v>
          </cell>
          <cell r="AM1599" t="str">
            <v>F</v>
          </cell>
          <cell r="AN1599" t="str">
            <v>M0</v>
          </cell>
          <cell r="AO1599" t="str">
            <v>Active(Model)</v>
          </cell>
          <cell r="AP1599" t="str">
            <v/>
          </cell>
          <cell r="AQ1599" t="str">
            <v/>
          </cell>
          <cell r="AR1599" t="str">
            <v>Y</v>
          </cell>
          <cell r="AS1599" t="str">
            <v/>
          </cell>
          <cell r="AT1599" t="str">
            <v>WM</v>
          </cell>
          <cell r="AU1599" t="str">
            <v>Washing Machine</v>
          </cell>
          <cell r="AV1599" t="str">
            <v>WMWL</v>
          </cell>
          <cell r="AW1599" t="str">
            <v>Clothes Washer</v>
          </cell>
          <cell r="AX1599" t="str">
            <v>WMWLFL</v>
          </cell>
          <cell r="AY1599" t="str">
            <v>Clothes Washer_Front Loader</v>
          </cell>
          <cell r="AZ1599" t="str">
            <v>WMWLFLSC</v>
          </cell>
          <cell r="BA1599" t="str">
            <v>Clothes Washer_Drum(DD)_Steam_24</v>
          </cell>
        </row>
        <row r="1600">
          <cell r="E1600" t="str">
            <v>FV1412S3B.ABLPEVN</v>
          </cell>
          <cell r="F1600">
            <v>0</v>
          </cell>
          <cell r="G1600">
            <v>0</v>
          </cell>
          <cell r="H1600">
            <v>0</v>
          </cell>
          <cell r="I1600">
            <v>1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 t="str">
            <v>WMPREMIUM</v>
          </cell>
          <cell r="AH1600" t="str">
            <v>WM_Premium</v>
          </cell>
          <cell r="AI1600" t="str">
            <v/>
          </cell>
          <cell r="AJ1600" t="str">
            <v/>
          </cell>
          <cell r="AK1600" t="str">
            <v>0.383328</v>
          </cell>
          <cell r="AL1600" t="str">
            <v>2</v>
          </cell>
          <cell r="AM1600" t="str">
            <v>F</v>
          </cell>
          <cell r="AN1600" t="str">
            <v>M0</v>
          </cell>
          <cell r="AO1600" t="str">
            <v>Active(Model)</v>
          </cell>
          <cell r="AP1600" t="str">
            <v/>
          </cell>
          <cell r="AQ1600" t="str">
            <v/>
          </cell>
          <cell r="AR1600" t="str">
            <v>Y</v>
          </cell>
          <cell r="AS1600" t="str">
            <v/>
          </cell>
          <cell r="AT1600" t="str">
            <v>WM</v>
          </cell>
          <cell r="AU1600" t="str">
            <v>Washing Machine</v>
          </cell>
          <cell r="AV1600" t="str">
            <v>WMWL</v>
          </cell>
          <cell r="AW1600" t="str">
            <v>Clothes Washer</v>
          </cell>
          <cell r="AX1600" t="str">
            <v>WMWLFL</v>
          </cell>
          <cell r="AY1600" t="str">
            <v>Clothes Washer_Front Loader</v>
          </cell>
          <cell r="AZ1600" t="str">
            <v>WMWLFLSC</v>
          </cell>
          <cell r="BA1600" t="str">
            <v>Clothes Washer_Drum(DD)_Steam_24</v>
          </cell>
        </row>
        <row r="1601">
          <cell r="E1601" t="str">
            <v>FX1410N5G.AEGPEVN</v>
          </cell>
          <cell r="F1601">
            <v>0</v>
          </cell>
          <cell r="G1601">
            <v>0</v>
          </cell>
          <cell r="H1601">
            <v>0</v>
          </cell>
          <cell r="I1601">
            <v>19</v>
          </cell>
          <cell r="J1601">
            <v>4</v>
          </cell>
          <cell r="K1601">
            <v>32</v>
          </cell>
          <cell r="L1601">
            <v>0</v>
          </cell>
          <cell r="M1601">
            <v>0</v>
          </cell>
          <cell r="N1601">
            <v>17</v>
          </cell>
          <cell r="O1601">
            <v>6</v>
          </cell>
          <cell r="P1601">
            <v>17</v>
          </cell>
          <cell r="Q1601">
            <v>0</v>
          </cell>
          <cell r="R1601">
            <v>0</v>
          </cell>
          <cell r="S1601">
            <v>20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 t="str">
            <v>WMPREMIUM</v>
          </cell>
          <cell r="AH1601" t="str">
            <v>WM_Premium</v>
          </cell>
          <cell r="AI1601" t="str">
            <v/>
          </cell>
          <cell r="AJ1601" t="str">
            <v/>
          </cell>
          <cell r="AK1601" t="str">
            <v>0.383328</v>
          </cell>
          <cell r="AL1601" t="str">
            <v>2</v>
          </cell>
          <cell r="AM1601" t="str">
            <v>F</v>
          </cell>
          <cell r="AN1601" t="str">
            <v>M0</v>
          </cell>
          <cell r="AO1601" t="str">
            <v>Active(Model)</v>
          </cell>
          <cell r="AP1601" t="str">
            <v/>
          </cell>
          <cell r="AQ1601" t="str">
            <v/>
          </cell>
          <cell r="AR1601" t="str">
            <v>Y</v>
          </cell>
          <cell r="AS1601" t="str">
            <v/>
          </cell>
          <cell r="AT1601" t="str">
            <v>WM</v>
          </cell>
          <cell r="AU1601" t="str">
            <v>Washing Machine</v>
          </cell>
          <cell r="AV1601" t="str">
            <v>WMWL</v>
          </cell>
          <cell r="AW1601" t="str">
            <v>Clothes Washer</v>
          </cell>
          <cell r="AX1601" t="str">
            <v>WMWLFL</v>
          </cell>
          <cell r="AY1601" t="str">
            <v>Clothes Washer_Front Loader</v>
          </cell>
          <cell r="AZ1601" t="str">
            <v>WMWLFLSC</v>
          </cell>
          <cell r="BA1601" t="str">
            <v>Clothes Washer_Drum(DD)_Steam_24</v>
          </cell>
        </row>
        <row r="1602">
          <cell r="E1602" t="str">
            <v>FX1410N5W.AGWPEVN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3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 t="str">
            <v>WMPREMIUM</v>
          </cell>
          <cell r="AH1602" t="str">
            <v>WM_Premium</v>
          </cell>
          <cell r="AI1602" t="str">
            <v/>
          </cell>
          <cell r="AJ1602" t="str">
            <v/>
          </cell>
          <cell r="AK1602" t="str">
            <v>0.383328</v>
          </cell>
          <cell r="AL1602" t="str">
            <v>2</v>
          </cell>
          <cell r="AM1602" t="str">
            <v>F</v>
          </cell>
          <cell r="AN1602" t="str">
            <v>M0</v>
          </cell>
          <cell r="AO1602" t="str">
            <v>Active(Model)</v>
          </cell>
          <cell r="AP1602" t="str">
            <v/>
          </cell>
          <cell r="AQ1602" t="str">
            <v/>
          </cell>
          <cell r="AR1602" t="str">
            <v>Y</v>
          </cell>
          <cell r="AS1602" t="str">
            <v/>
          </cell>
          <cell r="AT1602" t="str">
            <v>WM</v>
          </cell>
          <cell r="AU1602" t="str">
            <v>Washing Machine</v>
          </cell>
          <cell r="AV1602" t="str">
            <v>WMWL</v>
          </cell>
          <cell r="AW1602" t="str">
            <v>Clothes Washer</v>
          </cell>
          <cell r="AX1602" t="str">
            <v>WMWLFL</v>
          </cell>
          <cell r="AY1602" t="str">
            <v>Clothes Washer_Front Loader</v>
          </cell>
          <cell r="AZ1602" t="str">
            <v>WMWLFLSC</v>
          </cell>
          <cell r="BA1602" t="str">
            <v>Clothes Washer_Drum(DD)_Steam_24</v>
          </cell>
        </row>
        <row r="1603">
          <cell r="E1603" t="str">
            <v>FX1411D5G.AEGPEVN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 t="str">
            <v>WMPREMIUM</v>
          </cell>
          <cell r="AH1603" t="str">
            <v>WM_Premium</v>
          </cell>
          <cell r="AI1603" t="str">
            <v/>
          </cell>
          <cell r="AJ1603" t="str">
            <v/>
          </cell>
          <cell r="AK1603" t="str">
            <v>0.383328</v>
          </cell>
          <cell r="AL1603" t="str">
            <v>2</v>
          </cell>
          <cell r="AM1603" t="str">
            <v>F</v>
          </cell>
          <cell r="AN1603" t="str">
            <v>M0</v>
          </cell>
          <cell r="AO1603" t="str">
            <v>Active(Model)</v>
          </cell>
          <cell r="AP1603" t="str">
            <v/>
          </cell>
          <cell r="AQ1603" t="str">
            <v/>
          </cell>
          <cell r="AR1603" t="str">
            <v>Y</v>
          </cell>
          <cell r="AS1603" t="str">
            <v/>
          </cell>
          <cell r="AT1603" t="str">
            <v>WM</v>
          </cell>
          <cell r="AU1603" t="str">
            <v>Washing Machine</v>
          </cell>
          <cell r="AV1603" t="str">
            <v>WMWL</v>
          </cell>
          <cell r="AW1603" t="str">
            <v>Clothes Washer</v>
          </cell>
          <cell r="AX1603" t="str">
            <v>WMWLFL</v>
          </cell>
          <cell r="AY1603" t="str">
            <v>Clothes Washer_Front Loader</v>
          </cell>
          <cell r="AZ1603" t="str">
            <v>WMWLFLSC</v>
          </cell>
          <cell r="BA1603" t="str">
            <v>Clothes Washer_Drum(DD)_Steam_24</v>
          </cell>
        </row>
        <row r="1604">
          <cell r="E1604" t="str">
            <v>FX1411N5G.AEGPEVN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237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 t="str">
            <v>WMPREMIUM</v>
          </cell>
          <cell r="AH1604" t="str">
            <v>WM_Premium</v>
          </cell>
          <cell r="AI1604" t="str">
            <v/>
          </cell>
          <cell r="AJ1604" t="str">
            <v/>
          </cell>
          <cell r="AK1604" t="str">
            <v>0.383328</v>
          </cell>
          <cell r="AL1604" t="str">
            <v>2</v>
          </cell>
          <cell r="AM1604" t="str">
            <v>F</v>
          </cell>
          <cell r="AN1604" t="str">
            <v>M0</v>
          </cell>
          <cell r="AO1604" t="str">
            <v>Active(Model)</v>
          </cell>
          <cell r="AP1604" t="str">
            <v/>
          </cell>
          <cell r="AQ1604" t="str">
            <v/>
          </cell>
          <cell r="AR1604" t="str">
            <v>Y</v>
          </cell>
          <cell r="AS1604" t="str">
            <v/>
          </cell>
          <cell r="AT1604" t="str">
            <v>WM</v>
          </cell>
          <cell r="AU1604" t="str">
            <v>Washing Machine</v>
          </cell>
          <cell r="AV1604" t="str">
            <v>WMWL</v>
          </cell>
          <cell r="AW1604" t="str">
            <v>Clothes Washer</v>
          </cell>
          <cell r="AX1604" t="str">
            <v>WMWLFL</v>
          </cell>
          <cell r="AY1604" t="str">
            <v>Clothes Washer_Front Loader</v>
          </cell>
          <cell r="AZ1604" t="str">
            <v>WMWLFLSC</v>
          </cell>
          <cell r="BA1604" t="str">
            <v>Clothes Washer_Drum(DD)_Steam_24</v>
          </cell>
        </row>
        <row r="1605">
          <cell r="E1605" t="str">
            <v>FX1411N5S.AESPEVN</v>
          </cell>
          <cell r="F1605">
            <v>8</v>
          </cell>
          <cell r="G1605">
            <v>0</v>
          </cell>
          <cell r="H1605">
            <v>0</v>
          </cell>
          <cell r="I1605">
            <v>14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1</v>
          </cell>
          <cell r="O1605">
            <v>35</v>
          </cell>
          <cell r="P1605">
            <v>1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 t="str">
            <v>WMPREMIUM</v>
          </cell>
          <cell r="AH1605" t="str">
            <v>WM_Premium</v>
          </cell>
          <cell r="AI1605" t="str">
            <v/>
          </cell>
          <cell r="AJ1605" t="str">
            <v/>
          </cell>
          <cell r="AK1605" t="str">
            <v>0.383328</v>
          </cell>
          <cell r="AL1605" t="str">
            <v>2</v>
          </cell>
          <cell r="AM1605" t="str">
            <v>F</v>
          </cell>
          <cell r="AN1605" t="str">
            <v>M0</v>
          </cell>
          <cell r="AO1605" t="str">
            <v>Active(Model)</v>
          </cell>
          <cell r="AP1605" t="str">
            <v/>
          </cell>
          <cell r="AQ1605" t="str">
            <v/>
          </cell>
          <cell r="AR1605" t="str">
            <v>Y</v>
          </cell>
          <cell r="AS1605" t="str">
            <v/>
          </cell>
          <cell r="AT1605" t="str">
            <v>WM</v>
          </cell>
          <cell r="AU1605" t="str">
            <v>Washing Machine</v>
          </cell>
          <cell r="AV1605" t="str">
            <v>WMWL</v>
          </cell>
          <cell r="AW1605" t="str">
            <v>Clothes Washer</v>
          </cell>
          <cell r="AX1605" t="str">
            <v>WMWLFL</v>
          </cell>
          <cell r="AY1605" t="str">
            <v>Clothes Washer_Front Loader</v>
          </cell>
          <cell r="AZ1605" t="str">
            <v>WMWLFLSC</v>
          </cell>
          <cell r="BA1605" t="str">
            <v>Clothes Washer_Drum(DD)_Steam_24</v>
          </cell>
        </row>
        <row r="1606">
          <cell r="E1606" t="str">
            <v>FX1411N5W.AGWPEVN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33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 t="str">
            <v>WMPREMIUM</v>
          </cell>
          <cell r="AH1606" t="str">
            <v>WM_Premium</v>
          </cell>
          <cell r="AI1606" t="str">
            <v/>
          </cell>
          <cell r="AJ1606" t="str">
            <v/>
          </cell>
          <cell r="AK1606" t="str">
            <v>0.383328</v>
          </cell>
          <cell r="AL1606" t="str">
            <v>2</v>
          </cell>
          <cell r="AM1606" t="str">
            <v>F</v>
          </cell>
          <cell r="AN1606" t="str">
            <v>M0</v>
          </cell>
          <cell r="AO1606" t="str">
            <v>Active(Model)</v>
          </cell>
          <cell r="AP1606" t="str">
            <v/>
          </cell>
          <cell r="AQ1606" t="str">
            <v/>
          </cell>
          <cell r="AR1606" t="str">
            <v>Y</v>
          </cell>
          <cell r="AS1606" t="str">
            <v/>
          </cell>
          <cell r="AT1606" t="str">
            <v>WM</v>
          </cell>
          <cell r="AU1606" t="str">
            <v>Washing Machine</v>
          </cell>
          <cell r="AV1606" t="str">
            <v>WMWL</v>
          </cell>
          <cell r="AW1606" t="str">
            <v>Clothes Washer</v>
          </cell>
          <cell r="AX1606" t="str">
            <v>WMWLFL</v>
          </cell>
          <cell r="AY1606" t="str">
            <v>Clothes Washer_Front Loader</v>
          </cell>
          <cell r="AZ1606" t="str">
            <v>WMWLFLSC</v>
          </cell>
          <cell r="BA1606" t="str">
            <v>Clothes Washer_Drum(DD)_Steam_24</v>
          </cell>
        </row>
        <row r="1607">
          <cell r="E1607" t="str">
            <v>FX1412N5G.AEGPEVN</v>
          </cell>
          <cell r="F1607">
            <v>0</v>
          </cell>
          <cell r="G1607">
            <v>0</v>
          </cell>
          <cell r="H1607">
            <v>0</v>
          </cell>
          <cell r="I1607">
            <v>4</v>
          </cell>
          <cell r="J1607">
            <v>0</v>
          </cell>
          <cell r="K1607">
            <v>131</v>
          </cell>
          <cell r="L1607">
            <v>0</v>
          </cell>
          <cell r="M1607">
            <v>0</v>
          </cell>
          <cell r="N1607">
            <v>0</v>
          </cell>
          <cell r="O1607">
            <v>26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 t="str">
            <v>WMPREMIUM</v>
          </cell>
          <cell r="AH1607" t="str">
            <v>WM_Premium</v>
          </cell>
          <cell r="AI1607" t="str">
            <v/>
          </cell>
          <cell r="AJ1607" t="str">
            <v/>
          </cell>
          <cell r="AK1607" t="str">
            <v>0.383328</v>
          </cell>
          <cell r="AL1607" t="str">
            <v>2</v>
          </cell>
          <cell r="AM1607" t="str">
            <v>F</v>
          </cell>
          <cell r="AN1607" t="str">
            <v>M0</v>
          </cell>
          <cell r="AO1607" t="str">
            <v>Active(Model)</v>
          </cell>
          <cell r="AP1607" t="str">
            <v/>
          </cell>
          <cell r="AQ1607" t="str">
            <v/>
          </cell>
          <cell r="AR1607" t="str">
            <v>Y</v>
          </cell>
          <cell r="AS1607" t="str">
            <v/>
          </cell>
          <cell r="AT1607" t="str">
            <v>WM</v>
          </cell>
          <cell r="AU1607" t="str">
            <v>Washing Machine</v>
          </cell>
          <cell r="AV1607" t="str">
            <v>WMWL</v>
          </cell>
          <cell r="AW1607" t="str">
            <v>Clothes Washer</v>
          </cell>
          <cell r="AX1607" t="str">
            <v>WMWLFL</v>
          </cell>
          <cell r="AY1607" t="str">
            <v>Clothes Washer_Front Loader</v>
          </cell>
          <cell r="AZ1607" t="str">
            <v>WMWLFLSC</v>
          </cell>
          <cell r="BA1607" t="str">
            <v>Clothes Washer_Drum(DD)_Steam_24</v>
          </cell>
        </row>
        <row r="1608">
          <cell r="E1608" t="str">
            <v>FX1412N5S.AESPEVN</v>
          </cell>
          <cell r="F1608">
            <v>0</v>
          </cell>
          <cell r="G1608">
            <v>0</v>
          </cell>
          <cell r="H1608">
            <v>0</v>
          </cell>
          <cell r="I1608">
            <v>20</v>
          </cell>
          <cell r="J1608">
            <v>0</v>
          </cell>
          <cell r="K1608">
            <v>2</v>
          </cell>
          <cell r="L1608">
            <v>0</v>
          </cell>
          <cell r="M1608">
            <v>11</v>
          </cell>
          <cell r="N1608">
            <v>7</v>
          </cell>
          <cell r="O1608">
            <v>5</v>
          </cell>
          <cell r="P1608">
            <v>18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 t="str">
            <v>WMPREMIUM</v>
          </cell>
          <cell r="AH1608" t="str">
            <v>WM_Premium</v>
          </cell>
          <cell r="AI1608" t="str">
            <v/>
          </cell>
          <cell r="AJ1608" t="str">
            <v/>
          </cell>
          <cell r="AK1608" t="str">
            <v>0.383328</v>
          </cell>
          <cell r="AL1608" t="str">
            <v>2</v>
          </cell>
          <cell r="AM1608" t="str">
            <v>F</v>
          </cell>
          <cell r="AN1608" t="str">
            <v>M0</v>
          </cell>
          <cell r="AO1608" t="str">
            <v>Active(Model)</v>
          </cell>
          <cell r="AP1608" t="str">
            <v/>
          </cell>
          <cell r="AQ1608" t="str">
            <v/>
          </cell>
          <cell r="AR1608" t="str">
            <v>Y</v>
          </cell>
          <cell r="AS1608" t="str">
            <v/>
          </cell>
          <cell r="AT1608" t="str">
            <v>WM</v>
          </cell>
          <cell r="AU1608" t="str">
            <v>Washing Machine</v>
          </cell>
          <cell r="AV1608" t="str">
            <v>WMWL</v>
          </cell>
          <cell r="AW1608" t="str">
            <v>Clothes Washer</v>
          </cell>
          <cell r="AX1608" t="str">
            <v>WMWLFL</v>
          </cell>
          <cell r="AY1608" t="str">
            <v>Clothes Washer_Front Loader</v>
          </cell>
          <cell r="AZ1608" t="str">
            <v>WMWLFLSC</v>
          </cell>
          <cell r="BA1608" t="str">
            <v>Clothes Washer_Drum(DD)_Steam_24</v>
          </cell>
        </row>
        <row r="1609">
          <cell r="E1609" t="str">
            <v>FX1412S3G.AEGPEVN</v>
          </cell>
          <cell r="F1609">
            <v>0</v>
          </cell>
          <cell r="G1609">
            <v>0</v>
          </cell>
          <cell r="H1609">
            <v>0</v>
          </cell>
          <cell r="I1609">
            <v>1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1</v>
          </cell>
          <cell r="O1609">
            <v>1</v>
          </cell>
          <cell r="P1609">
            <v>1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 t="str">
            <v/>
          </cell>
          <cell r="AH1609" t="str">
            <v/>
          </cell>
          <cell r="AI1609" t="str">
            <v/>
          </cell>
          <cell r="AJ1609" t="str">
            <v/>
          </cell>
          <cell r="AK1609" t="str">
            <v>0.387684</v>
          </cell>
          <cell r="AL1609" t="str">
            <v>2</v>
          </cell>
          <cell r="AM1609" t="str">
            <v>Q</v>
          </cell>
          <cell r="AN1609" t="str">
            <v>M0</v>
          </cell>
          <cell r="AO1609" t="str">
            <v>Active(Model)</v>
          </cell>
          <cell r="AP1609" t="str">
            <v/>
          </cell>
          <cell r="AQ1609" t="str">
            <v/>
          </cell>
          <cell r="AR1609" t="str">
            <v>Y</v>
          </cell>
          <cell r="AS1609" t="str">
            <v/>
          </cell>
          <cell r="AT1609" t="str">
            <v>WM</v>
          </cell>
          <cell r="AU1609" t="str">
            <v>Washing Machine</v>
          </cell>
          <cell r="AV1609" t="str">
            <v>WMWL</v>
          </cell>
          <cell r="AW1609" t="str">
            <v>Clothes Washer</v>
          </cell>
          <cell r="AX1609" t="str">
            <v>WMWLFL</v>
          </cell>
          <cell r="AY1609" t="str">
            <v>Clothes Washer_Front Loader</v>
          </cell>
          <cell r="AZ1609" t="str">
            <v>WMWLFLSC</v>
          </cell>
          <cell r="BA1609" t="str">
            <v>Clothes Washer_Drum(DD)_Steam_24</v>
          </cell>
        </row>
        <row r="1610">
          <cell r="E1610" t="str">
            <v>FX1412S3K.AEBPVVN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1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 t="str">
            <v>WMPREMIUM</v>
          </cell>
          <cell r="AH1610" t="str">
            <v>WM_Premium</v>
          </cell>
          <cell r="AI1610" t="str">
            <v/>
          </cell>
          <cell r="AJ1610" t="str">
            <v/>
          </cell>
          <cell r="AK1610" t="str">
            <v>0.387684</v>
          </cell>
          <cell r="AL1610" t="str">
            <v>2</v>
          </cell>
          <cell r="AM1610" t="str">
            <v>F</v>
          </cell>
          <cell r="AN1610" t="str">
            <v>M0</v>
          </cell>
          <cell r="AO1610" t="str">
            <v>Active(Model)</v>
          </cell>
          <cell r="AP1610" t="str">
            <v/>
          </cell>
          <cell r="AQ1610" t="str">
            <v/>
          </cell>
          <cell r="AR1610" t="str">
            <v>Y</v>
          </cell>
          <cell r="AS1610" t="str">
            <v/>
          </cell>
          <cell r="AT1610" t="str">
            <v>WM</v>
          </cell>
          <cell r="AU1610" t="str">
            <v>Washing Machine</v>
          </cell>
          <cell r="AV1610" t="str">
            <v>WMWL</v>
          </cell>
          <cell r="AW1610" t="str">
            <v>Clothes Washer</v>
          </cell>
          <cell r="AX1610" t="str">
            <v>WMWLFL</v>
          </cell>
          <cell r="AY1610" t="str">
            <v>Clothes Washer_Front Loader</v>
          </cell>
          <cell r="AZ1610" t="str">
            <v>WMWLFLSC</v>
          </cell>
          <cell r="BA1610" t="str">
            <v>Clothes Washer_Drum(DD)_Steam_24</v>
          </cell>
        </row>
        <row r="1611">
          <cell r="E1611" t="str">
            <v>FX1412S3KAV.AEBPEVN</v>
          </cell>
          <cell r="F1611">
            <v>0</v>
          </cell>
          <cell r="G1611">
            <v>0</v>
          </cell>
          <cell r="H1611">
            <v>0</v>
          </cell>
          <cell r="I1611">
            <v>4</v>
          </cell>
          <cell r="J1611">
            <v>0</v>
          </cell>
          <cell r="K1611">
            <v>4</v>
          </cell>
          <cell r="L1611">
            <v>0</v>
          </cell>
          <cell r="M1611">
            <v>1</v>
          </cell>
          <cell r="N1611">
            <v>0</v>
          </cell>
          <cell r="O1611">
            <v>11</v>
          </cell>
          <cell r="P1611">
            <v>1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 t="str">
            <v>WMPREMIUM</v>
          </cell>
          <cell r="AH1611" t="str">
            <v>WM_Premium</v>
          </cell>
          <cell r="AI1611" t="str">
            <v/>
          </cell>
          <cell r="AJ1611" t="str">
            <v/>
          </cell>
          <cell r="AK1611" t="str">
            <v>0.383328</v>
          </cell>
          <cell r="AL1611" t="str">
            <v>2</v>
          </cell>
          <cell r="AM1611" t="str">
            <v>F</v>
          </cell>
          <cell r="AN1611" t="str">
            <v>M0</v>
          </cell>
          <cell r="AO1611" t="str">
            <v>Active(Model)</v>
          </cell>
          <cell r="AP1611" t="str">
            <v/>
          </cell>
          <cell r="AQ1611" t="str">
            <v/>
          </cell>
          <cell r="AR1611" t="str">
            <v>Y</v>
          </cell>
          <cell r="AS1611" t="str">
            <v/>
          </cell>
          <cell r="AT1611" t="str">
            <v>WM</v>
          </cell>
          <cell r="AU1611" t="str">
            <v>Washing Machine</v>
          </cell>
          <cell r="AV1611" t="str">
            <v>WMWL</v>
          </cell>
          <cell r="AW1611" t="str">
            <v>Clothes Washer</v>
          </cell>
          <cell r="AX1611" t="str">
            <v>WMWLFL</v>
          </cell>
          <cell r="AY1611" t="str">
            <v>Clothes Washer_Front Loader</v>
          </cell>
          <cell r="AZ1611" t="str">
            <v>WMWLFLSC</v>
          </cell>
          <cell r="BA1611" t="str">
            <v>Clothes Washer_Drum(DD)_Steam_24</v>
          </cell>
        </row>
        <row r="1612">
          <cell r="E1612" t="str">
            <v>FX1413S3KA.AEBPEVN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45</v>
          </cell>
          <cell r="L1612">
            <v>0</v>
          </cell>
          <cell r="M1612">
            <v>0</v>
          </cell>
          <cell r="N1612">
            <v>0</v>
          </cell>
          <cell r="O1612">
            <v>8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 t="str">
            <v>WMPREMIUM</v>
          </cell>
          <cell r="AH1612" t="str">
            <v>WM_Premium</v>
          </cell>
          <cell r="AI1612" t="str">
            <v/>
          </cell>
          <cell r="AJ1612" t="str">
            <v/>
          </cell>
          <cell r="AK1612" t="str">
            <v>0.414117</v>
          </cell>
          <cell r="AL1612" t="str">
            <v>2</v>
          </cell>
          <cell r="AM1612" t="str">
            <v>Q</v>
          </cell>
          <cell r="AN1612" t="str">
            <v>M0</v>
          </cell>
          <cell r="AO1612" t="str">
            <v>Active(Model)</v>
          </cell>
          <cell r="AP1612" t="str">
            <v/>
          </cell>
          <cell r="AQ1612" t="str">
            <v/>
          </cell>
          <cell r="AR1612" t="str">
            <v>Y</v>
          </cell>
          <cell r="AS1612" t="str">
            <v/>
          </cell>
          <cell r="AT1612" t="str">
            <v>WM</v>
          </cell>
          <cell r="AU1612" t="str">
            <v>Washing Machine</v>
          </cell>
          <cell r="AV1612" t="str">
            <v>WMWL</v>
          </cell>
          <cell r="AW1612" t="str">
            <v>Clothes Washer</v>
          </cell>
          <cell r="AX1612" t="str">
            <v>WMWLFL</v>
          </cell>
          <cell r="AY1612" t="str">
            <v>Clothes Washer_Front Loader</v>
          </cell>
          <cell r="AZ1612" t="str">
            <v>WMWLFLSC</v>
          </cell>
          <cell r="BA1612" t="str">
            <v>Clothes Washer_Drum(DD)_Steam_24</v>
          </cell>
        </row>
        <row r="1613">
          <cell r="E1613" t="str">
            <v>FX1413S5G.AEGPEVN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8</v>
          </cell>
          <cell r="L1613">
            <v>0</v>
          </cell>
          <cell r="M1613">
            <v>0</v>
          </cell>
          <cell r="N1613">
            <v>0</v>
          </cell>
          <cell r="O1613">
            <v>4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 t="str">
            <v/>
          </cell>
          <cell r="AH1613" t="str">
            <v/>
          </cell>
          <cell r="AI1613" t="str">
            <v/>
          </cell>
          <cell r="AJ1613" t="str">
            <v/>
          </cell>
          <cell r="AK1613" t="str">
            <v>0.414117</v>
          </cell>
          <cell r="AL1613" t="str">
            <v>2</v>
          </cell>
          <cell r="AM1613" t="str">
            <v>Q</v>
          </cell>
          <cell r="AN1613" t="str">
            <v>M0</v>
          </cell>
          <cell r="AO1613" t="str">
            <v>Active(Model)</v>
          </cell>
          <cell r="AP1613" t="str">
            <v/>
          </cell>
          <cell r="AQ1613" t="str">
            <v/>
          </cell>
          <cell r="AR1613" t="str">
            <v>Y</v>
          </cell>
          <cell r="AS1613" t="str">
            <v/>
          </cell>
          <cell r="AT1613" t="str">
            <v>WM</v>
          </cell>
          <cell r="AU1613" t="str">
            <v>Washing Machine</v>
          </cell>
          <cell r="AV1613" t="str">
            <v>WMWL</v>
          </cell>
          <cell r="AW1613" t="str">
            <v>Clothes Washer</v>
          </cell>
          <cell r="AX1613" t="str">
            <v>WMWLFL</v>
          </cell>
          <cell r="AY1613" t="str">
            <v>Clothes Washer_Front Loader</v>
          </cell>
          <cell r="AZ1613" t="str">
            <v>WMWLFLSC</v>
          </cell>
          <cell r="BA1613" t="str">
            <v>Clothes Washer_Drum(DD)_Steam_24</v>
          </cell>
        </row>
        <row r="1614">
          <cell r="E1614" t="str">
            <v>FX1414S3KA.AEBPEVN</v>
          </cell>
          <cell r="F1614">
            <v>0</v>
          </cell>
          <cell r="G1614">
            <v>0</v>
          </cell>
          <cell r="H1614">
            <v>0</v>
          </cell>
          <cell r="I1614">
            <v>2</v>
          </cell>
          <cell r="J1614">
            <v>0</v>
          </cell>
          <cell r="K1614">
            <v>12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 t="str">
            <v>WMPREMIUM</v>
          </cell>
          <cell r="AH1614" t="str">
            <v>WM_Premium</v>
          </cell>
          <cell r="AI1614" t="str">
            <v/>
          </cell>
          <cell r="AJ1614" t="str">
            <v/>
          </cell>
          <cell r="AK1614" t="str">
            <v>0.414117</v>
          </cell>
          <cell r="AL1614" t="str">
            <v>2</v>
          </cell>
          <cell r="AM1614" t="str">
            <v>Q</v>
          </cell>
          <cell r="AN1614" t="str">
            <v>M0</v>
          </cell>
          <cell r="AO1614" t="str">
            <v>Active(Model)</v>
          </cell>
          <cell r="AP1614" t="str">
            <v/>
          </cell>
          <cell r="AQ1614" t="str">
            <v/>
          </cell>
          <cell r="AR1614" t="str">
            <v>Y</v>
          </cell>
          <cell r="AS1614" t="str">
            <v/>
          </cell>
          <cell r="AT1614" t="str">
            <v>WM</v>
          </cell>
          <cell r="AU1614" t="str">
            <v>Washing Machine</v>
          </cell>
          <cell r="AV1614" t="str">
            <v>WMWL</v>
          </cell>
          <cell r="AW1614" t="str">
            <v>Clothes Washer</v>
          </cell>
          <cell r="AX1614" t="str">
            <v>WMWLFL</v>
          </cell>
          <cell r="AY1614" t="str">
            <v>Clothes Washer_Front Loader</v>
          </cell>
          <cell r="AZ1614" t="str">
            <v>WMWLFLSC</v>
          </cell>
          <cell r="BA1614" t="str">
            <v>Clothes Washer_Drum(DD)_Steam_24</v>
          </cell>
        </row>
        <row r="1615">
          <cell r="E1615" t="str">
            <v>GN-D372BLA.ABLPEVN</v>
          </cell>
          <cell r="F1615">
            <v>0</v>
          </cell>
          <cell r="G1615">
            <v>0</v>
          </cell>
          <cell r="H1615">
            <v>0</v>
          </cell>
          <cell r="I1615">
            <v>1</v>
          </cell>
          <cell r="J1615">
            <v>0</v>
          </cell>
          <cell r="K1615">
            <v>3</v>
          </cell>
          <cell r="L1615">
            <v>0</v>
          </cell>
          <cell r="M1615">
            <v>0</v>
          </cell>
          <cell r="N1615">
            <v>0</v>
          </cell>
          <cell r="O1615">
            <v>1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 t="str">
            <v>REFPREMIUM</v>
          </cell>
          <cell r="AH1615" t="str">
            <v>REF_Premium</v>
          </cell>
          <cell r="AI1615" t="str">
            <v/>
          </cell>
          <cell r="AJ1615" t="str">
            <v/>
          </cell>
          <cell r="AK1615" t="str">
            <v>0.963295</v>
          </cell>
          <cell r="AL1615" t="str">
            <v>2</v>
          </cell>
          <cell r="AM1615" t="str">
            <v>Q</v>
          </cell>
          <cell r="AN1615" t="str">
            <v>M0</v>
          </cell>
          <cell r="AO1615" t="str">
            <v>Active(Model)</v>
          </cell>
          <cell r="AP1615" t="str">
            <v/>
          </cell>
          <cell r="AQ1615" t="str">
            <v/>
          </cell>
          <cell r="AR1615" t="str">
            <v>Y</v>
          </cell>
          <cell r="AS1615" t="str">
            <v/>
          </cell>
          <cell r="AT1615" t="str">
            <v>RF</v>
          </cell>
          <cell r="AU1615" t="str">
            <v>Refrigerator</v>
          </cell>
          <cell r="AV1615" t="str">
            <v>RFTM</v>
          </cell>
          <cell r="AW1615" t="str">
            <v>TMNF</v>
          </cell>
          <cell r="AX1615" t="str">
            <v>RFTMTM</v>
          </cell>
          <cell r="AY1615" t="str">
            <v>TMNF</v>
          </cell>
          <cell r="AZ1615" t="str">
            <v>RFTMTMLA</v>
          </cell>
          <cell r="BA1615" t="str">
            <v>Large REF</v>
          </cell>
        </row>
        <row r="1616">
          <cell r="E1616" t="str">
            <v>GR-G257BL.AEPPEVN</v>
          </cell>
          <cell r="F1616">
            <v>0</v>
          </cell>
          <cell r="G1616">
            <v>0</v>
          </cell>
          <cell r="H1616">
            <v>0</v>
          </cell>
          <cell r="I1616">
            <v>1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 t="str">
            <v>REFPREPLUS</v>
          </cell>
          <cell r="AH1616" t="str">
            <v>REF_Premium_Plus</v>
          </cell>
          <cell r="AI1616" t="str">
            <v/>
          </cell>
          <cell r="AJ1616" t="str">
            <v/>
          </cell>
          <cell r="AK1616" t="str">
            <v>1.415300</v>
          </cell>
          <cell r="AL1616" t="str">
            <v>2</v>
          </cell>
          <cell r="AM1616" t="str">
            <v>Q</v>
          </cell>
          <cell r="AN1616" t="str">
            <v>M0</v>
          </cell>
          <cell r="AO1616" t="str">
            <v>Active(Model)</v>
          </cell>
          <cell r="AP1616" t="str">
            <v/>
          </cell>
          <cell r="AQ1616" t="str">
            <v/>
          </cell>
          <cell r="AR1616" t="str">
            <v>Y</v>
          </cell>
          <cell r="AS1616" t="str">
            <v/>
          </cell>
          <cell r="AT1616" t="str">
            <v>RF</v>
          </cell>
          <cell r="AU1616" t="str">
            <v>Refrigerator</v>
          </cell>
          <cell r="AV1616" t="str">
            <v>RFSS</v>
          </cell>
          <cell r="AW1616" t="str">
            <v>SxS</v>
          </cell>
          <cell r="AX1616" t="str">
            <v>RFSSSS</v>
          </cell>
          <cell r="AY1616" t="str">
            <v>SxS</v>
          </cell>
          <cell r="AZ1616" t="str">
            <v>RFSSSS25</v>
          </cell>
          <cell r="BA1616" t="str">
            <v>SxS 25CU</v>
          </cell>
        </row>
        <row r="1617">
          <cell r="E1617" t="str">
            <v>GR-G257SV.APYPEVN</v>
          </cell>
          <cell r="F1617">
            <v>0</v>
          </cell>
          <cell r="G1617">
            <v>0</v>
          </cell>
          <cell r="H1617">
            <v>0</v>
          </cell>
          <cell r="I1617">
            <v>2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1</v>
          </cell>
          <cell r="O1617">
            <v>2</v>
          </cell>
          <cell r="P1617">
            <v>1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 t="str">
            <v>REFPREPLUS</v>
          </cell>
          <cell r="AH1617" t="str">
            <v>REF_Premium_Plus</v>
          </cell>
          <cell r="AI1617" t="str">
            <v/>
          </cell>
          <cell r="AJ1617" t="str">
            <v/>
          </cell>
          <cell r="AK1617" t="str">
            <v>1.415300</v>
          </cell>
          <cell r="AL1617" t="str">
            <v>2</v>
          </cell>
          <cell r="AM1617" t="str">
            <v>Q</v>
          </cell>
          <cell r="AN1617" t="str">
            <v>M0</v>
          </cell>
          <cell r="AO1617" t="str">
            <v>Active(Model)</v>
          </cell>
          <cell r="AP1617" t="str">
            <v/>
          </cell>
          <cell r="AQ1617" t="str">
            <v/>
          </cell>
          <cell r="AR1617" t="str">
            <v>Y</v>
          </cell>
          <cell r="AS1617" t="str">
            <v/>
          </cell>
          <cell r="AT1617" t="str">
            <v>RF</v>
          </cell>
          <cell r="AU1617" t="str">
            <v>Refrigerator</v>
          </cell>
          <cell r="AV1617" t="str">
            <v>RFSS</v>
          </cell>
          <cell r="AW1617" t="str">
            <v>SxS</v>
          </cell>
          <cell r="AX1617" t="str">
            <v>RFSSSS</v>
          </cell>
          <cell r="AY1617" t="str">
            <v>SxS</v>
          </cell>
          <cell r="AZ1617" t="str">
            <v>RFSSSS25</v>
          </cell>
          <cell r="BA1617" t="str">
            <v>SxS 25CU</v>
          </cell>
        </row>
        <row r="1618">
          <cell r="E1618" t="str">
            <v>GR-X257BG.AEEPEVN</v>
          </cell>
          <cell r="F1618">
            <v>0</v>
          </cell>
          <cell r="G1618">
            <v>0</v>
          </cell>
          <cell r="H1618">
            <v>0</v>
          </cell>
          <cell r="I1618">
            <v>3</v>
          </cell>
          <cell r="J1618">
            <v>0</v>
          </cell>
          <cell r="K1618">
            <v>6</v>
          </cell>
          <cell r="L1618">
            <v>0</v>
          </cell>
          <cell r="M1618">
            <v>1</v>
          </cell>
          <cell r="N1618">
            <v>0</v>
          </cell>
          <cell r="O1618">
            <v>0</v>
          </cell>
          <cell r="P1618">
            <v>1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1</v>
          </cell>
          <cell r="AE1618">
            <v>0</v>
          </cell>
          <cell r="AF1618">
            <v>1</v>
          </cell>
          <cell r="AG1618" t="str">
            <v>REFPREPLUS</v>
          </cell>
          <cell r="AH1618" t="str">
            <v>REF_Premium_Plus</v>
          </cell>
          <cell r="AI1618" t="str">
            <v/>
          </cell>
          <cell r="AJ1618" t="str">
            <v/>
          </cell>
          <cell r="AK1618" t="str">
            <v>1.415300</v>
          </cell>
          <cell r="AL1618" t="str">
            <v>2</v>
          </cell>
          <cell r="AM1618" t="str">
            <v>Q</v>
          </cell>
          <cell r="AN1618" t="str">
            <v>M0</v>
          </cell>
          <cell r="AO1618" t="str">
            <v>Active(Model)</v>
          </cell>
          <cell r="AP1618" t="str">
            <v/>
          </cell>
          <cell r="AQ1618" t="str">
            <v/>
          </cell>
          <cell r="AR1618" t="str">
            <v>Y</v>
          </cell>
          <cell r="AS1618" t="str">
            <v/>
          </cell>
          <cell r="AT1618" t="str">
            <v>RF</v>
          </cell>
          <cell r="AU1618" t="str">
            <v>Refrigerator</v>
          </cell>
          <cell r="AV1618" t="str">
            <v>RFSS</v>
          </cell>
          <cell r="AW1618" t="str">
            <v>SxS</v>
          </cell>
          <cell r="AX1618" t="str">
            <v>RFSSSS</v>
          </cell>
          <cell r="AY1618" t="str">
            <v>SxS</v>
          </cell>
          <cell r="AZ1618" t="str">
            <v>RFSSSS25</v>
          </cell>
          <cell r="BA1618" t="str">
            <v>SxS 25CU</v>
          </cell>
        </row>
        <row r="1619">
          <cell r="E1619" t="str">
            <v>GR-X257BL.AEPPEVN</v>
          </cell>
          <cell r="F1619">
            <v>0</v>
          </cell>
          <cell r="G1619">
            <v>0</v>
          </cell>
          <cell r="H1619">
            <v>0</v>
          </cell>
          <cell r="I1619">
            <v>4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 t="str">
            <v>REFPREPLUS</v>
          </cell>
          <cell r="AH1619" t="str">
            <v>REF_Premium_Plus</v>
          </cell>
          <cell r="AI1619" t="str">
            <v/>
          </cell>
          <cell r="AJ1619" t="str">
            <v/>
          </cell>
          <cell r="AK1619" t="str">
            <v>1.415300</v>
          </cell>
          <cell r="AL1619" t="str">
            <v>2</v>
          </cell>
          <cell r="AM1619" t="str">
            <v>Q</v>
          </cell>
          <cell r="AN1619" t="str">
            <v>M0</v>
          </cell>
          <cell r="AO1619" t="str">
            <v>Active(Model)</v>
          </cell>
          <cell r="AP1619" t="str">
            <v/>
          </cell>
          <cell r="AQ1619" t="str">
            <v/>
          </cell>
          <cell r="AR1619" t="str">
            <v>Y</v>
          </cell>
          <cell r="AS1619" t="str">
            <v/>
          </cell>
          <cell r="AT1619" t="str">
            <v>RF</v>
          </cell>
          <cell r="AU1619" t="str">
            <v>Refrigerator</v>
          </cell>
          <cell r="AV1619" t="str">
            <v>RFSS</v>
          </cell>
          <cell r="AW1619" t="str">
            <v>SxS</v>
          </cell>
          <cell r="AX1619" t="str">
            <v>RFSSSS</v>
          </cell>
          <cell r="AY1619" t="str">
            <v>SxS</v>
          </cell>
          <cell r="AZ1619" t="str">
            <v>RFSSSS25</v>
          </cell>
          <cell r="BA1619" t="str">
            <v>SxS 25CU</v>
          </cell>
        </row>
        <row r="1620">
          <cell r="E1620" t="str">
            <v>GRAB.AVNMLBK</v>
          </cell>
          <cell r="F1620">
            <v>0</v>
          </cell>
          <cell r="G1620">
            <v>0</v>
          </cell>
          <cell r="H1620">
            <v>0</v>
          </cell>
          <cell r="I1620">
            <v>2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 t="str">
            <v/>
          </cell>
          <cell r="AH1620" t="str">
            <v/>
          </cell>
          <cell r="AI1620" t="str">
            <v/>
          </cell>
          <cell r="AJ1620" t="str">
            <v/>
          </cell>
          <cell r="AK1620" t="str">
            <v>0.002842</v>
          </cell>
          <cell r="AL1620" t="str">
            <v>0</v>
          </cell>
          <cell r="AM1620" t="str">
            <v>Q</v>
          </cell>
          <cell r="AN1620" t="str">
            <v>M0</v>
          </cell>
          <cell r="AO1620" t="str">
            <v>Active(Model)</v>
          </cell>
          <cell r="AP1620" t="str">
            <v/>
          </cell>
          <cell r="AQ1620" t="str">
            <v/>
          </cell>
          <cell r="AR1620" t="str">
            <v>Y</v>
          </cell>
          <cell r="AS1620" t="str">
            <v/>
          </cell>
          <cell r="AT1620" t="str">
            <v>AO</v>
          </cell>
          <cell r="AU1620" t="str">
            <v>AO</v>
          </cell>
          <cell r="AV1620" t="str">
            <v>AOAA</v>
          </cell>
          <cell r="AW1620" t="str">
            <v>Home Audio_OS</v>
          </cell>
          <cell r="AX1620" t="str">
            <v>AOAADS</v>
          </cell>
          <cell r="AY1620" t="str">
            <v>Wireless Speaker_OS</v>
          </cell>
          <cell r="AZ1620" t="str">
            <v>AOAADSPS</v>
          </cell>
          <cell r="BA1620" t="str">
            <v>Bluetooth Speaker_OS</v>
          </cell>
        </row>
        <row r="1621">
          <cell r="E1621" t="str">
            <v>IDC09B2N.ATYGEVH</v>
          </cell>
          <cell r="F1621">
            <v>0</v>
          </cell>
          <cell r="G1621">
            <v>0</v>
          </cell>
          <cell r="H1621">
            <v>0</v>
          </cell>
          <cell r="I1621">
            <v>4</v>
          </cell>
          <cell r="J1621">
            <v>1</v>
          </cell>
          <cell r="K1621">
            <v>7</v>
          </cell>
          <cell r="L1621">
            <v>0</v>
          </cell>
          <cell r="M1621">
            <v>1</v>
          </cell>
          <cell r="N1621">
            <v>3</v>
          </cell>
          <cell r="O1621">
            <v>1</v>
          </cell>
          <cell r="P1621">
            <v>4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 t="str">
            <v>RACPREMIUM</v>
          </cell>
          <cell r="AH1621" t="str">
            <v>RAC_Premium</v>
          </cell>
          <cell r="AI1621" t="str">
            <v/>
          </cell>
          <cell r="AJ1621" t="str">
            <v/>
          </cell>
          <cell r="AK1621" t="str">
            <v>0.097743</v>
          </cell>
          <cell r="AL1621" t="str">
            <v>0</v>
          </cell>
          <cell r="AM1621" t="str">
            <v>Q</v>
          </cell>
          <cell r="AN1621" t="str">
            <v>M0</v>
          </cell>
          <cell r="AO1621" t="str">
            <v>Active(Model)</v>
          </cell>
          <cell r="AP1621" t="str">
            <v/>
          </cell>
          <cell r="AQ1621" t="str">
            <v/>
          </cell>
          <cell r="AR1621" t="str">
            <v>Y</v>
          </cell>
          <cell r="AS1621" t="str">
            <v/>
          </cell>
          <cell r="AT1621" t="str">
            <v>AC</v>
          </cell>
          <cell r="AU1621" t="str">
            <v>Airconditioner</v>
          </cell>
          <cell r="AV1621" t="str">
            <v>ACSR</v>
          </cell>
          <cell r="AW1621" t="str">
            <v>SRAC</v>
          </cell>
          <cell r="AX1621" t="str">
            <v>ACSRIV</v>
          </cell>
          <cell r="AY1621" t="str">
            <v>Inverter</v>
          </cell>
          <cell r="AZ1621" t="str">
            <v>ACSRIVSN</v>
          </cell>
          <cell r="BA1621" t="str">
            <v>Inverter Single Split Wall_I/D</v>
          </cell>
        </row>
        <row r="1622">
          <cell r="E1622" t="str">
            <v>IDC09B2U.ATYGEVH</v>
          </cell>
          <cell r="F1622">
            <v>0</v>
          </cell>
          <cell r="G1622">
            <v>0</v>
          </cell>
          <cell r="H1622">
            <v>0</v>
          </cell>
          <cell r="I1622">
            <v>8</v>
          </cell>
          <cell r="J1622">
            <v>1</v>
          </cell>
          <cell r="K1622">
            <v>7</v>
          </cell>
          <cell r="L1622">
            <v>0</v>
          </cell>
          <cell r="M1622">
            <v>1</v>
          </cell>
          <cell r="N1622">
            <v>3</v>
          </cell>
          <cell r="O1622">
            <v>1</v>
          </cell>
          <cell r="P1622">
            <v>4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 t="str">
            <v>RACPREMIUM</v>
          </cell>
          <cell r="AH1622" t="str">
            <v>RAC_Premium</v>
          </cell>
          <cell r="AI1622" t="str">
            <v/>
          </cell>
          <cell r="AJ1622" t="str">
            <v/>
          </cell>
          <cell r="AK1622" t="str">
            <v>0.142216</v>
          </cell>
          <cell r="AL1622" t="str">
            <v>0</v>
          </cell>
          <cell r="AM1622" t="str">
            <v>Q</v>
          </cell>
          <cell r="AN1622" t="str">
            <v>M0</v>
          </cell>
          <cell r="AO1622" t="str">
            <v>Active(Model)</v>
          </cell>
          <cell r="AP1622" t="str">
            <v/>
          </cell>
          <cell r="AQ1622" t="str">
            <v/>
          </cell>
          <cell r="AR1622" t="str">
            <v>Y</v>
          </cell>
          <cell r="AS1622" t="str">
            <v/>
          </cell>
          <cell r="AT1622" t="str">
            <v>AC</v>
          </cell>
          <cell r="AU1622" t="str">
            <v>Airconditioner</v>
          </cell>
          <cell r="AV1622" t="str">
            <v>ACSR</v>
          </cell>
          <cell r="AW1622" t="str">
            <v>SRAC</v>
          </cell>
          <cell r="AX1622" t="str">
            <v>ACSRIV</v>
          </cell>
          <cell r="AY1622" t="str">
            <v>Inverter</v>
          </cell>
          <cell r="AZ1622" t="str">
            <v>ACSRIVSU</v>
          </cell>
          <cell r="BA1622" t="str">
            <v>Inverter Single Split Wall_O/D</v>
          </cell>
        </row>
        <row r="1623">
          <cell r="E1623" t="str">
            <v>IDC09M2N.ATYGEVH</v>
          </cell>
          <cell r="F1623">
            <v>0</v>
          </cell>
          <cell r="G1623">
            <v>0</v>
          </cell>
          <cell r="H1623">
            <v>0</v>
          </cell>
          <cell r="I1623">
            <v>17</v>
          </cell>
          <cell r="J1623">
            <v>1</v>
          </cell>
          <cell r="K1623">
            <v>77</v>
          </cell>
          <cell r="L1623">
            <v>0</v>
          </cell>
          <cell r="M1623">
            <v>1</v>
          </cell>
          <cell r="N1623">
            <v>8</v>
          </cell>
          <cell r="O1623">
            <v>0</v>
          </cell>
          <cell r="P1623">
            <v>9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 t="str">
            <v>RACPREMIUM</v>
          </cell>
          <cell r="AH1623" t="str">
            <v>RAC_Premium</v>
          </cell>
          <cell r="AI1623" t="str">
            <v/>
          </cell>
          <cell r="AJ1623" t="str">
            <v/>
          </cell>
          <cell r="AK1623" t="str">
            <v>0.097743</v>
          </cell>
          <cell r="AL1623" t="str">
            <v>0</v>
          </cell>
          <cell r="AM1623" t="str">
            <v>Q</v>
          </cell>
          <cell r="AN1623" t="str">
            <v>M0</v>
          </cell>
          <cell r="AO1623" t="str">
            <v>Active(Model)</v>
          </cell>
          <cell r="AP1623" t="str">
            <v/>
          </cell>
          <cell r="AQ1623" t="str">
            <v/>
          </cell>
          <cell r="AR1623" t="str">
            <v>Y</v>
          </cell>
          <cell r="AS1623" t="str">
            <v/>
          </cell>
          <cell r="AT1623" t="str">
            <v>AC</v>
          </cell>
          <cell r="AU1623" t="str">
            <v>Airconditioner</v>
          </cell>
          <cell r="AV1623" t="str">
            <v>ACSR</v>
          </cell>
          <cell r="AW1623" t="str">
            <v>SRAC</v>
          </cell>
          <cell r="AX1623" t="str">
            <v>ACSRIV</v>
          </cell>
          <cell r="AY1623" t="str">
            <v>Inverter</v>
          </cell>
          <cell r="AZ1623" t="str">
            <v>ACSRIVSN</v>
          </cell>
          <cell r="BA1623" t="str">
            <v>Inverter Single Split Wall_I/D</v>
          </cell>
        </row>
        <row r="1624">
          <cell r="E1624" t="str">
            <v>IDC09M2U.ATYGEVH</v>
          </cell>
          <cell r="F1624">
            <v>0</v>
          </cell>
          <cell r="G1624">
            <v>0</v>
          </cell>
          <cell r="H1624">
            <v>0</v>
          </cell>
          <cell r="I1624">
            <v>18</v>
          </cell>
          <cell r="J1624">
            <v>1</v>
          </cell>
          <cell r="K1624">
            <v>77</v>
          </cell>
          <cell r="L1624">
            <v>0</v>
          </cell>
          <cell r="M1624">
            <v>1</v>
          </cell>
          <cell r="N1624">
            <v>8</v>
          </cell>
          <cell r="O1624">
            <v>0</v>
          </cell>
          <cell r="P1624">
            <v>9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 t="str">
            <v>RACPREMIUM</v>
          </cell>
          <cell r="AH1624" t="str">
            <v>RAC_Premium</v>
          </cell>
          <cell r="AI1624" t="str">
            <v/>
          </cell>
          <cell r="AJ1624" t="str">
            <v/>
          </cell>
          <cell r="AK1624" t="str">
            <v>0.142216</v>
          </cell>
          <cell r="AL1624" t="str">
            <v>0</v>
          </cell>
          <cell r="AM1624" t="str">
            <v>Q</v>
          </cell>
          <cell r="AN1624" t="str">
            <v>M0</v>
          </cell>
          <cell r="AO1624" t="str">
            <v>Active(Model)</v>
          </cell>
          <cell r="AP1624" t="str">
            <v/>
          </cell>
          <cell r="AQ1624" t="str">
            <v/>
          </cell>
          <cell r="AR1624" t="str">
            <v>Y</v>
          </cell>
          <cell r="AS1624" t="str">
            <v/>
          </cell>
          <cell r="AT1624" t="str">
            <v>AC</v>
          </cell>
          <cell r="AU1624" t="str">
            <v>Airconditioner</v>
          </cell>
          <cell r="AV1624" t="str">
            <v>ACSR</v>
          </cell>
          <cell r="AW1624" t="str">
            <v>SRAC</v>
          </cell>
          <cell r="AX1624" t="str">
            <v>ACSRIV</v>
          </cell>
          <cell r="AY1624" t="str">
            <v>Inverter</v>
          </cell>
          <cell r="AZ1624" t="str">
            <v>ACSRIVSU</v>
          </cell>
          <cell r="BA1624" t="str">
            <v>Inverter Single Split Wall_O/D</v>
          </cell>
        </row>
        <row r="1625">
          <cell r="E1625" t="str">
            <v>IDC12B2N.ATYGEVH</v>
          </cell>
          <cell r="F1625">
            <v>0</v>
          </cell>
          <cell r="G1625">
            <v>0</v>
          </cell>
          <cell r="H1625">
            <v>0</v>
          </cell>
          <cell r="I1625">
            <v>6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4</v>
          </cell>
          <cell r="O1625">
            <v>0</v>
          </cell>
          <cell r="P1625">
            <v>4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 t="str">
            <v>RACPREMIUM</v>
          </cell>
          <cell r="AH1625" t="str">
            <v>RAC_Premium</v>
          </cell>
          <cell r="AI1625" t="str">
            <v/>
          </cell>
          <cell r="AJ1625" t="str">
            <v/>
          </cell>
          <cell r="AK1625" t="str">
            <v>0.097743</v>
          </cell>
          <cell r="AL1625" t="str">
            <v>0</v>
          </cell>
          <cell r="AM1625" t="str">
            <v>Q</v>
          </cell>
          <cell r="AN1625" t="str">
            <v>M0</v>
          </cell>
          <cell r="AO1625" t="str">
            <v>Active(Model)</v>
          </cell>
          <cell r="AP1625" t="str">
            <v/>
          </cell>
          <cell r="AQ1625" t="str">
            <v/>
          </cell>
          <cell r="AR1625" t="str">
            <v>Y</v>
          </cell>
          <cell r="AS1625" t="str">
            <v/>
          </cell>
          <cell r="AT1625" t="str">
            <v>AC</v>
          </cell>
          <cell r="AU1625" t="str">
            <v>Airconditioner</v>
          </cell>
          <cell r="AV1625" t="str">
            <v>ACSR</v>
          </cell>
          <cell r="AW1625" t="str">
            <v>SRAC</v>
          </cell>
          <cell r="AX1625" t="str">
            <v>ACSRIV</v>
          </cell>
          <cell r="AY1625" t="str">
            <v>Inverter</v>
          </cell>
          <cell r="AZ1625" t="str">
            <v>ACSRIVSN</v>
          </cell>
          <cell r="BA1625" t="str">
            <v>Inverter Single Split Wall_I/D</v>
          </cell>
        </row>
        <row r="1626">
          <cell r="E1626" t="str">
            <v>IDC12B2U.ATYGEVH</v>
          </cell>
          <cell r="F1626">
            <v>1</v>
          </cell>
          <cell r="G1626">
            <v>0</v>
          </cell>
          <cell r="H1626">
            <v>0</v>
          </cell>
          <cell r="I1626">
            <v>7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4</v>
          </cell>
          <cell r="O1626">
            <v>0</v>
          </cell>
          <cell r="P1626">
            <v>4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 t="str">
            <v>RACPREMIUM</v>
          </cell>
          <cell r="AH1626" t="str">
            <v>RAC_Premium</v>
          </cell>
          <cell r="AI1626" t="str">
            <v/>
          </cell>
          <cell r="AJ1626" t="str">
            <v/>
          </cell>
          <cell r="AK1626" t="str">
            <v>0.142216</v>
          </cell>
          <cell r="AL1626" t="str">
            <v>0</v>
          </cell>
          <cell r="AM1626" t="str">
            <v>Q</v>
          </cell>
          <cell r="AN1626" t="str">
            <v>M0</v>
          </cell>
          <cell r="AO1626" t="str">
            <v>Active(Model)</v>
          </cell>
          <cell r="AP1626" t="str">
            <v/>
          </cell>
          <cell r="AQ1626" t="str">
            <v/>
          </cell>
          <cell r="AR1626" t="str">
            <v>Y</v>
          </cell>
          <cell r="AS1626" t="str">
            <v/>
          </cell>
          <cell r="AT1626" t="str">
            <v>AC</v>
          </cell>
          <cell r="AU1626" t="str">
            <v>Airconditioner</v>
          </cell>
          <cell r="AV1626" t="str">
            <v>ACSR</v>
          </cell>
          <cell r="AW1626" t="str">
            <v>SRAC</v>
          </cell>
          <cell r="AX1626" t="str">
            <v>ACSRIV</v>
          </cell>
          <cell r="AY1626" t="str">
            <v>Inverter</v>
          </cell>
          <cell r="AZ1626" t="str">
            <v>ACSRIVSU</v>
          </cell>
          <cell r="BA1626" t="str">
            <v>Inverter Single Split Wall_O/D</v>
          </cell>
        </row>
        <row r="1627">
          <cell r="E1627" t="str">
            <v>IDC12M1U.ATYGEVH</v>
          </cell>
          <cell r="F1627">
            <v>1</v>
          </cell>
          <cell r="G1627">
            <v>0</v>
          </cell>
          <cell r="H1627">
            <v>0</v>
          </cell>
          <cell r="I1627">
            <v>1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 t="str">
            <v>RACPREMIUM</v>
          </cell>
          <cell r="AH1627" t="str">
            <v>RAC_Premium</v>
          </cell>
          <cell r="AI1627" t="str">
            <v/>
          </cell>
          <cell r="AJ1627" t="str">
            <v/>
          </cell>
          <cell r="AK1627" t="str">
            <v>0.142216</v>
          </cell>
          <cell r="AL1627" t="str">
            <v>0</v>
          </cell>
          <cell r="AM1627" t="str">
            <v>Q</v>
          </cell>
          <cell r="AN1627" t="str">
            <v>M0</v>
          </cell>
          <cell r="AO1627" t="str">
            <v>Active(Model)</v>
          </cell>
          <cell r="AP1627" t="str">
            <v/>
          </cell>
          <cell r="AQ1627" t="str">
            <v/>
          </cell>
          <cell r="AR1627" t="str">
            <v>Y</v>
          </cell>
          <cell r="AS1627" t="str">
            <v/>
          </cell>
          <cell r="AT1627" t="str">
            <v>AC</v>
          </cell>
          <cell r="AU1627" t="str">
            <v>Airconditioner</v>
          </cell>
          <cell r="AV1627" t="str">
            <v>ACSR</v>
          </cell>
          <cell r="AW1627" t="str">
            <v>SRAC</v>
          </cell>
          <cell r="AX1627" t="str">
            <v>ACSRIV</v>
          </cell>
          <cell r="AY1627" t="str">
            <v>Inverter</v>
          </cell>
          <cell r="AZ1627" t="str">
            <v>ACSRIVSU</v>
          </cell>
          <cell r="BA1627" t="str">
            <v>Inverter Single Split Wall_O/D</v>
          </cell>
        </row>
        <row r="1628">
          <cell r="E1628" t="str">
            <v>IDC12M2N.ATYGEVH</v>
          </cell>
          <cell r="F1628">
            <v>0</v>
          </cell>
          <cell r="G1628">
            <v>0</v>
          </cell>
          <cell r="H1628">
            <v>0</v>
          </cell>
          <cell r="I1628">
            <v>11</v>
          </cell>
          <cell r="J1628">
            <v>2</v>
          </cell>
          <cell r="K1628">
            <v>40</v>
          </cell>
          <cell r="L1628">
            <v>0</v>
          </cell>
          <cell r="M1628">
            <v>1</v>
          </cell>
          <cell r="N1628">
            <v>4</v>
          </cell>
          <cell r="O1628">
            <v>0</v>
          </cell>
          <cell r="P1628">
            <v>5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 t="str">
            <v>RACPREMIUM</v>
          </cell>
          <cell r="AH1628" t="str">
            <v>RAC_Premium</v>
          </cell>
          <cell r="AI1628" t="str">
            <v/>
          </cell>
          <cell r="AJ1628" t="str">
            <v/>
          </cell>
          <cell r="AK1628" t="str">
            <v>0.097743</v>
          </cell>
          <cell r="AL1628" t="str">
            <v>0</v>
          </cell>
          <cell r="AM1628" t="str">
            <v>Q</v>
          </cell>
          <cell r="AN1628" t="str">
            <v>M0</v>
          </cell>
          <cell r="AO1628" t="str">
            <v>Active(Model)</v>
          </cell>
          <cell r="AP1628" t="str">
            <v/>
          </cell>
          <cell r="AQ1628" t="str">
            <v/>
          </cell>
          <cell r="AR1628" t="str">
            <v>Y</v>
          </cell>
          <cell r="AS1628" t="str">
            <v/>
          </cell>
          <cell r="AT1628" t="str">
            <v>AC</v>
          </cell>
          <cell r="AU1628" t="str">
            <v>Airconditioner</v>
          </cell>
          <cell r="AV1628" t="str">
            <v>ACSR</v>
          </cell>
          <cell r="AW1628" t="str">
            <v>SRAC</v>
          </cell>
          <cell r="AX1628" t="str">
            <v>ACSRIV</v>
          </cell>
          <cell r="AY1628" t="str">
            <v>Inverter</v>
          </cell>
          <cell r="AZ1628" t="str">
            <v>ACSRIVSN</v>
          </cell>
          <cell r="BA1628" t="str">
            <v>Inverter Single Split Wall_I/D</v>
          </cell>
        </row>
        <row r="1629">
          <cell r="E1629" t="str">
            <v>IDC12M2U.ATYGEVH</v>
          </cell>
          <cell r="F1629">
            <v>0</v>
          </cell>
          <cell r="G1629">
            <v>0</v>
          </cell>
          <cell r="H1629">
            <v>0</v>
          </cell>
          <cell r="I1629">
            <v>11</v>
          </cell>
          <cell r="J1629">
            <v>2</v>
          </cell>
          <cell r="K1629">
            <v>40</v>
          </cell>
          <cell r="L1629">
            <v>0</v>
          </cell>
          <cell r="M1629">
            <v>1</v>
          </cell>
          <cell r="N1629">
            <v>4</v>
          </cell>
          <cell r="O1629">
            <v>0</v>
          </cell>
          <cell r="P1629">
            <v>5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 t="str">
            <v>RACPREMIUM</v>
          </cell>
          <cell r="AH1629" t="str">
            <v>RAC_Premium</v>
          </cell>
          <cell r="AI1629" t="str">
            <v/>
          </cell>
          <cell r="AJ1629" t="str">
            <v/>
          </cell>
          <cell r="AK1629" t="str">
            <v>0.142216</v>
          </cell>
          <cell r="AL1629" t="str">
            <v>0</v>
          </cell>
          <cell r="AM1629" t="str">
            <v>Q</v>
          </cell>
          <cell r="AN1629" t="str">
            <v>M0</v>
          </cell>
          <cell r="AO1629" t="str">
            <v>Active(Model)</v>
          </cell>
          <cell r="AP1629" t="str">
            <v/>
          </cell>
          <cell r="AQ1629" t="str">
            <v/>
          </cell>
          <cell r="AR1629" t="str">
            <v>Y</v>
          </cell>
          <cell r="AS1629" t="str">
            <v/>
          </cell>
          <cell r="AT1629" t="str">
            <v>AC</v>
          </cell>
          <cell r="AU1629" t="str">
            <v>Airconditioner</v>
          </cell>
          <cell r="AV1629" t="str">
            <v>ACSR</v>
          </cell>
          <cell r="AW1629" t="str">
            <v>SRAC</v>
          </cell>
          <cell r="AX1629" t="str">
            <v>ACSRIV</v>
          </cell>
          <cell r="AY1629" t="str">
            <v>Inverter</v>
          </cell>
          <cell r="AZ1629" t="str">
            <v>ACSRIVSU</v>
          </cell>
          <cell r="BA1629" t="str">
            <v>Inverter Single Split Wall_O/D</v>
          </cell>
        </row>
        <row r="1630">
          <cell r="E1630" t="str">
            <v>IDH09M1N.ATYGEVH</v>
          </cell>
          <cell r="F1630">
            <v>0</v>
          </cell>
          <cell r="G1630">
            <v>0</v>
          </cell>
          <cell r="H1630">
            <v>0</v>
          </cell>
          <cell r="I1630">
            <v>2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1</v>
          </cell>
          <cell r="O1630">
            <v>0</v>
          </cell>
          <cell r="P1630">
            <v>1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 t="str">
            <v>RACPREMIUM</v>
          </cell>
          <cell r="AH1630" t="str">
            <v>RAC_Premium</v>
          </cell>
          <cell r="AI1630" t="str">
            <v/>
          </cell>
          <cell r="AJ1630" t="str">
            <v/>
          </cell>
          <cell r="AK1630" t="str">
            <v>0.097743</v>
          </cell>
          <cell r="AL1630" t="str">
            <v>0</v>
          </cell>
          <cell r="AM1630" t="str">
            <v>Q</v>
          </cell>
          <cell r="AN1630" t="str">
            <v>M0</v>
          </cell>
          <cell r="AO1630" t="str">
            <v>Active(Model)</v>
          </cell>
          <cell r="AP1630" t="str">
            <v/>
          </cell>
          <cell r="AQ1630" t="str">
            <v/>
          </cell>
          <cell r="AR1630" t="str">
            <v>Y</v>
          </cell>
          <cell r="AS1630" t="str">
            <v/>
          </cell>
          <cell r="AT1630" t="str">
            <v>AC</v>
          </cell>
          <cell r="AU1630" t="str">
            <v>Airconditioner</v>
          </cell>
          <cell r="AV1630" t="str">
            <v>ACSR</v>
          </cell>
          <cell r="AW1630" t="str">
            <v>SRAC</v>
          </cell>
          <cell r="AX1630" t="str">
            <v>ACSRIV</v>
          </cell>
          <cell r="AY1630" t="str">
            <v>Inverter</v>
          </cell>
          <cell r="AZ1630" t="str">
            <v>ACSRIVSN</v>
          </cell>
          <cell r="BA1630" t="str">
            <v>Inverter Single Split Wall_I/D</v>
          </cell>
        </row>
        <row r="1631">
          <cell r="E1631" t="str">
            <v>IDH09M1U.ATYGEVH</v>
          </cell>
          <cell r="F1631">
            <v>0</v>
          </cell>
          <cell r="G1631">
            <v>0</v>
          </cell>
          <cell r="H1631">
            <v>0</v>
          </cell>
          <cell r="I1631">
            <v>2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1</v>
          </cell>
          <cell r="O1631">
            <v>0</v>
          </cell>
          <cell r="P1631">
            <v>1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 t="str">
            <v>RACPREMIUM</v>
          </cell>
          <cell r="AH1631" t="str">
            <v>RAC_Premium</v>
          </cell>
          <cell r="AI1631" t="str">
            <v/>
          </cell>
          <cell r="AJ1631" t="str">
            <v/>
          </cell>
          <cell r="AK1631" t="str">
            <v>0.142216</v>
          </cell>
          <cell r="AL1631" t="str">
            <v>0</v>
          </cell>
          <cell r="AM1631" t="str">
            <v>Q</v>
          </cell>
          <cell r="AN1631" t="str">
            <v>M0</v>
          </cell>
          <cell r="AO1631" t="str">
            <v>Active(Model)</v>
          </cell>
          <cell r="AP1631" t="str">
            <v/>
          </cell>
          <cell r="AQ1631" t="str">
            <v/>
          </cell>
          <cell r="AR1631" t="str">
            <v>Y</v>
          </cell>
          <cell r="AS1631" t="str">
            <v/>
          </cell>
          <cell r="AT1631" t="str">
            <v>AC</v>
          </cell>
          <cell r="AU1631" t="str">
            <v>Airconditioner</v>
          </cell>
          <cell r="AV1631" t="str">
            <v>ACSR</v>
          </cell>
          <cell r="AW1631" t="str">
            <v>SRAC</v>
          </cell>
          <cell r="AX1631" t="str">
            <v>ACSRIV</v>
          </cell>
          <cell r="AY1631" t="str">
            <v>Inverter</v>
          </cell>
          <cell r="AZ1631" t="str">
            <v>ACSRIVSU</v>
          </cell>
          <cell r="BA1631" t="str">
            <v>Inverter Single Split Wall_O/D</v>
          </cell>
        </row>
        <row r="1632">
          <cell r="E1632" t="str">
            <v>IDH12M1N.ATYGEVH</v>
          </cell>
          <cell r="F1632">
            <v>2</v>
          </cell>
          <cell r="G1632">
            <v>0</v>
          </cell>
          <cell r="H1632">
            <v>0</v>
          </cell>
          <cell r="I1632">
            <v>4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 t="str">
            <v>RACPREMIUM</v>
          </cell>
          <cell r="AH1632" t="str">
            <v>RAC_Premium</v>
          </cell>
          <cell r="AI1632" t="str">
            <v/>
          </cell>
          <cell r="AJ1632" t="str">
            <v/>
          </cell>
          <cell r="AK1632" t="str">
            <v>0.097743</v>
          </cell>
          <cell r="AL1632" t="str">
            <v>0</v>
          </cell>
          <cell r="AM1632" t="str">
            <v>Q</v>
          </cell>
          <cell r="AN1632" t="str">
            <v>M0</v>
          </cell>
          <cell r="AO1632" t="str">
            <v>Active(Model)</v>
          </cell>
          <cell r="AP1632" t="str">
            <v/>
          </cell>
          <cell r="AQ1632" t="str">
            <v/>
          </cell>
          <cell r="AR1632" t="str">
            <v>Y</v>
          </cell>
          <cell r="AS1632" t="str">
            <v/>
          </cell>
          <cell r="AT1632" t="str">
            <v>AC</v>
          </cell>
          <cell r="AU1632" t="str">
            <v>Airconditioner</v>
          </cell>
          <cell r="AV1632" t="str">
            <v>ACSR</v>
          </cell>
          <cell r="AW1632" t="str">
            <v>SRAC</v>
          </cell>
          <cell r="AX1632" t="str">
            <v>ACSRIV</v>
          </cell>
          <cell r="AY1632" t="str">
            <v>Inverter</v>
          </cell>
          <cell r="AZ1632" t="str">
            <v>ACSRIVSN</v>
          </cell>
          <cell r="BA1632" t="str">
            <v>Inverter Single Split Wall_I/D</v>
          </cell>
        </row>
        <row r="1633">
          <cell r="E1633" t="str">
            <v>IDH12M1U.ATYGEVH</v>
          </cell>
          <cell r="F1633">
            <v>2</v>
          </cell>
          <cell r="G1633">
            <v>0</v>
          </cell>
          <cell r="H1633">
            <v>0</v>
          </cell>
          <cell r="I1633">
            <v>4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 t="str">
            <v>RACPREMIUM</v>
          </cell>
          <cell r="AH1633" t="str">
            <v>RAC_Premium</v>
          </cell>
          <cell r="AI1633" t="str">
            <v/>
          </cell>
          <cell r="AJ1633" t="str">
            <v/>
          </cell>
          <cell r="AK1633" t="str">
            <v>0.142216</v>
          </cell>
          <cell r="AL1633" t="str">
            <v>0</v>
          </cell>
          <cell r="AM1633" t="str">
            <v>Q</v>
          </cell>
          <cell r="AN1633" t="str">
            <v>M0</v>
          </cell>
          <cell r="AO1633" t="str">
            <v>Active(Model)</v>
          </cell>
          <cell r="AP1633" t="str">
            <v/>
          </cell>
          <cell r="AQ1633" t="str">
            <v/>
          </cell>
          <cell r="AR1633" t="str">
            <v>Y</v>
          </cell>
          <cell r="AS1633" t="str">
            <v/>
          </cell>
          <cell r="AT1633" t="str">
            <v>AC</v>
          </cell>
          <cell r="AU1633" t="str">
            <v>Airconditioner</v>
          </cell>
          <cell r="AV1633" t="str">
            <v>ACSR</v>
          </cell>
          <cell r="AW1633" t="str">
            <v>SRAC</v>
          </cell>
          <cell r="AX1633" t="str">
            <v>ACSRIV</v>
          </cell>
          <cell r="AY1633" t="str">
            <v>Inverter</v>
          </cell>
          <cell r="AZ1633" t="str">
            <v>ACSRIVSU</v>
          </cell>
          <cell r="BA1633" t="str">
            <v>Inverter Single Split Wall_O/D</v>
          </cell>
        </row>
        <row r="1634">
          <cell r="E1634" t="str">
            <v>IDH18M1N.ATYGEVH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2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 t="str">
            <v>RACPREMIUM</v>
          </cell>
          <cell r="AH1634" t="str">
            <v>RAC_Premium</v>
          </cell>
          <cell r="AI1634" t="str">
            <v/>
          </cell>
          <cell r="AJ1634" t="str">
            <v/>
          </cell>
          <cell r="AK1634" t="str">
            <v>0.108516</v>
          </cell>
          <cell r="AL1634" t="str">
            <v>0</v>
          </cell>
          <cell r="AM1634" t="str">
            <v>Q</v>
          </cell>
          <cell r="AN1634" t="str">
            <v>M0</v>
          </cell>
          <cell r="AO1634" t="str">
            <v>Active(Model)</v>
          </cell>
          <cell r="AP1634" t="str">
            <v/>
          </cell>
          <cell r="AQ1634" t="str">
            <v/>
          </cell>
          <cell r="AR1634" t="str">
            <v>Y</v>
          </cell>
          <cell r="AS1634" t="str">
            <v/>
          </cell>
          <cell r="AT1634" t="str">
            <v>AC</v>
          </cell>
          <cell r="AU1634" t="str">
            <v>Airconditioner</v>
          </cell>
          <cell r="AV1634" t="str">
            <v>ACSR</v>
          </cell>
          <cell r="AW1634" t="str">
            <v>SRAC</v>
          </cell>
          <cell r="AX1634" t="str">
            <v>ACSRIV</v>
          </cell>
          <cell r="AY1634" t="str">
            <v>Inverter</v>
          </cell>
          <cell r="AZ1634" t="str">
            <v>ACSRIVSN</v>
          </cell>
          <cell r="BA1634" t="str">
            <v>Inverter Single Split Wall_I/D</v>
          </cell>
        </row>
        <row r="1635">
          <cell r="E1635" t="str">
            <v>IDH18M1U.ATYGEVH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2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 t="str">
            <v>RACPREMIUM</v>
          </cell>
          <cell r="AH1635" t="str">
            <v>RAC_Premium</v>
          </cell>
          <cell r="AI1635" t="str">
            <v/>
          </cell>
          <cell r="AJ1635" t="str">
            <v/>
          </cell>
          <cell r="AK1635" t="str">
            <v>0.335972</v>
          </cell>
          <cell r="AL1635" t="str">
            <v>0</v>
          </cell>
          <cell r="AM1635" t="str">
            <v>Q</v>
          </cell>
          <cell r="AN1635" t="str">
            <v>M0</v>
          </cell>
          <cell r="AO1635" t="str">
            <v>Active(Model)</v>
          </cell>
          <cell r="AP1635" t="str">
            <v/>
          </cell>
          <cell r="AQ1635" t="str">
            <v/>
          </cell>
          <cell r="AR1635" t="str">
            <v>Y</v>
          </cell>
          <cell r="AS1635" t="str">
            <v/>
          </cell>
          <cell r="AT1635" t="str">
            <v>AC</v>
          </cell>
          <cell r="AU1635" t="str">
            <v>Airconditioner</v>
          </cell>
          <cell r="AV1635" t="str">
            <v>ACSR</v>
          </cell>
          <cell r="AW1635" t="str">
            <v>SRAC</v>
          </cell>
          <cell r="AX1635" t="str">
            <v>ACSRIV</v>
          </cell>
          <cell r="AY1635" t="str">
            <v>Inverter</v>
          </cell>
          <cell r="AZ1635" t="str">
            <v>ACSRIVSU</v>
          </cell>
          <cell r="BA1635" t="str">
            <v>Inverter Single Split Wall_O/D</v>
          </cell>
        </row>
        <row r="1636">
          <cell r="E1636" t="str">
            <v>IDH24M1N.ATYGEVH</v>
          </cell>
          <cell r="F1636">
            <v>1</v>
          </cell>
          <cell r="G1636">
            <v>0</v>
          </cell>
          <cell r="H1636">
            <v>0</v>
          </cell>
          <cell r="I1636">
            <v>2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 t="str">
            <v>RACPREMIUM</v>
          </cell>
          <cell r="AH1636" t="str">
            <v>RAC_Premium</v>
          </cell>
          <cell r="AI1636" t="str">
            <v/>
          </cell>
          <cell r="AJ1636" t="str">
            <v/>
          </cell>
          <cell r="AK1636" t="str">
            <v>0.108516</v>
          </cell>
          <cell r="AL1636" t="str">
            <v>0</v>
          </cell>
          <cell r="AM1636" t="str">
            <v>Q</v>
          </cell>
          <cell r="AN1636" t="str">
            <v>M0</v>
          </cell>
          <cell r="AO1636" t="str">
            <v>Active(Model)</v>
          </cell>
          <cell r="AP1636" t="str">
            <v/>
          </cell>
          <cell r="AQ1636" t="str">
            <v/>
          </cell>
          <cell r="AR1636" t="str">
            <v>Y</v>
          </cell>
          <cell r="AS1636" t="str">
            <v/>
          </cell>
          <cell r="AT1636" t="str">
            <v>AC</v>
          </cell>
          <cell r="AU1636" t="str">
            <v>Airconditioner</v>
          </cell>
          <cell r="AV1636" t="str">
            <v>ACSR</v>
          </cell>
          <cell r="AW1636" t="str">
            <v>SRAC</v>
          </cell>
          <cell r="AX1636" t="str">
            <v>ACSRIV</v>
          </cell>
          <cell r="AY1636" t="str">
            <v>Inverter</v>
          </cell>
          <cell r="AZ1636" t="str">
            <v>ACSRIVSN</v>
          </cell>
          <cell r="BA1636" t="str">
            <v>Inverter Single Split Wall_I/D</v>
          </cell>
        </row>
        <row r="1637">
          <cell r="E1637" t="str">
            <v>IDH24M1U.ATYGEVH</v>
          </cell>
          <cell r="F1637">
            <v>1</v>
          </cell>
          <cell r="G1637">
            <v>0</v>
          </cell>
          <cell r="H1637">
            <v>0</v>
          </cell>
          <cell r="I1637">
            <v>2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 t="str">
            <v>RACPREMIUM</v>
          </cell>
          <cell r="AH1637" t="str">
            <v>RAC_Premium</v>
          </cell>
          <cell r="AI1637" t="str">
            <v/>
          </cell>
          <cell r="AJ1637" t="str">
            <v/>
          </cell>
          <cell r="AK1637" t="str">
            <v>0.335972</v>
          </cell>
          <cell r="AL1637" t="str">
            <v>0</v>
          </cell>
          <cell r="AM1637" t="str">
            <v>Q</v>
          </cell>
          <cell r="AN1637" t="str">
            <v>M0</v>
          </cell>
          <cell r="AO1637" t="str">
            <v>Active(Model)</v>
          </cell>
          <cell r="AP1637" t="str">
            <v/>
          </cell>
          <cell r="AQ1637" t="str">
            <v/>
          </cell>
          <cell r="AR1637" t="str">
            <v>Y</v>
          </cell>
          <cell r="AS1637" t="str">
            <v/>
          </cell>
          <cell r="AT1637" t="str">
            <v>AC</v>
          </cell>
          <cell r="AU1637" t="str">
            <v>Airconditioner</v>
          </cell>
          <cell r="AV1637" t="str">
            <v>ACSR</v>
          </cell>
          <cell r="AW1637" t="str">
            <v>SRAC</v>
          </cell>
          <cell r="AX1637" t="str">
            <v>ACSRIV</v>
          </cell>
          <cell r="AY1637" t="str">
            <v>Inverter</v>
          </cell>
          <cell r="AZ1637" t="str">
            <v>ACSRIVSU</v>
          </cell>
          <cell r="BA1637" t="str">
            <v>Inverter Single Split Wall_O/D</v>
          </cell>
        </row>
        <row r="1638">
          <cell r="E1638" t="str">
            <v>IEC09G2N.ATYGEVH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250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 t="str">
            <v>RACPREMIUM</v>
          </cell>
          <cell r="AH1638" t="str">
            <v>RAC_Premium</v>
          </cell>
          <cell r="AI1638" t="str">
            <v/>
          </cell>
          <cell r="AJ1638" t="str">
            <v/>
          </cell>
          <cell r="AK1638" t="str">
            <v>0.088857</v>
          </cell>
          <cell r="AL1638" t="str">
            <v>0</v>
          </cell>
          <cell r="AM1638" t="str">
            <v>Q</v>
          </cell>
          <cell r="AN1638" t="str">
            <v>M0</v>
          </cell>
          <cell r="AO1638" t="str">
            <v>Active(Model)</v>
          </cell>
          <cell r="AP1638" t="str">
            <v/>
          </cell>
          <cell r="AQ1638" t="str">
            <v/>
          </cell>
          <cell r="AR1638" t="str">
            <v>Y</v>
          </cell>
          <cell r="AS1638" t="str">
            <v/>
          </cell>
          <cell r="AT1638" t="str">
            <v>AC</v>
          </cell>
          <cell r="AU1638" t="str">
            <v>Airconditioner</v>
          </cell>
          <cell r="AV1638" t="str">
            <v>ACSR</v>
          </cell>
          <cell r="AW1638" t="str">
            <v>SRAC</v>
          </cell>
          <cell r="AX1638" t="str">
            <v>ACSRIV</v>
          </cell>
          <cell r="AY1638" t="str">
            <v>Inverter</v>
          </cell>
          <cell r="AZ1638" t="str">
            <v>ACSRIVSN</v>
          </cell>
          <cell r="BA1638" t="str">
            <v>Inverter Single Split Wall_I/D</v>
          </cell>
        </row>
        <row r="1639">
          <cell r="E1639" t="str">
            <v>IEC09G2U.ATYGEVH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250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 t="str">
            <v>RACPREMIUM</v>
          </cell>
          <cell r="AH1639" t="str">
            <v>RAC_Premium</v>
          </cell>
          <cell r="AI1639" t="str">
            <v/>
          </cell>
          <cell r="AJ1639" t="str">
            <v/>
          </cell>
          <cell r="AK1639" t="str">
            <v>0.142216</v>
          </cell>
          <cell r="AL1639" t="str">
            <v>0</v>
          </cell>
          <cell r="AM1639" t="str">
            <v>Q</v>
          </cell>
          <cell r="AN1639" t="str">
            <v>M0</v>
          </cell>
          <cell r="AO1639" t="str">
            <v>Active(Model)</v>
          </cell>
          <cell r="AP1639" t="str">
            <v/>
          </cell>
          <cell r="AQ1639" t="str">
            <v/>
          </cell>
          <cell r="AR1639" t="str">
            <v>Y</v>
          </cell>
          <cell r="AS1639" t="str">
            <v/>
          </cell>
          <cell r="AT1639" t="str">
            <v>AC</v>
          </cell>
          <cell r="AU1639" t="str">
            <v>Airconditioner</v>
          </cell>
          <cell r="AV1639" t="str">
            <v>ACSR</v>
          </cell>
          <cell r="AW1639" t="str">
            <v>SRAC</v>
          </cell>
          <cell r="AX1639" t="str">
            <v>ACSRIV</v>
          </cell>
          <cell r="AY1639" t="str">
            <v>Inverter</v>
          </cell>
          <cell r="AZ1639" t="str">
            <v>ACSRIVSU</v>
          </cell>
          <cell r="BA1639" t="str">
            <v>Inverter Single Split Wall_O/D</v>
          </cell>
        </row>
        <row r="1640">
          <cell r="E1640" t="str">
            <v>IEC09M1N.ATYGEVH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1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 t="str">
            <v>RACPREMIUM</v>
          </cell>
          <cell r="AH1640" t="str">
            <v>RAC_Premium</v>
          </cell>
          <cell r="AI1640" t="str">
            <v/>
          </cell>
          <cell r="AJ1640" t="str">
            <v/>
          </cell>
          <cell r="AK1640" t="str">
            <v>0.088857</v>
          </cell>
          <cell r="AL1640" t="str">
            <v>0</v>
          </cell>
          <cell r="AM1640" t="str">
            <v>Q</v>
          </cell>
          <cell r="AN1640" t="str">
            <v>M0</v>
          </cell>
          <cell r="AO1640" t="str">
            <v>Active(Model)</v>
          </cell>
          <cell r="AP1640" t="str">
            <v/>
          </cell>
          <cell r="AQ1640" t="str">
            <v/>
          </cell>
          <cell r="AR1640" t="str">
            <v>Y</v>
          </cell>
          <cell r="AS1640" t="str">
            <v/>
          </cell>
          <cell r="AT1640" t="str">
            <v>AC</v>
          </cell>
          <cell r="AU1640" t="str">
            <v>Airconditioner</v>
          </cell>
          <cell r="AV1640" t="str">
            <v>ACSR</v>
          </cell>
          <cell r="AW1640" t="str">
            <v>SRAC</v>
          </cell>
          <cell r="AX1640" t="str">
            <v>ACSRIV</v>
          </cell>
          <cell r="AY1640" t="str">
            <v>Inverter</v>
          </cell>
          <cell r="AZ1640" t="str">
            <v>ACSRIVSN</v>
          </cell>
          <cell r="BA1640" t="str">
            <v>Inverter Single Split Wall_I/D</v>
          </cell>
        </row>
        <row r="1641">
          <cell r="E1641" t="str">
            <v>IEC09M1U.ATYGEVH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1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 t="str">
            <v>RACPREMIUM</v>
          </cell>
          <cell r="AH1641" t="str">
            <v>RAC_Premium</v>
          </cell>
          <cell r="AI1641" t="str">
            <v/>
          </cell>
          <cell r="AJ1641" t="str">
            <v/>
          </cell>
          <cell r="AK1641" t="str">
            <v>0.144617</v>
          </cell>
          <cell r="AL1641" t="str">
            <v>0</v>
          </cell>
          <cell r="AM1641" t="str">
            <v>Q</v>
          </cell>
          <cell r="AN1641" t="str">
            <v>M0</v>
          </cell>
          <cell r="AO1641" t="str">
            <v>Active(Model)</v>
          </cell>
          <cell r="AP1641" t="str">
            <v/>
          </cell>
          <cell r="AQ1641" t="str">
            <v/>
          </cell>
          <cell r="AR1641" t="str">
            <v>Y</v>
          </cell>
          <cell r="AS1641" t="str">
            <v/>
          </cell>
          <cell r="AT1641" t="str">
            <v>AC</v>
          </cell>
          <cell r="AU1641" t="str">
            <v>Airconditioner</v>
          </cell>
          <cell r="AV1641" t="str">
            <v>ACSR</v>
          </cell>
          <cell r="AW1641" t="str">
            <v>SRAC</v>
          </cell>
          <cell r="AX1641" t="str">
            <v>ACSRIV</v>
          </cell>
          <cell r="AY1641" t="str">
            <v>Inverter</v>
          </cell>
          <cell r="AZ1641" t="str">
            <v>ACSRIVSU</v>
          </cell>
          <cell r="BA1641" t="str">
            <v>Inverter Single Split Wall_O/D</v>
          </cell>
        </row>
        <row r="1642">
          <cell r="E1642" t="str">
            <v>IEC09M2N.ATYGEVH</v>
          </cell>
          <cell r="F1642">
            <v>0</v>
          </cell>
          <cell r="G1642">
            <v>0</v>
          </cell>
          <cell r="H1642">
            <v>0</v>
          </cell>
          <cell r="I1642">
            <v>1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 t="str">
            <v>RACPREMIUM</v>
          </cell>
          <cell r="AH1642" t="str">
            <v>RAC_Premium</v>
          </cell>
          <cell r="AI1642" t="str">
            <v/>
          </cell>
          <cell r="AJ1642" t="str">
            <v/>
          </cell>
          <cell r="AK1642" t="str">
            <v>0.088857</v>
          </cell>
          <cell r="AL1642" t="str">
            <v>0</v>
          </cell>
          <cell r="AM1642" t="str">
            <v>Q</v>
          </cell>
          <cell r="AN1642" t="str">
            <v>M0</v>
          </cell>
          <cell r="AO1642" t="str">
            <v>Active(Model)</v>
          </cell>
          <cell r="AP1642" t="str">
            <v/>
          </cell>
          <cell r="AQ1642" t="str">
            <v/>
          </cell>
          <cell r="AR1642" t="str">
            <v>Y</v>
          </cell>
          <cell r="AS1642" t="str">
            <v/>
          </cell>
          <cell r="AT1642" t="str">
            <v>AC</v>
          </cell>
          <cell r="AU1642" t="str">
            <v>Airconditioner</v>
          </cell>
          <cell r="AV1642" t="str">
            <v>ACSR</v>
          </cell>
          <cell r="AW1642" t="str">
            <v>SRAC</v>
          </cell>
          <cell r="AX1642" t="str">
            <v>ACSRIV</v>
          </cell>
          <cell r="AY1642" t="str">
            <v>Inverter</v>
          </cell>
          <cell r="AZ1642" t="str">
            <v>ACSRIVSN</v>
          </cell>
          <cell r="BA1642" t="str">
            <v>Inverter Single Split Wall_I/D</v>
          </cell>
        </row>
        <row r="1643">
          <cell r="E1643" t="str">
            <v>IEC09M2U.ATYGEVH</v>
          </cell>
          <cell r="F1643">
            <v>0</v>
          </cell>
          <cell r="G1643">
            <v>0</v>
          </cell>
          <cell r="H1643">
            <v>0</v>
          </cell>
          <cell r="I1643">
            <v>1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 t="str">
            <v>RACPREMIUM</v>
          </cell>
          <cell r="AH1643" t="str">
            <v>RAC_Premium</v>
          </cell>
          <cell r="AI1643" t="str">
            <v/>
          </cell>
          <cell r="AJ1643" t="str">
            <v/>
          </cell>
          <cell r="AK1643" t="str">
            <v>0.142216</v>
          </cell>
          <cell r="AL1643" t="str">
            <v>0</v>
          </cell>
          <cell r="AM1643" t="str">
            <v>Q</v>
          </cell>
          <cell r="AN1643" t="str">
            <v>M0</v>
          </cell>
          <cell r="AO1643" t="str">
            <v>Active(Model)</v>
          </cell>
          <cell r="AP1643" t="str">
            <v/>
          </cell>
          <cell r="AQ1643" t="str">
            <v/>
          </cell>
          <cell r="AR1643" t="str">
            <v>Y</v>
          </cell>
          <cell r="AS1643" t="str">
            <v/>
          </cell>
          <cell r="AT1643" t="str">
            <v>AC</v>
          </cell>
          <cell r="AU1643" t="str">
            <v>Airconditioner</v>
          </cell>
          <cell r="AV1643" t="str">
            <v>ACSR</v>
          </cell>
          <cell r="AW1643" t="str">
            <v>SRAC</v>
          </cell>
          <cell r="AX1643" t="str">
            <v>ACSRIV</v>
          </cell>
          <cell r="AY1643" t="str">
            <v>Inverter</v>
          </cell>
          <cell r="AZ1643" t="str">
            <v>ACSRIVSU</v>
          </cell>
          <cell r="BA1643" t="str">
            <v>Inverter Single Split Wall_O/D</v>
          </cell>
        </row>
        <row r="1644">
          <cell r="E1644" t="str">
            <v>IEC12G2N.ATYGEVH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100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 t="str">
            <v>RACPREMIUM</v>
          </cell>
          <cell r="AH1644" t="str">
            <v>RAC_Premium</v>
          </cell>
          <cell r="AI1644" t="str">
            <v/>
          </cell>
          <cell r="AJ1644" t="str">
            <v/>
          </cell>
          <cell r="AK1644" t="str">
            <v>0.088857</v>
          </cell>
          <cell r="AL1644" t="str">
            <v>0</v>
          </cell>
          <cell r="AM1644" t="str">
            <v>Q</v>
          </cell>
          <cell r="AN1644" t="str">
            <v>M0</v>
          </cell>
          <cell r="AO1644" t="str">
            <v>Active(Model)</v>
          </cell>
          <cell r="AP1644" t="str">
            <v/>
          </cell>
          <cell r="AQ1644" t="str">
            <v/>
          </cell>
          <cell r="AR1644" t="str">
            <v>Y</v>
          </cell>
          <cell r="AS1644" t="str">
            <v/>
          </cell>
          <cell r="AT1644" t="str">
            <v>AC</v>
          </cell>
          <cell r="AU1644" t="str">
            <v>Airconditioner</v>
          </cell>
          <cell r="AV1644" t="str">
            <v>ACSR</v>
          </cell>
          <cell r="AW1644" t="str">
            <v>SRAC</v>
          </cell>
          <cell r="AX1644" t="str">
            <v>ACSRIV</v>
          </cell>
          <cell r="AY1644" t="str">
            <v>Inverter</v>
          </cell>
          <cell r="AZ1644" t="str">
            <v>ACSRIVSN</v>
          </cell>
          <cell r="BA1644" t="str">
            <v>Inverter Single Split Wall_I/D</v>
          </cell>
        </row>
        <row r="1645">
          <cell r="E1645" t="str">
            <v>IEC12G2U.ATYGEVH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100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 t="str">
            <v>RACPREMIUM</v>
          </cell>
          <cell r="AH1645" t="str">
            <v>RAC_Premium</v>
          </cell>
          <cell r="AI1645" t="str">
            <v/>
          </cell>
          <cell r="AJ1645" t="str">
            <v/>
          </cell>
          <cell r="AK1645" t="str">
            <v>0.142216</v>
          </cell>
          <cell r="AL1645" t="str">
            <v>0</v>
          </cell>
          <cell r="AM1645" t="str">
            <v>Q</v>
          </cell>
          <cell r="AN1645" t="str">
            <v>M0</v>
          </cell>
          <cell r="AO1645" t="str">
            <v>Active(Model)</v>
          </cell>
          <cell r="AP1645" t="str">
            <v/>
          </cell>
          <cell r="AQ1645" t="str">
            <v/>
          </cell>
          <cell r="AR1645" t="str">
            <v>Y</v>
          </cell>
          <cell r="AS1645" t="str">
            <v/>
          </cell>
          <cell r="AT1645" t="str">
            <v>AC</v>
          </cell>
          <cell r="AU1645" t="str">
            <v>Airconditioner</v>
          </cell>
          <cell r="AV1645" t="str">
            <v>ACSR</v>
          </cell>
          <cell r="AW1645" t="str">
            <v>SRAC</v>
          </cell>
          <cell r="AX1645" t="str">
            <v>ACSRIV</v>
          </cell>
          <cell r="AY1645" t="str">
            <v>Inverter</v>
          </cell>
          <cell r="AZ1645" t="str">
            <v>ACSRIVSU</v>
          </cell>
          <cell r="BA1645" t="str">
            <v>Inverter Single Split Wall_O/D</v>
          </cell>
        </row>
        <row r="1646">
          <cell r="E1646" t="str">
            <v>IEC12M1N.ATYGEVH</v>
          </cell>
          <cell r="F1646">
            <v>0</v>
          </cell>
          <cell r="G1646">
            <v>0</v>
          </cell>
          <cell r="H1646">
            <v>0</v>
          </cell>
          <cell r="I1646">
            <v>1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1</v>
          </cell>
          <cell r="O1646">
            <v>0</v>
          </cell>
          <cell r="P1646">
            <v>1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 t="str">
            <v>RACPREMIUM</v>
          </cell>
          <cell r="AH1646" t="str">
            <v>RAC_Premium</v>
          </cell>
          <cell r="AI1646" t="str">
            <v/>
          </cell>
          <cell r="AJ1646" t="str">
            <v/>
          </cell>
          <cell r="AK1646" t="str">
            <v>0.088857</v>
          </cell>
          <cell r="AL1646" t="str">
            <v>0</v>
          </cell>
          <cell r="AM1646" t="str">
            <v>Q</v>
          </cell>
          <cell r="AN1646" t="str">
            <v>M0</v>
          </cell>
          <cell r="AO1646" t="str">
            <v>Active(Model)</v>
          </cell>
          <cell r="AP1646" t="str">
            <v/>
          </cell>
          <cell r="AQ1646" t="str">
            <v/>
          </cell>
          <cell r="AR1646" t="str">
            <v>Y</v>
          </cell>
          <cell r="AS1646" t="str">
            <v/>
          </cell>
          <cell r="AT1646" t="str">
            <v>AC</v>
          </cell>
          <cell r="AU1646" t="str">
            <v>Airconditioner</v>
          </cell>
          <cell r="AV1646" t="str">
            <v>ACSR</v>
          </cell>
          <cell r="AW1646" t="str">
            <v>SRAC</v>
          </cell>
          <cell r="AX1646" t="str">
            <v>ACSRIV</v>
          </cell>
          <cell r="AY1646" t="str">
            <v>Inverter</v>
          </cell>
          <cell r="AZ1646" t="str">
            <v>ACSRIVSN</v>
          </cell>
          <cell r="BA1646" t="str">
            <v>Inverter Single Split Wall_I/D</v>
          </cell>
        </row>
        <row r="1647">
          <cell r="E1647" t="str">
            <v>IEC12M1U.ATYGEVH</v>
          </cell>
          <cell r="F1647">
            <v>0</v>
          </cell>
          <cell r="G1647">
            <v>0</v>
          </cell>
          <cell r="H1647">
            <v>0</v>
          </cell>
          <cell r="I1647">
            <v>1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1</v>
          </cell>
          <cell r="O1647">
            <v>0</v>
          </cell>
          <cell r="P1647">
            <v>1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 t="str">
            <v>RACPREMIUM</v>
          </cell>
          <cell r="AH1647" t="str">
            <v>RAC_Premium</v>
          </cell>
          <cell r="AI1647" t="str">
            <v/>
          </cell>
          <cell r="AJ1647" t="str">
            <v/>
          </cell>
          <cell r="AK1647" t="str">
            <v>0.144617</v>
          </cell>
          <cell r="AL1647" t="str">
            <v>0</v>
          </cell>
          <cell r="AM1647" t="str">
            <v>Q</v>
          </cell>
          <cell r="AN1647" t="str">
            <v>M0</v>
          </cell>
          <cell r="AO1647" t="str">
            <v>Active(Model)</v>
          </cell>
          <cell r="AP1647" t="str">
            <v/>
          </cell>
          <cell r="AQ1647" t="str">
            <v/>
          </cell>
          <cell r="AR1647" t="str">
            <v>Y</v>
          </cell>
          <cell r="AS1647" t="str">
            <v/>
          </cell>
          <cell r="AT1647" t="str">
            <v>AC</v>
          </cell>
          <cell r="AU1647" t="str">
            <v>Airconditioner</v>
          </cell>
          <cell r="AV1647" t="str">
            <v>ACSR</v>
          </cell>
          <cell r="AW1647" t="str">
            <v>SRAC</v>
          </cell>
          <cell r="AX1647" t="str">
            <v>ACSRIV</v>
          </cell>
          <cell r="AY1647" t="str">
            <v>Inverter</v>
          </cell>
          <cell r="AZ1647" t="str">
            <v>ACSRIVSU</v>
          </cell>
          <cell r="BA1647" t="str">
            <v>Inverter Single Split Wall_O/D</v>
          </cell>
        </row>
        <row r="1648">
          <cell r="E1648" t="str">
            <v>IEC12M2N.ATYGEVH</v>
          </cell>
          <cell r="F1648">
            <v>3</v>
          </cell>
          <cell r="G1648">
            <v>0</v>
          </cell>
          <cell r="H1648">
            <v>0</v>
          </cell>
          <cell r="I1648">
            <v>9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3</v>
          </cell>
          <cell r="O1648">
            <v>1</v>
          </cell>
          <cell r="P1648">
            <v>3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 t="str">
            <v>RACPREMIUM</v>
          </cell>
          <cell r="AH1648" t="str">
            <v>RAC_Premium</v>
          </cell>
          <cell r="AI1648" t="str">
            <v/>
          </cell>
          <cell r="AJ1648" t="str">
            <v/>
          </cell>
          <cell r="AK1648" t="str">
            <v>0.088857</v>
          </cell>
          <cell r="AL1648" t="str">
            <v>0</v>
          </cell>
          <cell r="AM1648" t="str">
            <v>Q</v>
          </cell>
          <cell r="AN1648" t="str">
            <v>M0</v>
          </cell>
          <cell r="AO1648" t="str">
            <v>Active(Model)</v>
          </cell>
          <cell r="AP1648" t="str">
            <v/>
          </cell>
          <cell r="AQ1648" t="str">
            <v/>
          </cell>
          <cell r="AR1648" t="str">
            <v>Y</v>
          </cell>
          <cell r="AS1648" t="str">
            <v/>
          </cell>
          <cell r="AT1648" t="str">
            <v>AC</v>
          </cell>
          <cell r="AU1648" t="str">
            <v>Airconditioner</v>
          </cell>
          <cell r="AV1648" t="str">
            <v>ACSR</v>
          </cell>
          <cell r="AW1648" t="str">
            <v>SRAC</v>
          </cell>
          <cell r="AX1648" t="str">
            <v>ACSRIV</v>
          </cell>
          <cell r="AY1648" t="str">
            <v>Inverter</v>
          </cell>
          <cell r="AZ1648" t="str">
            <v>ACSRIVSN</v>
          </cell>
          <cell r="BA1648" t="str">
            <v>Inverter Single Split Wall_I/D</v>
          </cell>
        </row>
        <row r="1649">
          <cell r="E1649" t="str">
            <v>IEC12M2U.ATYGEVH</v>
          </cell>
          <cell r="F1649">
            <v>3</v>
          </cell>
          <cell r="G1649">
            <v>0</v>
          </cell>
          <cell r="H1649">
            <v>0</v>
          </cell>
          <cell r="I1649">
            <v>9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3</v>
          </cell>
          <cell r="O1649">
            <v>1</v>
          </cell>
          <cell r="P1649">
            <v>3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 t="str">
            <v>RACPREMIUM</v>
          </cell>
          <cell r="AH1649" t="str">
            <v>RAC_Premium</v>
          </cell>
          <cell r="AI1649" t="str">
            <v/>
          </cell>
          <cell r="AJ1649" t="str">
            <v/>
          </cell>
          <cell r="AK1649" t="str">
            <v>0.142216</v>
          </cell>
          <cell r="AL1649" t="str">
            <v>0</v>
          </cell>
          <cell r="AM1649" t="str">
            <v>Q</v>
          </cell>
          <cell r="AN1649" t="str">
            <v>M0</v>
          </cell>
          <cell r="AO1649" t="str">
            <v>Active(Model)</v>
          </cell>
          <cell r="AP1649" t="str">
            <v/>
          </cell>
          <cell r="AQ1649" t="str">
            <v/>
          </cell>
          <cell r="AR1649" t="str">
            <v>Y</v>
          </cell>
          <cell r="AS1649" t="str">
            <v/>
          </cell>
          <cell r="AT1649" t="str">
            <v>AC</v>
          </cell>
          <cell r="AU1649" t="str">
            <v>Airconditioner</v>
          </cell>
          <cell r="AV1649" t="str">
            <v>ACSR</v>
          </cell>
          <cell r="AW1649" t="str">
            <v>SRAC</v>
          </cell>
          <cell r="AX1649" t="str">
            <v>ACSRIV</v>
          </cell>
          <cell r="AY1649" t="str">
            <v>Inverter</v>
          </cell>
          <cell r="AZ1649" t="str">
            <v>ACSRIVSU</v>
          </cell>
          <cell r="BA1649" t="str">
            <v>Inverter Single Split Wall_O/D</v>
          </cell>
        </row>
        <row r="1650">
          <cell r="E1650" t="str">
            <v>IEC18M1N.ATYGEVH</v>
          </cell>
          <cell r="F1650">
            <v>0</v>
          </cell>
          <cell r="G1650">
            <v>0</v>
          </cell>
          <cell r="H1650">
            <v>0</v>
          </cell>
          <cell r="I1650">
            <v>3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3</v>
          </cell>
          <cell r="O1650">
            <v>0</v>
          </cell>
          <cell r="P1650">
            <v>3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 t="str">
            <v>RACPREMIUM</v>
          </cell>
          <cell r="AH1650" t="str">
            <v>RAC_Premium</v>
          </cell>
          <cell r="AI1650" t="str">
            <v/>
          </cell>
          <cell r="AJ1650" t="str">
            <v/>
          </cell>
          <cell r="AK1650" t="str">
            <v>0.126638</v>
          </cell>
          <cell r="AL1650" t="str">
            <v>0</v>
          </cell>
          <cell r="AM1650" t="str">
            <v>Q</v>
          </cell>
          <cell r="AN1650" t="str">
            <v>M0</v>
          </cell>
          <cell r="AO1650" t="str">
            <v>Active(Model)</v>
          </cell>
          <cell r="AP1650" t="str">
            <v/>
          </cell>
          <cell r="AQ1650" t="str">
            <v/>
          </cell>
          <cell r="AR1650" t="str">
            <v>Y</v>
          </cell>
          <cell r="AS1650" t="str">
            <v/>
          </cell>
          <cell r="AT1650" t="str">
            <v>AC</v>
          </cell>
          <cell r="AU1650" t="str">
            <v>Airconditioner</v>
          </cell>
          <cell r="AV1650" t="str">
            <v>ACSR</v>
          </cell>
          <cell r="AW1650" t="str">
            <v>SRAC</v>
          </cell>
          <cell r="AX1650" t="str">
            <v>ACSRIV</v>
          </cell>
          <cell r="AY1650" t="str">
            <v>Inverter</v>
          </cell>
          <cell r="AZ1650" t="str">
            <v>ACSRIVSN</v>
          </cell>
          <cell r="BA1650" t="str">
            <v>Inverter Single Split Wall_I/D</v>
          </cell>
        </row>
        <row r="1651">
          <cell r="E1651" t="str">
            <v>IEC18M1U.ATYGEVH</v>
          </cell>
          <cell r="F1651">
            <v>0</v>
          </cell>
          <cell r="G1651">
            <v>0</v>
          </cell>
          <cell r="H1651">
            <v>0</v>
          </cell>
          <cell r="I1651">
            <v>3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3</v>
          </cell>
          <cell r="O1651">
            <v>0</v>
          </cell>
          <cell r="P1651">
            <v>3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 t="str">
            <v>RACPREMIUM</v>
          </cell>
          <cell r="AH1651" t="str">
            <v>RAC_Premium</v>
          </cell>
          <cell r="AI1651" t="str">
            <v/>
          </cell>
          <cell r="AJ1651" t="str">
            <v/>
          </cell>
          <cell r="AK1651" t="str">
            <v>0.212597</v>
          </cell>
          <cell r="AL1651" t="str">
            <v>0</v>
          </cell>
          <cell r="AM1651" t="str">
            <v>Q</v>
          </cell>
          <cell r="AN1651" t="str">
            <v>M0</v>
          </cell>
          <cell r="AO1651" t="str">
            <v>Active(Model)</v>
          </cell>
          <cell r="AP1651" t="str">
            <v/>
          </cell>
          <cell r="AQ1651" t="str">
            <v/>
          </cell>
          <cell r="AR1651" t="str">
            <v>Y</v>
          </cell>
          <cell r="AS1651" t="str">
            <v/>
          </cell>
          <cell r="AT1651" t="str">
            <v>AC</v>
          </cell>
          <cell r="AU1651" t="str">
            <v>Airconditioner</v>
          </cell>
          <cell r="AV1651" t="str">
            <v>ACSR</v>
          </cell>
          <cell r="AW1651" t="str">
            <v>SRAC</v>
          </cell>
          <cell r="AX1651" t="str">
            <v>ACSRIV</v>
          </cell>
          <cell r="AY1651" t="str">
            <v>Inverter</v>
          </cell>
          <cell r="AZ1651" t="str">
            <v>ACSRIVSU</v>
          </cell>
          <cell r="BA1651" t="str">
            <v>Inverter Single Split Wall_O/D</v>
          </cell>
        </row>
        <row r="1652">
          <cell r="E1652" t="str">
            <v>IEC18M2M.ATYGEVH</v>
          </cell>
          <cell r="F1652">
            <v>1</v>
          </cell>
          <cell r="G1652">
            <v>0</v>
          </cell>
          <cell r="H1652">
            <v>0</v>
          </cell>
          <cell r="I1652">
            <v>1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 t="str">
            <v>RACPREMIUM</v>
          </cell>
          <cell r="AH1652" t="str">
            <v>RAC_Premium</v>
          </cell>
          <cell r="AI1652" t="str">
            <v/>
          </cell>
          <cell r="AJ1652" t="str">
            <v/>
          </cell>
          <cell r="AK1652" t="str">
            <v>0.126638</v>
          </cell>
          <cell r="AL1652" t="str">
            <v>0</v>
          </cell>
          <cell r="AM1652" t="str">
            <v>Q</v>
          </cell>
          <cell r="AN1652" t="str">
            <v>M0</v>
          </cell>
          <cell r="AO1652" t="str">
            <v>Active(Model)</v>
          </cell>
          <cell r="AP1652" t="str">
            <v/>
          </cell>
          <cell r="AQ1652" t="str">
            <v/>
          </cell>
          <cell r="AR1652" t="str">
            <v>Y</v>
          </cell>
          <cell r="AS1652" t="str">
            <v/>
          </cell>
          <cell r="AT1652" t="str">
            <v>AC</v>
          </cell>
          <cell r="AU1652" t="str">
            <v>Airconditioner</v>
          </cell>
          <cell r="AV1652" t="str">
            <v>ACMU</v>
          </cell>
          <cell r="AW1652" t="str">
            <v>A/C Mock-up</v>
          </cell>
          <cell r="AX1652" t="str">
            <v>ACMUAM</v>
          </cell>
          <cell r="AY1652" t="str">
            <v>A/C Mock-up</v>
          </cell>
          <cell r="AZ1652" t="str">
            <v>ACMUAMMJ</v>
          </cell>
          <cell r="BA1652" t="str">
            <v>A/C Mock-up_Prod_RAC</v>
          </cell>
        </row>
        <row r="1653">
          <cell r="E1653" t="str">
            <v>IEC18M2N.ATYGEVH</v>
          </cell>
          <cell r="F1653">
            <v>0</v>
          </cell>
          <cell r="G1653">
            <v>0</v>
          </cell>
          <cell r="H1653">
            <v>0</v>
          </cell>
          <cell r="I1653">
            <v>35</v>
          </cell>
          <cell r="J1653">
            <v>1</v>
          </cell>
          <cell r="K1653">
            <v>100</v>
          </cell>
          <cell r="L1653">
            <v>0</v>
          </cell>
          <cell r="M1653">
            <v>0</v>
          </cell>
          <cell r="N1653">
            <v>33</v>
          </cell>
          <cell r="O1653">
            <v>0</v>
          </cell>
          <cell r="P1653">
            <v>33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 t="str">
            <v>RACPREMIUM</v>
          </cell>
          <cell r="AH1653" t="str">
            <v>RAC_Premium</v>
          </cell>
          <cell r="AI1653" t="str">
            <v/>
          </cell>
          <cell r="AJ1653" t="str">
            <v/>
          </cell>
          <cell r="AK1653" t="str">
            <v>0.126638</v>
          </cell>
          <cell r="AL1653" t="str">
            <v>0</v>
          </cell>
          <cell r="AM1653" t="str">
            <v>Q</v>
          </cell>
          <cell r="AN1653" t="str">
            <v>M0</v>
          </cell>
          <cell r="AO1653" t="str">
            <v>Active(Model)</v>
          </cell>
          <cell r="AP1653" t="str">
            <v/>
          </cell>
          <cell r="AQ1653" t="str">
            <v/>
          </cell>
          <cell r="AR1653" t="str">
            <v>Y</v>
          </cell>
          <cell r="AS1653" t="str">
            <v/>
          </cell>
          <cell r="AT1653" t="str">
            <v>AC</v>
          </cell>
          <cell r="AU1653" t="str">
            <v>Airconditioner</v>
          </cell>
          <cell r="AV1653" t="str">
            <v>ACSR</v>
          </cell>
          <cell r="AW1653" t="str">
            <v>SRAC</v>
          </cell>
          <cell r="AX1653" t="str">
            <v>ACSRIV</v>
          </cell>
          <cell r="AY1653" t="str">
            <v>Inverter</v>
          </cell>
          <cell r="AZ1653" t="str">
            <v>ACSRIVSN</v>
          </cell>
          <cell r="BA1653" t="str">
            <v>Inverter Single Split Wall_I/D</v>
          </cell>
        </row>
        <row r="1654">
          <cell r="E1654" t="str">
            <v>IEC18M2U.ATYGEVH</v>
          </cell>
          <cell r="F1654">
            <v>0</v>
          </cell>
          <cell r="G1654">
            <v>0</v>
          </cell>
          <cell r="H1654">
            <v>0</v>
          </cell>
          <cell r="I1654">
            <v>35</v>
          </cell>
          <cell r="J1654">
            <v>1</v>
          </cell>
          <cell r="K1654">
            <v>100</v>
          </cell>
          <cell r="L1654">
            <v>0</v>
          </cell>
          <cell r="M1654">
            <v>0</v>
          </cell>
          <cell r="N1654">
            <v>33</v>
          </cell>
          <cell r="O1654">
            <v>0</v>
          </cell>
          <cell r="P1654">
            <v>33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 t="str">
            <v>RACPREMIUM</v>
          </cell>
          <cell r="AH1654" t="str">
            <v>RAC_Premium</v>
          </cell>
          <cell r="AI1654" t="str">
            <v/>
          </cell>
          <cell r="AJ1654" t="str">
            <v/>
          </cell>
          <cell r="AK1654" t="str">
            <v>0.142216</v>
          </cell>
          <cell r="AL1654" t="str">
            <v>0</v>
          </cell>
          <cell r="AM1654" t="str">
            <v>Q</v>
          </cell>
          <cell r="AN1654" t="str">
            <v>M0</v>
          </cell>
          <cell r="AO1654" t="str">
            <v>Active(Model)</v>
          </cell>
          <cell r="AP1654" t="str">
            <v/>
          </cell>
          <cell r="AQ1654" t="str">
            <v/>
          </cell>
          <cell r="AR1654" t="str">
            <v>Y</v>
          </cell>
          <cell r="AS1654" t="str">
            <v/>
          </cell>
          <cell r="AT1654" t="str">
            <v>AC</v>
          </cell>
          <cell r="AU1654" t="str">
            <v>Airconditioner</v>
          </cell>
          <cell r="AV1654" t="str">
            <v>ACSR</v>
          </cell>
          <cell r="AW1654" t="str">
            <v>SRAC</v>
          </cell>
          <cell r="AX1654" t="str">
            <v>ACSRIV</v>
          </cell>
          <cell r="AY1654" t="str">
            <v>Inverter</v>
          </cell>
          <cell r="AZ1654" t="str">
            <v>ACSRIVSU</v>
          </cell>
          <cell r="BA1654" t="str">
            <v>Inverter Single Split Wall_O/D</v>
          </cell>
        </row>
        <row r="1655">
          <cell r="E1655" t="str">
            <v>IEC24M2N.ATYGEVH</v>
          </cell>
          <cell r="F1655">
            <v>0</v>
          </cell>
          <cell r="G1655">
            <v>0</v>
          </cell>
          <cell r="H1655">
            <v>0</v>
          </cell>
          <cell r="I1655">
            <v>1</v>
          </cell>
          <cell r="J1655">
            <v>0</v>
          </cell>
          <cell r="K1655">
            <v>1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 t="str">
            <v>RACPREMIUM</v>
          </cell>
          <cell r="AH1655" t="str">
            <v>RAC_Premium</v>
          </cell>
          <cell r="AI1655" t="str">
            <v/>
          </cell>
          <cell r="AJ1655" t="str">
            <v/>
          </cell>
          <cell r="AK1655" t="str">
            <v>0.126638</v>
          </cell>
          <cell r="AL1655" t="str">
            <v>0</v>
          </cell>
          <cell r="AM1655" t="str">
            <v>Q</v>
          </cell>
          <cell r="AN1655" t="str">
            <v>M0</v>
          </cell>
          <cell r="AO1655" t="str">
            <v>Active(Model)</v>
          </cell>
          <cell r="AP1655" t="str">
            <v/>
          </cell>
          <cell r="AQ1655" t="str">
            <v/>
          </cell>
          <cell r="AR1655" t="str">
            <v>Y</v>
          </cell>
          <cell r="AS1655" t="str">
            <v/>
          </cell>
          <cell r="AT1655" t="str">
            <v>AC</v>
          </cell>
          <cell r="AU1655" t="str">
            <v>Airconditioner</v>
          </cell>
          <cell r="AV1655" t="str">
            <v>ACSR</v>
          </cell>
          <cell r="AW1655" t="str">
            <v>SRAC</v>
          </cell>
          <cell r="AX1655" t="str">
            <v>ACSRIV</v>
          </cell>
          <cell r="AY1655" t="str">
            <v>Inverter</v>
          </cell>
          <cell r="AZ1655" t="str">
            <v>ACSRIVSN</v>
          </cell>
          <cell r="BA1655" t="str">
            <v>Inverter Single Split Wall_I/D</v>
          </cell>
        </row>
        <row r="1656">
          <cell r="E1656" t="str">
            <v>IEC24M2U.ATYGEVH</v>
          </cell>
          <cell r="F1656">
            <v>0</v>
          </cell>
          <cell r="G1656">
            <v>0</v>
          </cell>
          <cell r="H1656">
            <v>0</v>
          </cell>
          <cell r="I1656">
            <v>1</v>
          </cell>
          <cell r="J1656">
            <v>0</v>
          </cell>
          <cell r="K1656">
            <v>1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 t="str">
            <v>RACPREMIUM</v>
          </cell>
          <cell r="AH1656" t="str">
            <v>RAC_Premium</v>
          </cell>
          <cell r="AI1656" t="str">
            <v/>
          </cell>
          <cell r="AJ1656" t="str">
            <v/>
          </cell>
          <cell r="AK1656" t="str">
            <v>0.211677</v>
          </cell>
          <cell r="AL1656" t="str">
            <v>0</v>
          </cell>
          <cell r="AM1656" t="str">
            <v>Q</v>
          </cell>
          <cell r="AN1656" t="str">
            <v>M0</v>
          </cell>
          <cell r="AO1656" t="str">
            <v>Active(Model)</v>
          </cell>
          <cell r="AP1656" t="str">
            <v/>
          </cell>
          <cell r="AQ1656" t="str">
            <v/>
          </cell>
          <cell r="AR1656" t="str">
            <v>Y</v>
          </cell>
          <cell r="AS1656" t="str">
            <v/>
          </cell>
          <cell r="AT1656" t="str">
            <v>AC</v>
          </cell>
          <cell r="AU1656" t="str">
            <v>Airconditioner</v>
          </cell>
          <cell r="AV1656" t="str">
            <v>ACSR</v>
          </cell>
          <cell r="AW1656" t="str">
            <v>SRAC</v>
          </cell>
          <cell r="AX1656" t="str">
            <v>ACSRIV</v>
          </cell>
          <cell r="AY1656" t="str">
            <v>Inverter</v>
          </cell>
          <cell r="AZ1656" t="str">
            <v>ACSRIVSU</v>
          </cell>
          <cell r="BA1656" t="str">
            <v>Inverter Single Split Wall_O/D</v>
          </cell>
        </row>
        <row r="1657">
          <cell r="E1657" t="str">
            <v>IFC09M1M.DXWAEVH</v>
          </cell>
          <cell r="F1657">
            <v>2</v>
          </cell>
          <cell r="G1657">
            <v>0</v>
          </cell>
          <cell r="H1657">
            <v>0</v>
          </cell>
          <cell r="I1657">
            <v>2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 t="str">
            <v>RACPREMIUM</v>
          </cell>
          <cell r="AH1657" t="str">
            <v>RAC_Premium</v>
          </cell>
          <cell r="AI1657" t="str">
            <v/>
          </cell>
          <cell r="AJ1657" t="str">
            <v/>
          </cell>
          <cell r="AK1657" t="str">
            <v>0.063813</v>
          </cell>
          <cell r="AL1657" t="str">
            <v>0</v>
          </cell>
          <cell r="AM1657" t="str">
            <v>Q</v>
          </cell>
          <cell r="AN1657" t="str">
            <v>M0</v>
          </cell>
          <cell r="AO1657" t="str">
            <v>Active(Model)</v>
          </cell>
          <cell r="AP1657" t="str">
            <v/>
          </cell>
          <cell r="AQ1657" t="str">
            <v/>
          </cell>
          <cell r="AR1657" t="str">
            <v>Y</v>
          </cell>
          <cell r="AS1657" t="str">
            <v/>
          </cell>
          <cell r="AT1657" t="str">
            <v>AC</v>
          </cell>
          <cell r="AU1657" t="str">
            <v>Airconditioner</v>
          </cell>
          <cell r="AV1657" t="str">
            <v>ACMU</v>
          </cell>
          <cell r="AW1657" t="str">
            <v>A/C Mock-up</v>
          </cell>
          <cell r="AX1657" t="str">
            <v>ACMUAM</v>
          </cell>
          <cell r="AY1657" t="str">
            <v>A/C Mock-up</v>
          </cell>
          <cell r="AZ1657" t="str">
            <v>ACMUAMMJ</v>
          </cell>
          <cell r="BA1657" t="str">
            <v>A/C Mock-up_Prod_RAC</v>
          </cell>
        </row>
        <row r="1658">
          <cell r="E1658" t="str">
            <v>IFC09M1N.DXWAEVH</v>
          </cell>
          <cell r="F1658">
            <v>0</v>
          </cell>
          <cell r="G1658">
            <v>0</v>
          </cell>
          <cell r="H1658">
            <v>0</v>
          </cell>
          <cell r="I1658">
            <v>13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6</v>
          </cell>
          <cell r="O1658">
            <v>0</v>
          </cell>
          <cell r="P1658">
            <v>6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 t="str">
            <v>RACPREMIUM</v>
          </cell>
          <cell r="AH1658" t="str">
            <v>RAC_Premium</v>
          </cell>
          <cell r="AI1658" t="str">
            <v/>
          </cell>
          <cell r="AJ1658" t="str">
            <v/>
          </cell>
          <cell r="AK1658" t="str">
            <v>0.063813</v>
          </cell>
          <cell r="AL1658" t="str">
            <v>0</v>
          </cell>
          <cell r="AM1658" t="str">
            <v>Q</v>
          </cell>
          <cell r="AN1658" t="str">
            <v>M0</v>
          </cell>
          <cell r="AO1658" t="str">
            <v>Active(Model)</v>
          </cell>
          <cell r="AP1658" t="str">
            <v/>
          </cell>
          <cell r="AQ1658" t="str">
            <v/>
          </cell>
          <cell r="AR1658" t="str">
            <v>Y</v>
          </cell>
          <cell r="AS1658" t="str">
            <v/>
          </cell>
          <cell r="AT1658" t="str">
            <v>AC</v>
          </cell>
          <cell r="AU1658" t="str">
            <v>Airconditioner</v>
          </cell>
          <cell r="AV1658" t="str">
            <v>ACSR</v>
          </cell>
          <cell r="AW1658" t="str">
            <v>SRAC</v>
          </cell>
          <cell r="AX1658" t="str">
            <v>ACSRIV</v>
          </cell>
          <cell r="AY1658" t="str">
            <v>Inverter</v>
          </cell>
          <cell r="AZ1658" t="str">
            <v>ACSRIVSN</v>
          </cell>
          <cell r="BA1658" t="str">
            <v>Inverter Single Split Wall_I/D</v>
          </cell>
        </row>
        <row r="1659">
          <cell r="E1659" t="str">
            <v>IFC09M1U.DXWAEVH</v>
          </cell>
          <cell r="F1659">
            <v>1</v>
          </cell>
          <cell r="G1659">
            <v>0</v>
          </cell>
          <cell r="H1659">
            <v>0</v>
          </cell>
          <cell r="I1659">
            <v>14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6</v>
          </cell>
          <cell r="O1659">
            <v>0</v>
          </cell>
          <cell r="P1659">
            <v>6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 t="str">
            <v>RACPREMIUM</v>
          </cell>
          <cell r="AH1659" t="str">
            <v>RAC_Premium</v>
          </cell>
          <cell r="AI1659" t="str">
            <v/>
          </cell>
          <cell r="AJ1659" t="str">
            <v/>
          </cell>
          <cell r="AK1659" t="str">
            <v>0.114069</v>
          </cell>
          <cell r="AL1659" t="str">
            <v>0</v>
          </cell>
          <cell r="AM1659" t="str">
            <v>Q</v>
          </cell>
          <cell r="AN1659" t="str">
            <v>M0</v>
          </cell>
          <cell r="AO1659" t="str">
            <v>Active(Model)</v>
          </cell>
          <cell r="AP1659" t="str">
            <v/>
          </cell>
          <cell r="AQ1659" t="str">
            <v/>
          </cell>
          <cell r="AR1659" t="str">
            <v>Y</v>
          </cell>
          <cell r="AS1659" t="str">
            <v/>
          </cell>
          <cell r="AT1659" t="str">
            <v>AC</v>
          </cell>
          <cell r="AU1659" t="str">
            <v>Airconditioner</v>
          </cell>
          <cell r="AV1659" t="str">
            <v>ACSR</v>
          </cell>
          <cell r="AW1659" t="str">
            <v>SRAC</v>
          </cell>
          <cell r="AX1659" t="str">
            <v>ACSRIV</v>
          </cell>
          <cell r="AY1659" t="str">
            <v>Inverter</v>
          </cell>
          <cell r="AZ1659" t="str">
            <v>ACSRIVSU</v>
          </cell>
          <cell r="BA1659" t="str">
            <v>Inverter Single Split Wall_O/D</v>
          </cell>
        </row>
        <row r="1660">
          <cell r="E1660" t="str">
            <v>IFC12M1N.DXWAEVH</v>
          </cell>
          <cell r="F1660">
            <v>1</v>
          </cell>
          <cell r="G1660">
            <v>0</v>
          </cell>
          <cell r="H1660">
            <v>0</v>
          </cell>
          <cell r="I1660">
            <v>11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 t="str">
            <v>RACPREMIUM</v>
          </cell>
          <cell r="AH1660" t="str">
            <v>RAC_Premium</v>
          </cell>
          <cell r="AI1660" t="str">
            <v/>
          </cell>
          <cell r="AJ1660" t="str">
            <v/>
          </cell>
          <cell r="AK1660" t="str">
            <v>0.068796</v>
          </cell>
          <cell r="AL1660" t="str">
            <v>0</v>
          </cell>
          <cell r="AM1660" t="str">
            <v>Q</v>
          </cell>
          <cell r="AN1660" t="str">
            <v>M0</v>
          </cell>
          <cell r="AO1660" t="str">
            <v>Active(Model)</v>
          </cell>
          <cell r="AP1660" t="str">
            <v/>
          </cell>
          <cell r="AQ1660" t="str">
            <v/>
          </cell>
          <cell r="AR1660" t="str">
            <v>Y</v>
          </cell>
          <cell r="AS1660" t="str">
            <v/>
          </cell>
          <cell r="AT1660" t="str">
            <v>AC</v>
          </cell>
          <cell r="AU1660" t="str">
            <v>Airconditioner</v>
          </cell>
          <cell r="AV1660" t="str">
            <v>ACSR</v>
          </cell>
          <cell r="AW1660" t="str">
            <v>SRAC</v>
          </cell>
          <cell r="AX1660" t="str">
            <v>ACSRIV</v>
          </cell>
          <cell r="AY1660" t="str">
            <v>Inverter</v>
          </cell>
          <cell r="AZ1660" t="str">
            <v>ACSRIVSN</v>
          </cell>
          <cell r="BA1660" t="str">
            <v>Inverter Single Split Wall_I/D</v>
          </cell>
        </row>
        <row r="1661">
          <cell r="E1661" t="str">
            <v>IFC12M1U.DXWAEVH</v>
          </cell>
          <cell r="F1661">
            <v>1</v>
          </cell>
          <cell r="G1661">
            <v>0</v>
          </cell>
          <cell r="H1661">
            <v>0</v>
          </cell>
          <cell r="I1661">
            <v>11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 t="str">
            <v>RACPREMIUM</v>
          </cell>
          <cell r="AH1661" t="str">
            <v>RAC_Premium</v>
          </cell>
          <cell r="AI1661" t="str">
            <v/>
          </cell>
          <cell r="AJ1661" t="str">
            <v/>
          </cell>
          <cell r="AK1661" t="str">
            <v>0.114069</v>
          </cell>
          <cell r="AL1661" t="str">
            <v>0</v>
          </cell>
          <cell r="AM1661" t="str">
            <v>Q</v>
          </cell>
          <cell r="AN1661" t="str">
            <v>M0</v>
          </cell>
          <cell r="AO1661" t="str">
            <v>Active(Model)</v>
          </cell>
          <cell r="AP1661" t="str">
            <v/>
          </cell>
          <cell r="AQ1661" t="str">
            <v/>
          </cell>
          <cell r="AR1661" t="str">
            <v>Y</v>
          </cell>
          <cell r="AS1661" t="str">
            <v/>
          </cell>
          <cell r="AT1661" t="str">
            <v>AC</v>
          </cell>
          <cell r="AU1661" t="str">
            <v>Airconditioner</v>
          </cell>
          <cell r="AV1661" t="str">
            <v>ACSR</v>
          </cell>
          <cell r="AW1661" t="str">
            <v>SRAC</v>
          </cell>
          <cell r="AX1661" t="str">
            <v>ACSRIV</v>
          </cell>
          <cell r="AY1661" t="str">
            <v>Inverter</v>
          </cell>
          <cell r="AZ1661" t="str">
            <v>ACSRIVSU</v>
          </cell>
          <cell r="BA1661" t="str">
            <v>Inverter Single Split Wall_O/D</v>
          </cell>
        </row>
        <row r="1662">
          <cell r="E1662" t="str">
            <v>IFC18M1N.DXWAEVH</v>
          </cell>
          <cell r="F1662">
            <v>0</v>
          </cell>
          <cell r="G1662">
            <v>0</v>
          </cell>
          <cell r="H1662">
            <v>0</v>
          </cell>
          <cell r="I1662">
            <v>13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 t="str">
            <v>RACPREMIUM</v>
          </cell>
          <cell r="AH1662" t="str">
            <v>RAC_Premium</v>
          </cell>
          <cell r="AI1662" t="str">
            <v/>
          </cell>
          <cell r="AJ1662" t="str">
            <v/>
          </cell>
          <cell r="AK1662" t="str">
            <v>0.100880</v>
          </cell>
          <cell r="AL1662" t="str">
            <v>0</v>
          </cell>
          <cell r="AM1662" t="str">
            <v>Q</v>
          </cell>
          <cell r="AN1662" t="str">
            <v>M0</v>
          </cell>
          <cell r="AO1662" t="str">
            <v>Active(Model)</v>
          </cell>
          <cell r="AP1662" t="str">
            <v/>
          </cell>
          <cell r="AQ1662" t="str">
            <v/>
          </cell>
          <cell r="AR1662" t="str">
            <v>Y</v>
          </cell>
          <cell r="AS1662" t="str">
            <v/>
          </cell>
          <cell r="AT1662" t="str">
            <v>AC</v>
          </cell>
          <cell r="AU1662" t="str">
            <v>Airconditioner</v>
          </cell>
          <cell r="AV1662" t="str">
            <v>ACSR</v>
          </cell>
          <cell r="AW1662" t="str">
            <v>SRAC</v>
          </cell>
          <cell r="AX1662" t="str">
            <v>ACSRIV</v>
          </cell>
          <cell r="AY1662" t="str">
            <v>Inverter</v>
          </cell>
          <cell r="AZ1662" t="str">
            <v>ACSRIVSN</v>
          </cell>
          <cell r="BA1662" t="str">
            <v>Inverter Single Split Wall_I/D</v>
          </cell>
        </row>
        <row r="1663">
          <cell r="E1663" t="str">
            <v>IFC18M1U.DXWAEVH</v>
          </cell>
          <cell r="F1663">
            <v>0</v>
          </cell>
          <cell r="G1663">
            <v>0</v>
          </cell>
          <cell r="H1663">
            <v>0</v>
          </cell>
          <cell r="I1663">
            <v>13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 t="str">
            <v>RACPREMIUM</v>
          </cell>
          <cell r="AH1663" t="str">
            <v>RAC_Premium</v>
          </cell>
          <cell r="AI1663" t="str">
            <v/>
          </cell>
          <cell r="AJ1663" t="str">
            <v/>
          </cell>
          <cell r="AK1663" t="str">
            <v>0.166082</v>
          </cell>
          <cell r="AL1663" t="str">
            <v>0</v>
          </cell>
          <cell r="AM1663" t="str">
            <v>Q</v>
          </cell>
          <cell r="AN1663" t="str">
            <v>M0</v>
          </cell>
          <cell r="AO1663" t="str">
            <v>Active(Model)</v>
          </cell>
          <cell r="AP1663" t="str">
            <v/>
          </cell>
          <cell r="AQ1663" t="str">
            <v/>
          </cell>
          <cell r="AR1663" t="str">
            <v>Y</v>
          </cell>
          <cell r="AS1663" t="str">
            <v/>
          </cell>
          <cell r="AT1663" t="str">
            <v>AC</v>
          </cell>
          <cell r="AU1663" t="str">
            <v>Airconditioner</v>
          </cell>
          <cell r="AV1663" t="str">
            <v>ACSR</v>
          </cell>
          <cell r="AW1663" t="str">
            <v>SRAC</v>
          </cell>
          <cell r="AX1663" t="str">
            <v>ACSRIV</v>
          </cell>
          <cell r="AY1663" t="str">
            <v>Inverter</v>
          </cell>
          <cell r="AZ1663" t="str">
            <v>ACSRIVSU</v>
          </cell>
          <cell r="BA1663" t="str">
            <v>Inverter Single Split Wall_O/D</v>
          </cell>
        </row>
        <row r="1664">
          <cell r="E1664" t="str">
            <v>IOC09S1N.ATYGEVH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1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1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 t="str">
            <v>RACPREMIUM</v>
          </cell>
          <cell r="AH1664" t="str">
            <v>RAC_Premium</v>
          </cell>
          <cell r="AI1664" t="str">
            <v/>
          </cell>
          <cell r="AJ1664" t="str">
            <v/>
          </cell>
          <cell r="AK1664" t="str">
            <v>0.088857</v>
          </cell>
          <cell r="AL1664" t="str">
            <v>0</v>
          </cell>
          <cell r="AM1664" t="str">
            <v>Q</v>
          </cell>
          <cell r="AN1664" t="str">
            <v>M0</v>
          </cell>
          <cell r="AO1664" t="str">
            <v>Active(Model)</v>
          </cell>
          <cell r="AP1664" t="str">
            <v/>
          </cell>
          <cell r="AQ1664" t="str">
            <v/>
          </cell>
          <cell r="AR1664" t="str">
            <v>Y</v>
          </cell>
          <cell r="AS1664" t="str">
            <v/>
          </cell>
          <cell r="AT1664" t="str">
            <v>AC</v>
          </cell>
          <cell r="AU1664" t="str">
            <v>Airconditioner</v>
          </cell>
          <cell r="AV1664" t="str">
            <v>ACSR</v>
          </cell>
          <cell r="AW1664" t="str">
            <v>SRAC</v>
          </cell>
          <cell r="AX1664" t="str">
            <v>ACSRIV</v>
          </cell>
          <cell r="AY1664" t="str">
            <v>Inverter</v>
          </cell>
          <cell r="AZ1664" t="str">
            <v>ACSRIVSN</v>
          </cell>
          <cell r="BA1664" t="str">
            <v>Inverter Single Split Wall_I/D</v>
          </cell>
        </row>
        <row r="1665">
          <cell r="E1665" t="str">
            <v>IOC09S1U.ATYGEVH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1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1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 t="str">
            <v>RACPREMIUM</v>
          </cell>
          <cell r="AH1665" t="str">
            <v>RAC_Premium</v>
          </cell>
          <cell r="AI1665" t="str">
            <v/>
          </cell>
          <cell r="AJ1665" t="str">
            <v/>
          </cell>
          <cell r="AK1665" t="str">
            <v>0.142216</v>
          </cell>
          <cell r="AL1665" t="str">
            <v>0</v>
          </cell>
          <cell r="AM1665" t="str">
            <v>Q</v>
          </cell>
          <cell r="AN1665" t="str">
            <v>M0</v>
          </cell>
          <cell r="AO1665" t="str">
            <v>Active(Model)</v>
          </cell>
          <cell r="AP1665" t="str">
            <v/>
          </cell>
          <cell r="AQ1665" t="str">
            <v/>
          </cell>
          <cell r="AR1665" t="str">
            <v>Y</v>
          </cell>
          <cell r="AS1665" t="str">
            <v/>
          </cell>
          <cell r="AT1665" t="str">
            <v>AC</v>
          </cell>
          <cell r="AU1665" t="str">
            <v>Airconditioner</v>
          </cell>
          <cell r="AV1665" t="str">
            <v>ACSR</v>
          </cell>
          <cell r="AW1665" t="str">
            <v>SRAC</v>
          </cell>
          <cell r="AX1665" t="str">
            <v>ACSRIV</v>
          </cell>
          <cell r="AY1665" t="str">
            <v>Inverter</v>
          </cell>
          <cell r="AZ1665" t="str">
            <v>ACSRIVSU</v>
          </cell>
          <cell r="BA1665" t="str">
            <v>Inverter Single Split Wall_O/D</v>
          </cell>
        </row>
        <row r="1666">
          <cell r="E1666" t="str">
            <v>IOC12S1N.ATYGEVH</v>
          </cell>
          <cell r="F1666">
            <v>0</v>
          </cell>
          <cell r="G1666">
            <v>0</v>
          </cell>
          <cell r="H1666">
            <v>0</v>
          </cell>
          <cell r="I1666">
            <v>1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1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 t="str">
            <v>RACPREMIUM</v>
          </cell>
          <cell r="AH1666" t="str">
            <v>RAC_Premium</v>
          </cell>
          <cell r="AI1666" t="str">
            <v/>
          </cell>
          <cell r="AJ1666" t="str">
            <v/>
          </cell>
          <cell r="AK1666" t="str">
            <v>0.088857</v>
          </cell>
          <cell r="AL1666" t="str">
            <v>0</v>
          </cell>
          <cell r="AM1666" t="str">
            <v>Q</v>
          </cell>
          <cell r="AN1666" t="str">
            <v>M0</v>
          </cell>
          <cell r="AO1666" t="str">
            <v>Active(Model)</v>
          </cell>
          <cell r="AP1666" t="str">
            <v/>
          </cell>
          <cell r="AQ1666" t="str">
            <v/>
          </cell>
          <cell r="AR1666" t="str">
            <v>Y</v>
          </cell>
          <cell r="AS1666" t="str">
            <v/>
          </cell>
          <cell r="AT1666" t="str">
            <v>AC</v>
          </cell>
          <cell r="AU1666" t="str">
            <v>Airconditioner</v>
          </cell>
          <cell r="AV1666" t="str">
            <v>ACSR</v>
          </cell>
          <cell r="AW1666" t="str">
            <v>SRAC</v>
          </cell>
          <cell r="AX1666" t="str">
            <v>ACSRIV</v>
          </cell>
          <cell r="AY1666" t="str">
            <v>Inverter</v>
          </cell>
          <cell r="AZ1666" t="str">
            <v>ACSRIVSN</v>
          </cell>
          <cell r="BA1666" t="str">
            <v>Inverter Single Split Wall_I/D</v>
          </cell>
        </row>
        <row r="1667">
          <cell r="E1667" t="str">
            <v>IOC12S1U.ATYGEVH</v>
          </cell>
          <cell r="F1667">
            <v>0</v>
          </cell>
          <cell r="G1667">
            <v>0</v>
          </cell>
          <cell r="H1667">
            <v>0</v>
          </cell>
          <cell r="I1667">
            <v>1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1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 t="str">
            <v>RACPREMIUM</v>
          </cell>
          <cell r="AH1667" t="str">
            <v>RAC_Premium</v>
          </cell>
          <cell r="AI1667" t="str">
            <v/>
          </cell>
          <cell r="AJ1667" t="str">
            <v/>
          </cell>
          <cell r="AK1667" t="str">
            <v>0.142216</v>
          </cell>
          <cell r="AL1667" t="str">
            <v>0</v>
          </cell>
          <cell r="AM1667" t="str">
            <v>Q</v>
          </cell>
          <cell r="AN1667" t="str">
            <v>M0</v>
          </cell>
          <cell r="AO1667" t="str">
            <v>Active(Model)</v>
          </cell>
          <cell r="AP1667" t="str">
            <v/>
          </cell>
          <cell r="AQ1667" t="str">
            <v/>
          </cell>
          <cell r="AR1667" t="str">
            <v>Y</v>
          </cell>
          <cell r="AS1667" t="str">
            <v/>
          </cell>
          <cell r="AT1667" t="str">
            <v>AC</v>
          </cell>
          <cell r="AU1667" t="str">
            <v>Airconditioner</v>
          </cell>
          <cell r="AV1667" t="str">
            <v>ACSR</v>
          </cell>
          <cell r="AW1667" t="str">
            <v>SRAC</v>
          </cell>
          <cell r="AX1667" t="str">
            <v>ACSRIV</v>
          </cell>
          <cell r="AY1667" t="str">
            <v>Inverter</v>
          </cell>
          <cell r="AZ1667" t="str">
            <v>ACSRIVSU</v>
          </cell>
          <cell r="BA1667" t="str">
            <v>Inverter Single Split Wall_O/D</v>
          </cell>
        </row>
        <row r="1668">
          <cell r="E1668" t="str">
            <v>IPC09M1N.ATYGEVH</v>
          </cell>
          <cell r="F1668">
            <v>0</v>
          </cell>
          <cell r="G1668">
            <v>0</v>
          </cell>
          <cell r="H1668">
            <v>0</v>
          </cell>
          <cell r="I1668">
            <v>1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 t="str">
            <v>RACPREMIUM</v>
          </cell>
          <cell r="AH1668" t="str">
            <v>RAC_Premium</v>
          </cell>
          <cell r="AI1668" t="str">
            <v/>
          </cell>
          <cell r="AJ1668" t="str">
            <v/>
          </cell>
          <cell r="AK1668" t="str">
            <v>0.108516</v>
          </cell>
          <cell r="AL1668" t="str">
            <v>0</v>
          </cell>
          <cell r="AM1668" t="str">
            <v>Q</v>
          </cell>
          <cell r="AN1668" t="str">
            <v>M0</v>
          </cell>
          <cell r="AO1668" t="str">
            <v>Active(Model)</v>
          </cell>
          <cell r="AP1668" t="str">
            <v/>
          </cell>
          <cell r="AQ1668" t="str">
            <v/>
          </cell>
          <cell r="AR1668" t="str">
            <v>Y</v>
          </cell>
          <cell r="AS1668" t="str">
            <v/>
          </cell>
          <cell r="AT1668" t="str">
            <v>AC</v>
          </cell>
          <cell r="AU1668" t="str">
            <v>Airconditioner</v>
          </cell>
          <cell r="AV1668" t="str">
            <v>ACSR</v>
          </cell>
          <cell r="AW1668" t="str">
            <v>SRAC</v>
          </cell>
          <cell r="AX1668" t="str">
            <v>ACSRIV</v>
          </cell>
          <cell r="AY1668" t="str">
            <v>Inverter</v>
          </cell>
          <cell r="AZ1668" t="str">
            <v>ACSRIVSN</v>
          </cell>
          <cell r="BA1668" t="str">
            <v>Inverter Single Split Wall_I/D</v>
          </cell>
        </row>
        <row r="1669">
          <cell r="E1669" t="str">
            <v>IPC09M1U.ATYGEVH</v>
          </cell>
          <cell r="F1669">
            <v>0</v>
          </cell>
          <cell r="G1669">
            <v>0</v>
          </cell>
          <cell r="H1669">
            <v>0</v>
          </cell>
          <cell r="I1669">
            <v>1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 t="str">
            <v>RACPREMIUM</v>
          </cell>
          <cell r="AH1669" t="str">
            <v>RAC_Premium</v>
          </cell>
          <cell r="AI1669" t="str">
            <v/>
          </cell>
          <cell r="AJ1669" t="str">
            <v/>
          </cell>
          <cell r="AK1669" t="str">
            <v>0.211677</v>
          </cell>
          <cell r="AL1669" t="str">
            <v>0</v>
          </cell>
          <cell r="AM1669" t="str">
            <v>Q</v>
          </cell>
          <cell r="AN1669" t="str">
            <v>M0</v>
          </cell>
          <cell r="AO1669" t="str">
            <v>Active(Model)</v>
          </cell>
          <cell r="AP1669" t="str">
            <v/>
          </cell>
          <cell r="AQ1669" t="str">
            <v/>
          </cell>
          <cell r="AR1669" t="str">
            <v>Y</v>
          </cell>
          <cell r="AS1669" t="str">
            <v/>
          </cell>
          <cell r="AT1669" t="str">
            <v>AC</v>
          </cell>
          <cell r="AU1669" t="str">
            <v>Airconditioner</v>
          </cell>
          <cell r="AV1669" t="str">
            <v>ACSR</v>
          </cell>
          <cell r="AW1669" t="str">
            <v>SRAC</v>
          </cell>
          <cell r="AX1669" t="str">
            <v>ACSRIV</v>
          </cell>
          <cell r="AY1669" t="str">
            <v>Inverter</v>
          </cell>
          <cell r="AZ1669" t="str">
            <v>ACSRIVSU</v>
          </cell>
          <cell r="BA1669" t="str">
            <v>Inverter Single Split Wall_O/D</v>
          </cell>
        </row>
        <row r="1670">
          <cell r="E1670" t="str">
            <v>LBB33BGMAI.ABEPEVN</v>
          </cell>
          <cell r="F1670">
            <v>0</v>
          </cell>
          <cell r="G1670">
            <v>0</v>
          </cell>
          <cell r="H1670">
            <v>0</v>
          </cell>
          <cell r="I1670">
            <v>1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 t="str">
            <v>REFPREMIUM</v>
          </cell>
          <cell r="AH1670" t="str">
            <v>REF_Premium</v>
          </cell>
          <cell r="AI1670" t="str">
            <v/>
          </cell>
          <cell r="AJ1670" t="str">
            <v/>
          </cell>
          <cell r="AK1670" t="str">
            <v>0.872636</v>
          </cell>
          <cell r="AL1670" t="str">
            <v>2</v>
          </cell>
          <cell r="AM1670" t="str">
            <v>Q</v>
          </cell>
          <cell r="AN1670" t="str">
            <v>M0</v>
          </cell>
          <cell r="AO1670" t="str">
            <v>Active(Model)</v>
          </cell>
          <cell r="AP1670" t="str">
            <v/>
          </cell>
          <cell r="AQ1670" t="str">
            <v/>
          </cell>
          <cell r="AR1670" t="str">
            <v>Y</v>
          </cell>
          <cell r="AS1670" t="str">
            <v/>
          </cell>
          <cell r="AT1670" t="str">
            <v>RF</v>
          </cell>
          <cell r="AU1670" t="str">
            <v>Refrigerator</v>
          </cell>
          <cell r="AV1670" t="str">
            <v>RFBF</v>
          </cell>
          <cell r="AW1670" t="str">
            <v>Bottom Freezer</v>
          </cell>
          <cell r="AX1670" t="str">
            <v>RFBFBF</v>
          </cell>
          <cell r="AY1670" t="str">
            <v>Bottom Freezer</v>
          </cell>
          <cell r="AZ1670" t="str">
            <v>RFBFBF2D</v>
          </cell>
          <cell r="BA1670" t="str">
            <v>2D Bottom Freezer</v>
          </cell>
        </row>
        <row r="1671">
          <cell r="E1671" t="str">
            <v>LBB33BLGA.ABMPEVN</v>
          </cell>
          <cell r="F1671">
            <v>0</v>
          </cell>
          <cell r="G1671">
            <v>0</v>
          </cell>
          <cell r="H1671">
            <v>0</v>
          </cell>
          <cell r="I1671">
            <v>1</v>
          </cell>
          <cell r="J1671">
            <v>0</v>
          </cell>
          <cell r="K1671">
            <v>5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 t="str">
            <v>REFPREMIUM</v>
          </cell>
          <cell r="AH1671" t="str">
            <v>REF_Premium</v>
          </cell>
          <cell r="AI1671" t="str">
            <v/>
          </cell>
          <cell r="AJ1671" t="str">
            <v/>
          </cell>
          <cell r="AK1671" t="str">
            <v>0.837040</v>
          </cell>
          <cell r="AL1671" t="str">
            <v>2</v>
          </cell>
          <cell r="AM1671" t="str">
            <v>Q</v>
          </cell>
          <cell r="AN1671" t="str">
            <v>M0</v>
          </cell>
          <cell r="AO1671" t="str">
            <v>Active(Model)</v>
          </cell>
          <cell r="AP1671" t="str">
            <v/>
          </cell>
          <cell r="AQ1671" t="str">
            <v/>
          </cell>
          <cell r="AR1671" t="str">
            <v>Y</v>
          </cell>
          <cell r="AS1671" t="str">
            <v/>
          </cell>
          <cell r="AT1671" t="str">
            <v>RF</v>
          </cell>
          <cell r="AU1671" t="str">
            <v>Refrigerator</v>
          </cell>
          <cell r="AV1671" t="str">
            <v>RFBF</v>
          </cell>
          <cell r="AW1671" t="str">
            <v>Bottom Freezer</v>
          </cell>
          <cell r="AX1671" t="str">
            <v>RFBFBF</v>
          </cell>
          <cell r="AY1671" t="str">
            <v>Bottom Freezer</v>
          </cell>
          <cell r="AZ1671" t="str">
            <v>RFBFBF2D</v>
          </cell>
          <cell r="BA1671" t="str">
            <v>2D Bottom Freezer</v>
          </cell>
        </row>
        <row r="1672">
          <cell r="E1672" t="str">
            <v>LBB33BLM.AEPPEVN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64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 t="str">
            <v>REFPREMIUM</v>
          </cell>
          <cell r="AH1672" t="str">
            <v>REF_Premium</v>
          </cell>
          <cell r="AI1672" t="str">
            <v/>
          </cell>
          <cell r="AJ1672" t="str">
            <v/>
          </cell>
          <cell r="AK1672" t="str">
            <v>0.872636</v>
          </cell>
          <cell r="AL1672" t="str">
            <v>2</v>
          </cell>
          <cell r="AM1672" t="str">
            <v>Q</v>
          </cell>
          <cell r="AN1672" t="str">
            <v>M0</v>
          </cell>
          <cell r="AO1672" t="str">
            <v>Active(Model)</v>
          </cell>
          <cell r="AP1672" t="str">
            <v/>
          </cell>
          <cell r="AQ1672" t="str">
            <v/>
          </cell>
          <cell r="AR1672" t="str">
            <v>Y</v>
          </cell>
          <cell r="AS1672" t="str">
            <v/>
          </cell>
          <cell r="AT1672" t="str">
            <v>RF</v>
          </cell>
          <cell r="AU1672" t="str">
            <v>Refrigerator</v>
          </cell>
          <cell r="AV1672" t="str">
            <v>RFBF</v>
          </cell>
          <cell r="AW1672" t="str">
            <v>Bottom Freezer</v>
          </cell>
          <cell r="AX1672" t="str">
            <v>RFBFBF</v>
          </cell>
          <cell r="AY1672" t="str">
            <v>Bottom Freezer</v>
          </cell>
          <cell r="AZ1672" t="str">
            <v>RFBFBF2D</v>
          </cell>
          <cell r="BA1672" t="str">
            <v>2D Bottom Freezer</v>
          </cell>
        </row>
        <row r="1673">
          <cell r="E1673" t="str">
            <v>LBB33BLMAI.AEPPEVN</v>
          </cell>
          <cell r="F1673">
            <v>0</v>
          </cell>
          <cell r="G1673">
            <v>0</v>
          </cell>
          <cell r="H1673">
            <v>0</v>
          </cell>
          <cell r="I1673">
            <v>1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 t="str">
            <v>REFPREMIUM</v>
          </cell>
          <cell r="AH1673" t="str">
            <v>REF_Premium</v>
          </cell>
          <cell r="AI1673" t="str">
            <v/>
          </cell>
          <cell r="AJ1673" t="str">
            <v/>
          </cell>
          <cell r="AK1673" t="str">
            <v>0.872636</v>
          </cell>
          <cell r="AL1673" t="str">
            <v>2</v>
          </cell>
          <cell r="AM1673" t="str">
            <v>Q</v>
          </cell>
          <cell r="AN1673" t="str">
            <v>M0</v>
          </cell>
          <cell r="AO1673" t="str">
            <v>Active(Model)</v>
          </cell>
          <cell r="AP1673" t="str">
            <v/>
          </cell>
          <cell r="AQ1673" t="str">
            <v/>
          </cell>
          <cell r="AR1673" t="str">
            <v>Y</v>
          </cell>
          <cell r="AS1673" t="str">
            <v/>
          </cell>
          <cell r="AT1673" t="str">
            <v>RF</v>
          </cell>
          <cell r="AU1673" t="str">
            <v>Refrigerator</v>
          </cell>
          <cell r="AV1673" t="str">
            <v>RFBF</v>
          </cell>
          <cell r="AW1673" t="str">
            <v>Bottom Freezer</v>
          </cell>
          <cell r="AX1673" t="str">
            <v>RFBFBF</v>
          </cell>
          <cell r="AY1673" t="str">
            <v>Bottom Freezer</v>
          </cell>
          <cell r="AZ1673" t="str">
            <v>RFBFBF2D</v>
          </cell>
          <cell r="BA1673" t="str">
            <v>2D Bottom Freezer</v>
          </cell>
        </row>
        <row r="1674">
          <cell r="E1674" t="str">
            <v>LBD33BLM.AEPPEVN</v>
          </cell>
          <cell r="F1674">
            <v>0</v>
          </cell>
          <cell r="G1674">
            <v>0</v>
          </cell>
          <cell r="H1674">
            <v>0</v>
          </cell>
          <cell r="I1674">
            <v>4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 t="str">
            <v>REFPREMIUM</v>
          </cell>
          <cell r="AH1674" t="str">
            <v>REF_Premium</v>
          </cell>
          <cell r="AI1674" t="str">
            <v/>
          </cell>
          <cell r="AJ1674" t="str">
            <v/>
          </cell>
          <cell r="AK1674" t="str">
            <v>0.872636</v>
          </cell>
          <cell r="AL1674" t="str">
            <v>2</v>
          </cell>
          <cell r="AM1674" t="str">
            <v>Q</v>
          </cell>
          <cell r="AN1674" t="str">
            <v>M0</v>
          </cell>
          <cell r="AO1674" t="str">
            <v>Active(Model)</v>
          </cell>
          <cell r="AP1674" t="str">
            <v/>
          </cell>
          <cell r="AQ1674" t="str">
            <v/>
          </cell>
          <cell r="AR1674" t="str">
            <v>Y</v>
          </cell>
          <cell r="AS1674" t="str">
            <v/>
          </cell>
          <cell r="AT1674" t="str">
            <v>RF</v>
          </cell>
          <cell r="AU1674" t="str">
            <v>Refrigerator</v>
          </cell>
          <cell r="AV1674" t="str">
            <v>RFBF</v>
          </cell>
          <cell r="AW1674" t="str">
            <v>Bottom Freezer</v>
          </cell>
          <cell r="AX1674" t="str">
            <v>RFBFBF</v>
          </cell>
          <cell r="AY1674" t="str">
            <v>Bottom Freezer</v>
          </cell>
          <cell r="AZ1674" t="str">
            <v>RFBFBF2D</v>
          </cell>
          <cell r="BA1674" t="str">
            <v>2D Bottom Freezer</v>
          </cell>
        </row>
        <row r="1675">
          <cell r="E1675" t="str">
            <v>LBD33BLMA.AEPPEVN</v>
          </cell>
          <cell r="F1675">
            <v>0</v>
          </cell>
          <cell r="G1675">
            <v>0</v>
          </cell>
          <cell r="H1675">
            <v>0</v>
          </cell>
          <cell r="I1675">
            <v>1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 t="str">
            <v>REFPREMIUM</v>
          </cell>
          <cell r="AH1675" t="str">
            <v>REF_Premium</v>
          </cell>
          <cell r="AI1675" t="str">
            <v/>
          </cell>
          <cell r="AJ1675" t="str">
            <v/>
          </cell>
          <cell r="AK1675" t="str">
            <v>0.872636</v>
          </cell>
          <cell r="AL1675" t="str">
            <v>2</v>
          </cell>
          <cell r="AM1675" t="str">
            <v>Q</v>
          </cell>
          <cell r="AN1675" t="str">
            <v>M0</v>
          </cell>
          <cell r="AO1675" t="str">
            <v>Active(Model)</v>
          </cell>
          <cell r="AP1675" t="str">
            <v/>
          </cell>
          <cell r="AQ1675" t="str">
            <v/>
          </cell>
          <cell r="AR1675" t="str">
            <v>Y</v>
          </cell>
          <cell r="AS1675" t="str">
            <v/>
          </cell>
          <cell r="AT1675" t="str">
            <v>RF</v>
          </cell>
          <cell r="AU1675" t="str">
            <v>Refrigerator</v>
          </cell>
          <cell r="AV1675" t="str">
            <v>RFBF</v>
          </cell>
          <cell r="AW1675" t="str">
            <v>Bottom Freezer</v>
          </cell>
          <cell r="AX1675" t="str">
            <v>RFBFBF</v>
          </cell>
          <cell r="AY1675" t="str">
            <v>Bottom Freezer</v>
          </cell>
          <cell r="AZ1675" t="str">
            <v>RFBFBF2D</v>
          </cell>
          <cell r="BA1675" t="str">
            <v>2D Bottom Freezer</v>
          </cell>
        </row>
        <row r="1676">
          <cell r="E1676" t="str">
            <v>LDN14BLA5.ABMPEVN</v>
          </cell>
          <cell r="F1676">
            <v>4</v>
          </cell>
          <cell r="G1676">
            <v>0</v>
          </cell>
          <cell r="H1676">
            <v>0</v>
          </cell>
          <cell r="I1676">
            <v>16</v>
          </cell>
          <cell r="J1676">
            <v>2</v>
          </cell>
          <cell r="K1676">
            <v>0</v>
          </cell>
          <cell r="L1676">
            <v>0</v>
          </cell>
          <cell r="M1676">
            <v>0</v>
          </cell>
          <cell r="N1676">
            <v>6</v>
          </cell>
          <cell r="O1676">
            <v>0</v>
          </cell>
          <cell r="P1676">
            <v>6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 t="str">
            <v>WM</v>
          </cell>
          <cell r="AH1676" t="str">
            <v>WASHING MACHINE</v>
          </cell>
          <cell r="AI1676" t="str">
            <v/>
          </cell>
          <cell r="AJ1676" t="str">
            <v/>
          </cell>
          <cell r="AK1676" t="str">
            <v>0.402458</v>
          </cell>
          <cell r="AL1676" t="str">
            <v>2</v>
          </cell>
          <cell r="AM1676" t="str">
            <v>Q</v>
          </cell>
          <cell r="AN1676" t="str">
            <v>M0</v>
          </cell>
          <cell r="AO1676" t="str">
            <v>Active(Model)</v>
          </cell>
          <cell r="AP1676" t="str">
            <v/>
          </cell>
          <cell r="AQ1676" t="str">
            <v/>
          </cell>
          <cell r="AR1676" t="str">
            <v>Y</v>
          </cell>
          <cell r="AS1676" t="str">
            <v/>
          </cell>
          <cell r="AT1676" t="str">
            <v>WM</v>
          </cell>
          <cell r="AU1676" t="str">
            <v>Washing Machine</v>
          </cell>
          <cell r="AV1676" t="str">
            <v>WMWK</v>
          </cell>
          <cell r="AW1676" t="str">
            <v>Dishwasher</v>
          </cell>
          <cell r="AX1676" t="str">
            <v>WMWKWK</v>
          </cell>
          <cell r="AY1676" t="str">
            <v>Dishwasher</v>
          </cell>
          <cell r="AZ1676" t="str">
            <v>WMWKWKDA</v>
          </cell>
          <cell r="BA1676" t="str">
            <v>Dishwasher</v>
          </cell>
        </row>
        <row r="1677">
          <cell r="E1677" t="str">
            <v>LDT14BGA3.ANBPEVN</v>
          </cell>
          <cell r="F1677">
            <v>0</v>
          </cell>
          <cell r="G1677">
            <v>0</v>
          </cell>
          <cell r="H1677">
            <v>0</v>
          </cell>
          <cell r="I1677">
            <v>8</v>
          </cell>
          <cell r="J1677">
            <v>1</v>
          </cell>
          <cell r="K1677">
            <v>0</v>
          </cell>
          <cell r="L1677">
            <v>0</v>
          </cell>
          <cell r="M1677">
            <v>0</v>
          </cell>
          <cell r="N1677">
            <v>5</v>
          </cell>
          <cell r="O1677">
            <v>10</v>
          </cell>
          <cell r="P1677">
            <v>5</v>
          </cell>
          <cell r="Q1677">
            <v>0</v>
          </cell>
          <cell r="R1677">
            <v>0</v>
          </cell>
          <cell r="S1677">
            <v>2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 t="str">
            <v/>
          </cell>
          <cell r="AH1677" t="str">
            <v/>
          </cell>
          <cell r="AI1677" t="str">
            <v/>
          </cell>
          <cell r="AJ1677" t="str">
            <v/>
          </cell>
          <cell r="AK1677" t="str">
            <v>0.402458</v>
          </cell>
          <cell r="AL1677" t="str">
            <v>2</v>
          </cell>
          <cell r="AM1677" t="str">
            <v>Q</v>
          </cell>
          <cell r="AN1677" t="str">
            <v>M0</v>
          </cell>
          <cell r="AO1677" t="str">
            <v>Active(Model)</v>
          </cell>
          <cell r="AP1677" t="str">
            <v/>
          </cell>
          <cell r="AQ1677" t="str">
            <v/>
          </cell>
          <cell r="AR1677" t="str">
            <v>Y</v>
          </cell>
          <cell r="AS1677" t="str">
            <v/>
          </cell>
          <cell r="AT1677" t="str">
            <v>WM</v>
          </cell>
          <cell r="AU1677" t="str">
            <v>Washing Machine</v>
          </cell>
          <cell r="AV1677" t="str">
            <v>WMWK</v>
          </cell>
          <cell r="AW1677" t="str">
            <v>Dishwasher</v>
          </cell>
          <cell r="AX1677" t="str">
            <v>WMWKWK</v>
          </cell>
          <cell r="AY1677" t="str">
            <v>Dishwasher</v>
          </cell>
          <cell r="AZ1677" t="str">
            <v>WMWKWKDA</v>
          </cell>
          <cell r="BA1677" t="str">
            <v>Dishwasher</v>
          </cell>
        </row>
        <row r="1678">
          <cell r="E1678" t="str">
            <v>LDT14BLA4.ABMPEVN</v>
          </cell>
          <cell r="F1678">
            <v>3</v>
          </cell>
          <cell r="G1678">
            <v>0</v>
          </cell>
          <cell r="H1678">
            <v>0</v>
          </cell>
          <cell r="I1678">
            <v>3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18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 t="str">
            <v/>
          </cell>
          <cell r="AH1678" t="str">
            <v/>
          </cell>
          <cell r="AI1678" t="str">
            <v/>
          </cell>
          <cell r="AJ1678" t="str">
            <v/>
          </cell>
          <cell r="AK1678" t="str">
            <v>0.402458</v>
          </cell>
          <cell r="AL1678" t="str">
            <v>2</v>
          </cell>
          <cell r="AM1678" t="str">
            <v>Q</v>
          </cell>
          <cell r="AN1678" t="str">
            <v>M0</v>
          </cell>
          <cell r="AO1678" t="str">
            <v>Active(Model)</v>
          </cell>
          <cell r="AP1678" t="str">
            <v/>
          </cell>
          <cell r="AQ1678" t="str">
            <v/>
          </cell>
          <cell r="AR1678" t="str">
            <v>Y</v>
          </cell>
          <cell r="AS1678" t="str">
            <v/>
          </cell>
          <cell r="AT1678" t="str">
            <v>WM</v>
          </cell>
          <cell r="AU1678" t="str">
            <v>Washing Machine</v>
          </cell>
          <cell r="AV1678" t="str">
            <v>WMWK</v>
          </cell>
          <cell r="AW1678" t="str">
            <v>Dishwasher</v>
          </cell>
          <cell r="AX1678" t="str">
            <v>WMWKWK</v>
          </cell>
          <cell r="AY1678" t="str">
            <v>Dishwasher</v>
          </cell>
          <cell r="AZ1678" t="str">
            <v>WMWKWKDA</v>
          </cell>
          <cell r="BA1678" t="str">
            <v>Dishwasher</v>
          </cell>
        </row>
        <row r="1679">
          <cell r="E1679" t="str">
            <v>LDT14BSA4.ABDPEVN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1</v>
          </cell>
          <cell r="L1679">
            <v>0</v>
          </cell>
          <cell r="M1679">
            <v>0</v>
          </cell>
          <cell r="N1679">
            <v>0</v>
          </cell>
          <cell r="O1679">
            <v>1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 t="str">
            <v/>
          </cell>
          <cell r="AH1679" t="str">
            <v/>
          </cell>
          <cell r="AI1679" t="str">
            <v/>
          </cell>
          <cell r="AJ1679" t="str">
            <v/>
          </cell>
          <cell r="AK1679" t="str">
            <v>0.402458</v>
          </cell>
          <cell r="AL1679" t="str">
            <v>2</v>
          </cell>
          <cell r="AM1679" t="str">
            <v>Q</v>
          </cell>
          <cell r="AN1679" t="str">
            <v>M0</v>
          </cell>
          <cell r="AO1679" t="str">
            <v>Active(Model)</v>
          </cell>
          <cell r="AP1679" t="str">
            <v/>
          </cell>
          <cell r="AQ1679" t="str">
            <v/>
          </cell>
          <cell r="AR1679" t="str">
            <v>Y</v>
          </cell>
          <cell r="AS1679" t="str">
            <v/>
          </cell>
          <cell r="AT1679" t="str">
            <v>WM</v>
          </cell>
          <cell r="AU1679" t="str">
            <v>Washing Machine</v>
          </cell>
          <cell r="AV1679" t="str">
            <v>WMWK</v>
          </cell>
          <cell r="AW1679" t="str">
            <v>Dishwasher</v>
          </cell>
          <cell r="AX1679" t="str">
            <v>WMWKWK</v>
          </cell>
          <cell r="AY1679" t="str">
            <v>Dishwasher</v>
          </cell>
          <cell r="AZ1679" t="str">
            <v>WMWKWKDA</v>
          </cell>
          <cell r="BA1679" t="str">
            <v>Dishwasher</v>
          </cell>
        </row>
        <row r="1680">
          <cell r="E1680" t="str">
            <v>LDT14SVA4.APYPEVN</v>
          </cell>
          <cell r="F1680">
            <v>0</v>
          </cell>
          <cell r="G1680">
            <v>0</v>
          </cell>
          <cell r="H1680">
            <v>0</v>
          </cell>
          <cell r="I1680">
            <v>2</v>
          </cell>
          <cell r="J1680">
            <v>0</v>
          </cell>
          <cell r="K1680">
            <v>11</v>
          </cell>
          <cell r="L1680">
            <v>0</v>
          </cell>
          <cell r="M1680">
            <v>0</v>
          </cell>
          <cell r="N1680">
            <v>0</v>
          </cell>
          <cell r="O1680">
            <v>5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 t="str">
            <v/>
          </cell>
          <cell r="AH1680" t="str">
            <v/>
          </cell>
          <cell r="AI1680" t="str">
            <v/>
          </cell>
          <cell r="AJ1680" t="str">
            <v/>
          </cell>
          <cell r="AK1680" t="str">
            <v>0.402458</v>
          </cell>
          <cell r="AL1680" t="str">
            <v>2</v>
          </cell>
          <cell r="AM1680" t="str">
            <v>Q</v>
          </cell>
          <cell r="AN1680" t="str">
            <v>M0</v>
          </cell>
          <cell r="AO1680" t="str">
            <v>Active(Model)</v>
          </cell>
          <cell r="AP1680" t="str">
            <v/>
          </cell>
          <cell r="AQ1680" t="str">
            <v/>
          </cell>
          <cell r="AR1680" t="str">
            <v>Y</v>
          </cell>
          <cell r="AS1680" t="str">
            <v/>
          </cell>
          <cell r="AT1680" t="str">
            <v>WM</v>
          </cell>
          <cell r="AU1680" t="str">
            <v>Washing Machine</v>
          </cell>
          <cell r="AV1680" t="str">
            <v>WMWK</v>
          </cell>
          <cell r="AW1680" t="str">
            <v>Dishwasher</v>
          </cell>
          <cell r="AX1680" t="str">
            <v>WMWKWK</v>
          </cell>
          <cell r="AY1680" t="str">
            <v>Dishwasher</v>
          </cell>
          <cell r="AZ1680" t="str">
            <v>WMWKWKDA</v>
          </cell>
          <cell r="BA1680" t="str">
            <v>Dishwasher</v>
          </cell>
        </row>
        <row r="1681">
          <cell r="E1681" t="str">
            <v>LFB58BLMA.AEPPEVN</v>
          </cell>
          <cell r="F1681">
            <v>4</v>
          </cell>
          <cell r="G1681">
            <v>0</v>
          </cell>
          <cell r="H1681">
            <v>0</v>
          </cell>
          <cell r="I1681">
            <v>11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 t="str">
            <v>REFPREPLUS</v>
          </cell>
          <cell r="AH1681" t="str">
            <v>REF_Premium_Plus</v>
          </cell>
          <cell r="AI1681" t="str">
            <v/>
          </cell>
          <cell r="AJ1681" t="str">
            <v/>
          </cell>
          <cell r="AK1681" t="str">
            <v>1.289601</v>
          </cell>
          <cell r="AL1681" t="str">
            <v>2</v>
          </cell>
          <cell r="AM1681" t="str">
            <v>F</v>
          </cell>
          <cell r="AN1681" t="str">
            <v>M0</v>
          </cell>
          <cell r="AO1681" t="str">
            <v>Active(Model)</v>
          </cell>
          <cell r="AP1681" t="str">
            <v/>
          </cell>
          <cell r="AQ1681" t="str">
            <v/>
          </cell>
          <cell r="AR1681" t="str">
            <v>Y</v>
          </cell>
          <cell r="AS1681" t="str">
            <v/>
          </cell>
          <cell r="AT1681" t="str">
            <v>RF</v>
          </cell>
          <cell r="AU1681" t="str">
            <v>Refrigerator</v>
          </cell>
          <cell r="AV1681" t="str">
            <v>RFBF</v>
          </cell>
          <cell r="AW1681" t="str">
            <v>Bottom Freezer</v>
          </cell>
          <cell r="AX1681" t="str">
            <v>RFBFMD</v>
          </cell>
          <cell r="AY1681" t="str">
            <v>French Door Swing</v>
          </cell>
          <cell r="AZ1681" t="str">
            <v>RFBFMD4D</v>
          </cell>
          <cell r="BA1681" t="str">
            <v>4D F/D Swing</v>
          </cell>
        </row>
        <row r="1682">
          <cell r="E1682" t="str">
            <v>LFB61BLGAI.ABMPEVN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3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 t="str">
            <v>REFPREPLUS</v>
          </cell>
          <cell r="AH1682" t="str">
            <v>REF_Premium_Plus</v>
          </cell>
          <cell r="AI1682" t="str">
            <v/>
          </cell>
          <cell r="AJ1682" t="str">
            <v/>
          </cell>
          <cell r="AK1682" t="str">
            <v>1.347179</v>
          </cell>
          <cell r="AL1682" t="str">
            <v>2</v>
          </cell>
          <cell r="AM1682" t="str">
            <v>F</v>
          </cell>
          <cell r="AN1682" t="str">
            <v>M0</v>
          </cell>
          <cell r="AO1682" t="str">
            <v>Active(Model)</v>
          </cell>
          <cell r="AP1682" t="str">
            <v/>
          </cell>
          <cell r="AQ1682" t="str">
            <v/>
          </cell>
          <cell r="AR1682" t="str">
            <v>Y</v>
          </cell>
          <cell r="AS1682" t="str">
            <v/>
          </cell>
          <cell r="AT1682" t="str">
            <v>RF</v>
          </cell>
          <cell r="AU1682" t="str">
            <v>Refrigerator</v>
          </cell>
          <cell r="AV1682" t="str">
            <v>RFBF</v>
          </cell>
          <cell r="AW1682" t="str">
            <v>Bottom Freezer</v>
          </cell>
          <cell r="AX1682" t="str">
            <v>RFBFMD</v>
          </cell>
          <cell r="AY1682" t="str">
            <v>French Door Swing</v>
          </cell>
          <cell r="AZ1682" t="str">
            <v>RFBFMD4D</v>
          </cell>
          <cell r="BA1682" t="str">
            <v>4D F/D Swing</v>
          </cell>
        </row>
        <row r="1683">
          <cell r="E1683" t="str">
            <v>LFD58BLMA.AEPPEVN</v>
          </cell>
          <cell r="F1683">
            <v>9</v>
          </cell>
          <cell r="G1683">
            <v>0</v>
          </cell>
          <cell r="H1683">
            <v>0</v>
          </cell>
          <cell r="I1683">
            <v>12</v>
          </cell>
          <cell r="J1683">
            <v>0</v>
          </cell>
          <cell r="K1683">
            <v>0</v>
          </cell>
          <cell r="L1683">
            <v>0</v>
          </cell>
          <cell r="M1683">
            <v>1</v>
          </cell>
          <cell r="N1683">
            <v>0</v>
          </cell>
          <cell r="O1683">
            <v>0</v>
          </cell>
          <cell r="P1683">
            <v>1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 t="str">
            <v>REFPREPLUS</v>
          </cell>
          <cell r="AH1683" t="str">
            <v>REF_Premium_Plus</v>
          </cell>
          <cell r="AI1683" t="str">
            <v/>
          </cell>
          <cell r="AJ1683" t="str">
            <v/>
          </cell>
          <cell r="AK1683" t="str">
            <v>1.289601</v>
          </cell>
          <cell r="AL1683" t="str">
            <v>2</v>
          </cell>
          <cell r="AM1683" t="str">
            <v>F</v>
          </cell>
          <cell r="AN1683" t="str">
            <v>M0</v>
          </cell>
          <cell r="AO1683" t="str">
            <v>Active(Model)</v>
          </cell>
          <cell r="AP1683" t="str">
            <v/>
          </cell>
          <cell r="AQ1683" t="str">
            <v/>
          </cell>
          <cell r="AR1683" t="str">
            <v>Y</v>
          </cell>
          <cell r="AS1683" t="str">
            <v/>
          </cell>
          <cell r="AT1683" t="str">
            <v>RF</v>
          </cell>
          <cell r="AU1683" t="str">
            <v>Refrigerator</v>
          </cell>
          <cell r="AV1683" t="str">
            <v>RFBF</v>
          </cell>
          <cell r="AW1683" t="str">
            <v>Bottom Freezer</v>
          </cell>
          <cell r="AX1683" t="str">
            <v>RFBFMD</v>
          </cell>
          <cell r="AY1683" t="str">
            <v>French Door Swing</v>
          </cell>
          <cell r="AZ1683" t="str">
            <v>RFBFMD4D</v>
          </cell>
          <cell r="BA1683" t="str">
            <v>4D F/D Swing</v>
          </cell>
        </row>
        <row r="1684">
          <cell r="E1684" t="str">
            <v>LFD58BLMAI.AEPPEVN</v>
          </cell>
          <cell r="F1684">
            <v>8</v>
          </cell>
          <cell r="G1684">
            <v>0</v>
          </cell>
          <cell r="H1684">
            <v>0</v>
          </cell>
          <cell r="I1684">
            <v>11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 t="str">
            <v>REFPREPLUS</v>
          </cell>
          <cell r="AH1684" t="str">
            <v>REF_Premium_Plus</v>
          </cell>
          <cell r="AI1684" t="str">
            <v/>
          </cell>
          <cell r="AJ1684" t="str">
            <v/>
          </cell>
          <cell r="AK1684" t="str">
            <v>1.289601</v>
          </cell>
          <cell r="AL1684" t="str">
            <v>2</v>
          </cell>
          <cell r="AM1684" t="str">
            <v>F</v>
          </cell>
          <cell r="AN1684" t="str">
            <v>M0</v>
          </cell>
          <cell r="AO1684" t="str">
            <v>Active(Model)</v>
          </cell>
          <cell r="AP1684" t="str">
            <v/>
          </cell>
          <cell r="AQ1684" t="str">
            <v/>
          </cell>
          <cell r="AR1684" t="str">
            <v>Y</v>
          </cell>
          <cell r="AS1684" t="str">
            <v/>
          </cell>
          <cell r="AT1684" t="str">
            <v>RF</v>
          </cell>
          <cell r="AU1684" t="str">
            <v>Refrigerator</v>
          </cell>
          <cell r="AV1684" t="str">
            <v>RFBF</v>
          </cell>
          <cell r="AW1684" t="str">
            <v>Bottom Freezer</v>
          </cell>
          <cell r="AX1684" t="str">
            <v>RFBFMD</v>
          </cell>
          <cell r="AY1684" t="str">
            <v>French Door Swing</v>
          </cell>
          <cell r="AZ1684" t="str">
            <v>RFBFMD4D</v>
          </cell>
          <cell r="BA1684" t="str">
            <v>4D F/D Swing</v>
          </cell>
        </row>
        <row r="1685">
          <cell r="E1685" t="str">
            <v>LFD61BLGA.ABMPEVN</v>
          </cell>
          <cell r="F1685">
            <v>1</v>
          </cell>
          <cell r="G1685">
            <v>0</v>
          </cell>
          <cell r="H1685">
            <v>0</v>
          </cell>
          <cell r="I1685">
            <v>3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1</v>
          </cell>
          <cell r="O1685">
            <v>0</v>
          </cell>
          <cell r="P1685">
            <v>1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2</v>
          </cell>
          <cell r="AF1685">
            <v>0</v>
          </cell>
          <cell r="AG1685" t="str">
            <v>REFPREPLUS</v>
          </cell>
          <cell r="AH1685" t="str">
            <v>REF_Premium_Plus</v>
          </cell>
          <cell r="AI1685" t="str">
            <v/>
          </cell>
          <cell r="AJ1685" t="str">
            <v/>
          </cell>
          <cell r="AK1685" t="str">
            <v>1.347179</v>
          </cell>
          <cell r="AL1685" t="str">
            <v>2</v>
          </cell>
          <cell r="AM1685" t="str">
            <v>F</v>
          </cell>
          <cell r="AN1685" t="str">
            <v>M0</v>
          </cell>
          <cell r="AO1685" t="str">
            <v>Active(Model)</v>
          </cell>
          <cell r="AP1685" t="str">
            <v/>
          </cell>
          <cell r="AQ1685" t="str">
            <v/>
          </cell>
          <cell r="AR1685" t="str">
            <v>Y</v>
          </cell>
          <cell r="AS1685" t="str">
            <v/>
          </cell>
          <cell r="AT1685" t="str">
            <v>RF</v>
          </cell>
          <cell r="AU1685" t="str">
            <v>Refrigerator</v>
          </cell>
          <cell r="AV1685" t="str">
            <v>RFBF</v>
          </cell>
          <cell r="AW1685" t="str">
            <v>Bottom Freezer</v>
          </cell>
          <cell r="AX1685" t="str">
            <v>RFBFMD</v>
          </cell>
          <cell r="AY1685" t="str">
            <v>French Door Swing</v>
          </cell>
          <cell r="AZ1685" t="str">
            <v>RFBFMD4D</v>
          </cell>
          <cell r="BA1685" t="str">
            <v>4D F/D Swing</v>
          </cell>
        </row>
        <row r="1686">
          <cell r="E1686" t="str">
            <v>LFD61BLGAI.ABMPEVN</v>
          </cell>
          <cell r="F1686">
            <v>4</v>
          </cell>
          <cell r="G1686">
            <v>0</v>
          </cell>
          <cell r="H1686">
            <v>0</v>
          </cell>
          <cell r="I1686">
            <v>7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 t="str">
            <v>REFPREPLUS</v>
          </cell>
          <cell r="AH1686" t="str">
            <v>REF_Premium_Plus</v>
          </cell>
          <cell r="AI1686" t="str">
            <v/>
          </cell>
          <cell r="AJ1686" t="str">
            <v/>
          </cell>
          <cell r="AK1686" t="str">
            <v>1.347179</v>
          </cell>
          <cell r="AL1686" t="str">
            <v>2</v>
          </cell>
          <cell r="AM1686" t="str">
            <v>F</v>
          </cell>
          <cell r="AN1686" t="str">
            <v>M0</v>
          </cell>
          <cell r="AO1686" t="str">
            <v>Active(Model)</v>
          </cell>
          <cell r="AP1686" t="str">
            <v/>
          </cell>
          <cell r="AQ1686" t="str">
            <v/>
          </cell>
          <cell r="AR1686" t="str">
            <v>Y</v>
          </cell>
          <cell r="AS1686" t="str">
            <v/>
          </cell>
          <cell r="AT1686" t="str">
            <v>RF</v>
          </cell>
          <cell r="AU1686" t="str">
            <v>Refrigerator</v>
          </cell>
          <cell r="AV1686" t="str">
            <v>RFBF</v>
          </cell>
          <cell r="AW1686" t="str">
            <v>Bottom Freezer</v>
          </cell>
          <cell r="AX1686" t="str">
            <v>RFBFMD</v>
          </cell>
          <cell r="AY1686" t="str">
            <v>French Door Swing</v>
          </cell>
          <cell r="AZ1686" t="str">
            <v>RFBFMD4D</v>
          </cell>
          <cell r="BA1686" t="str">
            <v>4D F/D Swing</v>
          </cell>
        </row>
        <row r="1687">
          <cell r="E1687" t="str">
            <v>LOF16BGM.ABNPEVN</v>
          </cell>
          <cell r="F1687">
            <v>0</v>
          </cell>
          <cell r="G1687">
            <v>0</v>
          </cell>
          <cell r="H1687">
            <v>0</v>
          </cell>
          <cell r="I1687">
            <v>2</v>
          </cell>
          <cell r="J1687">
            <v>1</v>
          </cell>
          <cell r="K1687">
            <v>0</v>
          </cell>
          <cell r="L1687">
            <v>0</v>
          </cell>
          <cell r="M1687">
            <v>2</v>
          </cell>
          <cell r="N1687">
            <v>0</v>
          </cell>
          <cell r="O1687">
            <v>0</v>
          </cell>
          <cell r="P1687">
            <v>2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 t="str">
            <v>REFBASIC</v>
          </cell>
          <cell r="AH1687" t="str">
            <v>REF_Basic</v>
          </cell>
          <cell r="AI1687" t="str">
            <v/>
          </cell>
          <cell r="AJ1687" t="str">
            <v/>
          </cell>
          <cell r="AK1687" t="str">
            <v>0.508097</v>
          </cell>
          <cell r="AL1687" t="str">
            <v>2</v>
          </cell>
          <cell r="AM1687" t="str">
            <v>Q</v>
          </cell>
          <cell r="AN1687" t="str">
            <v>M0</v>
          </cell>
          <cell r="AO1687" t="str">
            <v>Active(Model)</v>
          </cell>
          <cell r="AP1687" t="str">
            <v/>
          </cell>
          <cell r="AQ1687" t="str">
            <v/>
          </cell>
          <cell r="AR1687" t="str">
            <v>Y</v>
          </cell>
          <cell r="AS1687" t="str">
            <v/>
          </cell>
          <cell r="AT1687" t="str">
            <v>RF</v>
          </cell>
          <cell r="AU1687" t="str">
            <v>Refrigerator</v>
          </cell>
          <cell r="AV1687" t="str">
            <v>RFOT</v>
          </cell>
          <cell r="AW1687" t="str">
            <v>Specific REF</v>
          </cell>
          <cell r="AX1687" t="str">
            <v>RFOTFR</v>
          </cell>
          <cell r="AY1687" t="str">
            <v>Freezer</v>
          </cell>
          <cell r="AZ1687" t="str">
            <v>RFOTFRFA</v>
          </cell>
          <cell r="BA1687" t="str">
            <v>Refrigerator_Freezer</v>
          </cell>
        </row>
        <row r="1688">
          <cell r="E1688" t="str">
            <v>LSI63BLMA.AEPPEVN</v>
          </cell>
          <cell r="F1688">
            <v>0</v>
          </cell>
          <cell r="G1688">
            <v>0</v>
          </cell>
          <cell r="H1688">
            <v>0</v>
          </cell>
          <cell r="I1688">
            <v>3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 t="str">
            <v>REFPREMIUM</v>
          </cell>
          <cell r="AH1688" t="str">
            <v>REF_Premium</v>
          </cell>
          <cell r="AI1688" t="str">
            <v/>
          </cell>
          <cell r="AJ1688" t="str">
            <v/>
          </cell>
          <cell r="AK1688" t="str">
            <v>1.415300</v>
          </cell>
          <cell r="AL1688" t="str">
            <v>2</v>
          </cell>
          <cell r="AM1688" t="str">
            <v>Q</v>
          </cell>
          <cell r="AN1688" t="str">
            <v>M0</v>
          </cell>
          <cell r="AO1688" t="str">
            <v>Active(Model)</v>
          </cell>
          <cell r="AP1688" t="str">
            <v/>
          </cell>
          <cell r="AQ1688" t="str">
            <v/>
          </cell>
          <cell r="AR1688" t="str">
            <v>Y</v>
          </cell>
          <cell r="AS1688" t="str">
            <v/>
          </cell>
          <cell r="AT1688" t="str">
            <v>RF</v>
          </cell>
          <cell r="AU1688" t="str">
            <v>Refrigerator</v>
          </cell>
          <cell r="AV1688" t="str">
            <v>RFSS</v>
          </cell>
          <cell r="AW1688" t="str">
            <v>SxS</v>
          </cell>
          <cell r="AX1688" t="str">
            <v>RFSSSS</v>
          </cell>
          <cell r="AY1688" t="str">
            <v>SxS</v>
          </cell>
          <cell r="AZ1688" t="str">
            <v>RFSSSS25</v>
          </cell>
          <cell r="BA1688" t="str">
            <v>SxS 25CU</v>
          </cell>
        </row>
        <row r="1689">
          <cell r="E1689" t="str">
            <v>LTB21BLMI.AEPPEVN</v>
          </cell>
          <cell r="F1689">
            <v>0</v>
          </cell>
          <cell r="G1689">
            <v>0</v>
          </cell>
          <cell r="H1689">
            <v>0</v>
          </cell>
          <cell r="I1689">
            <v>2</v>
          </cell>
          <cell r="J1689">
            <v>0</v>
          </cell>
          <cell r="K1689">
            <v>77</v>
          </cell>
          <cell r="L1689">
            <v>0</v>
          </cell>
          <cell r="M1689">
            <v>0</v>
          </cell>
          <cell r="N1689">
            <v>0</v>
          </cell>
          <cell r="O1689">
            <v>6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 t="str">
            <v>REFBASIC</v>
          </cell>
          <cell r="AH1689" t="str">
            <v>REF_Basic</v>
          </cell>
          <cell r="AI1689" t="str">
            <v/>
          </cell>
          <cell r="AJ1689" t="str">
            <v/>
          </cell>
          <cell r="AK1689" t="str">
            <v>0.586264</v>
          </cell>
          <cell r="AL1689" t="str">
            <v>2</v>
          </cell>
          <cell r="AM1689" t="str">
            <v>Q</v>
          </cell>
          <cell r="AN1689" t="str">
            <v>M0</v>
          </cell>
          <cell r="AO1689" t="str">
            <v>Active(Model)</v>
          </cell>
          <cell r="AP1689" t="str">
            <v/>
          </cell>
          <cell r="AQ1689" t="str">
            <v/>
          </cell>
          <cell r="AR1689" t="str">
            <v>Y</v>
          </cell>
          <cell r="AS1689" t="str">
            <v/>
          </cell>
          <cell r="AT1689" t="str">
            <v>RF</v>
          </cell>
          <cell r="AU1689" t="str">
            <v>Refrigerator</v>
          </cell>
          <cell r="AV1689" t="str">
            <v>RFTM</v>
          </cell>
          <cell r="AW1689" t="str">
            <v>TMNF</v>
          </cell>
          <cell r="AX1689" t="str">
            <v>RFTMTM</v>
          </cell>
          <cell r="AY1689" t="str">
            <v>TMNF</v>
          </cell>
          <cell r="AZ1689" t="str">
            <v>RFTMTMMA</v>
          </cell>
          <cell r="BA1689" t="str">
            <v>Medium REF</v>
          </cell>
        </row>
        <row r="1690">
          <cell r="E1690" t="str">
            <v>LTB26BLM.AEPPEVN</v>
          </cell>
          <cell r="F1690">
            <v>0</v>
          </cell>
          <cell r="G1690">
            <v>0</v>
          </cell>
          <cell r="H1690">
            <v>0</v>
          </cell>
          <cell r="I1690">
            <v>12</v>
          </cell>
          <cell r="J1690">
            <v>0</v>
          </cell>
          <cell r="K1690">
            <v>128</v>
          </cell>
          <cell r="L1690">
            <v>0</v>
          </cell>
          <cell r="M1690">
            <v>10</v>
          </cell>
          <cell r="N1690">
            <v>0</v>
          </cell>
          <cell r="O1690">
            <v>10</v>
          </cell>
          <cell r="P1690">
            <v>10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 t="str">
            <v>REFBASIC</v>
          </cell>
          <cell r="AH1690" t="str">
            <v>REF_Basic</v>
          </cell>
          <cell r="AI1690" t="str">
            <v/>
          </cell>
          <cell r="AJ1690" t="str">
            <v/>
          </cell>
          <cell r="AK1690" t="str">
            <v>0.672945</v>
          </cell>
          <cell r="AL1690" t="str">
            <v>2</v>
          </cell>
          <cell r="AM1690" t="str">
            <v>Q</v>
          </cell>
          <cell r="AN1690" t="str">
            <v>M0</v>
          </cell>
          <cell r="AO1690" t="str">
            <v>Active(Model)</v>
          </cell>
          <cell r="AP1690" t="str">
            <v/>
          </cell>
          <cell r="AQ1690" t="str">
            <v/>
          </cell>
          <cell r="AR1690" t="str">
            <v>Y</v>
          </cell>
          <cell r="AS1690" t="str">
            <v/>
          </cell>
          <cell r="AT1690" t="str">
            <v>RF</v>
          </cell>
          <cell r="AU1690" t="str">
            <v>Refrigerator</v>
          </cell>
          <cell r="AV1690" t="str">
            <v>RFTM</v>
          </cell>
          <cell r="AW1690" t="str">
            <v>TMNF</v>
          </cell>
          <cell r="AX1690" t="str">
            <v>RFTMTM</v>
          </cell>
          <cell r="AY1690" t="str">
            <v>TMNF</v>
          </cell>
          <cell r="AZ1690" t="str">
            <v>RFTMTMMA</v>
          </cell>
          <cell r="BA1690" t="str">
            <v>Medium REF</v>
          </cell>
        </row>
        <row r="1691">
          <cell r="E1691" t="str">
            <v>LTB26SVM.APYPEVN</v>
          </cell>
          <cell r="F1691">
            <v>0</v>
          </cell>
          <cell r="G1691">
            <v>0</v>
          </cell>
          <cell r="H1691">
            <v>0</v>
          </cell>
          <cell r="I1691">
            <v>1</v>
          </cell>
          <cell r="J1691">
            <v>0</v>
          </cell>
          <cell r="K1691">
            <v>4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 t="str">
            <v>REFBASIC</v>
          </cell>
          <cell r="AH1691" t="str">
            <v>REF_Basic</v>
          </cell>
          <cell r="AI1691" t="str">
            <v/>
          </cell>
          <cell r="AJ1691" t="str">
            <v/>
          </cell>
          <cell r="AK1691" t="str">
            <v>0.672945</v>
          </cell>
          <cell r="AL1691" t="str">
            <v>2</v>
          </cell>
          <cell r="AM1691" t="str">
            <v>Q</v>
          </cell>
          <cell r="AN1691" t="str">
            <v>M0</v>
          </cell>
          <cell r="AO1691" t="str">
            <v>Active(Model)</v>
          </cell>
          <cell r="AP1691" t="str">
            <v/>
          </cell>
          <cell r="AQ1691" t="str">
            <v/>
          </cell>
          <cell r="AR1691" t="str">
            <v>Y</v>
          </cell>
          <cell r="AS1691" t="str">
            <v/>
          </cell>
          <cell r="AT1691" t="str">
            <v>RF</v>
          </cell>
          <cell r="AU1691" t="str">
            <v>Refrigerator</v>
          </cell>
          <cell r="AV1691" t="str">
            <v>RFTM</v>
          </cell>
          <cell r="AW1691" t="str">
            <v>TMNF</v>
          </cell>
          <cell r="AX1691" t="str">
            <v>RFTMTM</v>
          </cell>
          <cell r="AY1691" t="str">
            <v>TMNF</v>
          </cell>
          <cell r="AZ1691" t="str">
            <v>RFTMTMMA</v>
          </cell>
          <cell r="BA1691" t="str">
            <v>Medium REF</v>
          </cell>
        </row>
        <row r="1692">
          <cell r="E1692" t="str">
            <v>LTB31BLM.AEPPEVN</v>
          </cell>
          <cell r="F1692">
            <v>145</v>
          </cell>
          <cell r="G1692">
            <v>0</v>
          </cell>
          <cell r="H1692">
            <v>0</v>
          </cell>
          <cell r="I1692">
            <v>168</v>
          </cell>
          <cell r="J1692">
            <v>0</v>
          </cell>
          <cell r="K1692">
            <v>0</v>
          </cell>
          <cell r="L1692">
            <v>0</v>
          </cell>
          <cell r="M1692">
            <v>20</v>
          </cell>
          <cell r="N1692">
            <v>0</v>
          </cell>
          <cell r="O1692">
            <v>20</v>
          </cell>
          <cell r="P1692">
            <v>20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 t="str">
            <v>REFBASIC</v>
          </cell>
          <cell r="AH1692" t="str">
            <v>REF_Basic</v>
          </cell>
          <cell r="AI1692" t="str">
            <v/>
          </cell>
          <cell r="AJ1692" t="str">
            <v/>
          </cell>
          <cell r="AK1692" t="str">
            <v>0.832004</v>
          </cell>
          <cell r="AL1692" t="str">
            <v>2</v>
          </cell>
          <cell r="AM1692" t="str">
            <v>Q</v>
          </cell>
          <cell r="AN1692" t="str">
            <v>M0</v>
          </cell>
          <cell r="AO1692" t="str">
            <v>Active(Model)</v>
          </cell>
          <cell r="AP1692" t="str">
            <v/>
          </cell>
          <cell r="AQ1692" t="str">
            <v/>
          </cell>
          <cell r="AR1692" t="str">
            <v>Y</v>
          </cell>
          <cell r="AS1692" t="str">
            <v/>
          </cell>
          <cell r="AT1692" t="str">
            <v>RF</v>
          </cell>
          <cell r="AU1692" t="str">
            <v>Refrigerator</v>
          </cell>
          <cell r="AV1692" t="str">
            <v>RFTM</v>
          </cell>
          <cell r="AW1692" t="str">
            <v>TMNF</v>
          </cell>
          <cell r="AX1692" t="str">
            <v>RFTMTM</v>
          </cell>
          <cell r="AY1692" t="str">
            <v>TMNF</v>
          </cell>
          <cell r="AZ1692" t="str">
            <v>RFTMTMMA</v>
          </cell>
          <cell r="BA1692" t="str">
            <v>Medium REF</v>
          </cell>
        </row>
        <row r="1693">
          <cell r="E1693" t="str">
            <v>LTB31BLMA.AEPPEVN</v>
          </cell>
          <cell r="F1693">
            <v>2</v>
          </cell>
          <cell r="G1693">
            <v>0</v>
          </cell>
          <cell r="H1693">
            <v>0</v>
          </cell>
          <cell r="I1693">
            <v>3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 t="str">
            <v>REFBASIC</v>
          </cell>
          <cell r="AH1693" t="str">
            <v>REF_Basic</v>
          </cell>
          <cell r="AI1693" t="str">
            <v/>
          </cell>
          <cell r="AJ1693" t="str">
            <v/>
          </cell>
          <cell r="AK1693" t="str">
            <v>0.832004</v>
          </cell>
          <cell r="AL1693" t="str">
            <v>2</v>
          </cell>
          <cell r="AM1693" t="str">
            <v>Q</v>
          </cell>
          <cell r="AN1693" t="str">
            <v>M0</v>
          </cell>
          <cell r="AO1693" t="str">
            <v>Active(Model)</v>
          </cell>
          <cell r="AP1693" t="str">
            <v/>
          </cell>
          <cell r="AQ1693" t="str">
            <v/>
          </cell>
          <cell r="AR1693" t="str">
            <v>Y</v>
          </cell>
          <cell r="AS1693" t="str">
            <v/>
          </cell>
          <cell r="AT1693" t="str">
            <v>RF</v>
          </cell>
          <cell r="AU1693" t="str">
            <v>Refrigerator</v>
          </cell>
          <cell r="AV1693" t="str">
            <v>RFTM</v>
          </cell>
          <cell r="AW1693" t="str">
            <v>TMNF</v>
          </cell>
          <cell r="AX1693" t="str">
            <v>RFTMTM</v>
          </cell>
          <cell r="AY1693" t="str">
            <v>TMNF</v>
          </cell>
          <cell r="AZ1693" t="str">
            <v>RFTMTMMA</v>
          </cell>
          <cell r="BA1693" t="str">
            <v>Medium REF</v>
          </cell>
        </row>
        <row r="1694">
          <cell r="E1694" t="str">
            <v>LTB33BLG.ABMPEVN</v>
          </cell>
          <cell r="F1694">
            <v>61</v>
          </cell>
          <cell r="G1694">
            <v>0</v>
          </cell>
          <cell r="H1694">
            <v>0</v>
          </cell>
          <cell r="I1694">
            <v>62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1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 t="str">
            <v>REFBASIC</v>
          </cell>
          <cell r="AH1694" t="str">
            <v>REF_Basic</v>
          </cell>
          <cell r="AI1694" t="str">
            <v/>
          </cell>
          <cell r="AJ1694" t="str">
            <v/>
          </cell>
          <cell r="AK1694" t="str">
            <v>0.872636</v>
          </cell>
          <cell r="AL1694" t="str">
            <v>2</v>
          </cell>
          <cell r="AM1694" t="str">
            <v>Q</v>
          </cell>
          <cell r="AN1694" t="str">
            <v>M0</v>
          </cell>
          <cell r="AO1694" t="str">
            <v>Active(Model)</v>
          </cell>
          <cell r="AP1694" t="str">
            <v/>
          </cell>
          <cell r="AQ1694" t="str">
            <v/>
          </cell>
          <cell r="AR1694" t="str">
            <v>Y</v>
          </cell>
          <cell r="AS1694" t="str">
            <v/>
          </cell>
          <cell r="AT1694" t="str">
            <v>RF</v>
          </cell>
          <cell r="AU1694" t="str">
            <v>Refrigerator</v>
          </cell>
          <cell r="AV1694" t="str">
            <v>RFTM</v>
          </cell>
          <cell r="AW1694" t="str">
            <v>TMNF</v>
          </cell>
          <cell r="AX1694" t="str">
            <v>RFTMTM</v>
          </cell>
          <cell r="AY1694" t="str">
            <v>TMNF</v>
          </cell>
          <cell r="AZ1694" t="str">
            <v>RFTMTMMA</v>
          </cell>
          <cell r="BA1694" t="str">
            <v>Medium REF</v>
          </cell>
        </row>
        <row r="1695">
          <cell r="E1695" t="str">
            <v>LTB33BLMA.AEPPEVN</v>
          </cell>
          <cell r="F1695">
            <v>0</v>
          </cell>
          <cell r="G1695">
            <v>0</v>
          </cell>
          <cell r="H1695">
            <v>0</v>
          </cell>
          <cell r="I1695">
            <v>4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 t="str">
            <v>REFBASIC</v>
          </cell>
          <cell r="AH1695" t="str">
            <v>REF_Basic</v>
          </cell>
          <cell r="AI1695" t="str">
            <v/>
          </cell>
          <cell r="AJ1695" t="str">
            <v/>
          </cell>
          <cell r="AK1695" t="str">
            <v>0.872636</v>
          </cell>
          <cell r="AL1695" t="str">
            <v>2</v>
          </cell>
          <cell r="AM1695" t="str">
            <v>Q</v>
          </cell>
          <cell r="AN1695" t="str">
            <v>M0</v>
          </cell>
          <cell r="AO1695" t="str">
            <v>Active(Model)</v>
          </cell>
          <cell r="AP1695" t="str">
            <v/>
          </cell>
          <cell r="AQ1695" t="str">
            <v/>
          </cell>
          <cell r="AR1695" t="str">
            <v>Y</v>
          </cell>
          <cell r="AS1695" t="str">
            <v/>
          </cell>
          <cell r="AT1695" t="str">
            <v>RF</v>
          </cell>
          <cell r="AU1695" t="str">
            <v>Refrigerator</v>
          </cell>
          <cell r="AV1695" t="str">
            <v>RFTM</v>
          </cell>
          <cell r="AW1695" t="str">
            <v>TMNF</v>
          </cell>
          <cell r="AX1695" t="str">
            <v>RFTMTM</v>
          </cell>
          <cell r="AY1695" t="str">
            <v>TMNF</v>
          </cell>
          <cell r="AZ1695" t="str">
            <v>RFTMTMMA</v>
          </cell>
          <cell r="BA1695" t="str">
            <v>Medium REF</v>
          </cell>
        </row>
        <row r="1696">
          <cell r="E1696" t="str">
            <v>LTB46BLG.ABMPEVN</v>
          </cell>
          <cell r="F1696">
            <v>21</v>
          </cell>
          <cell r="G1696">
            <v>0</v>
          </cell>
          <cell r="H1696">
            <v>0</v>
          </cell>
          <cell r="I1696">
            <v>23</v>
          </cell>
          <cell r="J1696">
            <v>3</v>
          </cell>
          <cell r="K1696">
            <v>0</v>
          </cell>
          <cell r="L1696">
            <v>0</v>
          </cell>
          <cell r="M1696">
            <v>0</v>
          </cell>
          <cell r="N1696">
            <v>1</v>
          </cell>
          <cell r="O1696">
            <v>8</v>
          </cell>
          <cell r="P1696">
            <v>1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 t="str">
            <v>REFPREMIUM</v>
          </cell>
          <cell r="AH1696" t="str">
            <v>REF_Premium</v>
          </cell>
          <cell r="AI1696" t="str">
            <v/>
          </cell>
          <cell r="AJ1696" t="str">
            <v/>
          </cell>
          <cell r="AK1696" t="str">
            <v>1.102563</v>
          </cell>
          <cell r="AL1696" t="str">
            <v>2</v>
          </cell>
          <cell r="AM1696" t="str">
            <v>Q</v>
          </cell>
          <cell r="AN1696" t="str">
            <v>M0</v>
          </cell>
          <cell r="AO1696" t="str">
            <v>Active(Model)</v>
          </cell>
          <cell r="AP1696" t="str">
            <v/>
          </cell>
          <cell r="AQ1696" t="str">
            <v/>
          </cell>
          <cell r="AR1696" t="str">
            <v>Y</v>
          </cell>
          <cell r="AS1696" t="str">
            <v/>
          </cell>
          <cell r="AT1696" t="str">
            <v>RF</v>
          </cell>
          <cell r="AU1696" t="str">
            <v>Refrigerator</v>
          </cell>
          <cell r="AV1696" t="str">
            <v>RFTM</v>
          </cell>
          <cell r="AW1696" t="str">
            <v>TMNF</v>
          </cell>
          <cell r="AX1696" t="str">
            <v>RFTMTM</v>
          </cell>
          <cell r="AY1696" t="str">
            <v>TMNF</v>
          </cell>
          <cell r="AZ1696" t="str">
            <v>RFTMTMXA</v>
          </cell>
          <cell r="BA1696" t="str">
            <v>X Large REF</v>
          </cell>
        </row>
        <row r="1697">
          <cell r="E1697" t="str">
            <v>LTD31BLM.AEPPEVN</v>
          </cell>
          <cell r="F1697">
            <v>0</v>
          </cell>
          <cell r="G1697">
            <v>0</v>
          </cell>
          <cell r="H1697">
            <v>0</v>
          </cell>
          <cell r="I1697">
            <v>1</v>
          </cell>
          <cell r="J1697">
            <v>0</v>
          </cell>
          <cell r="K1697">
            <v>2</v>
          </cell>
          <cell r="L1697">
            <v>0</v>
          </cell>
          <cell r="M1697">
            <v>0</v>
          </cell>
          <cell r="N1697">
            <v>0</v>
          </cell>
          <cell r="O1697">
            <v>13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 t="str">
            <v>REFBASIC</v>
          </cell>
          <cell r="AH1697" t="str">
            <v>REF_Basic</v>
          </cell>
          <cell r="AI1697" t="str">
            <v/>
          </cell>
          <cell r="AJ1697" t="str">
            <v/>
          </cell>
          <cell r="AK1697" t="str">
            <v>0.832004</v>
          </cell>
          <cell r="AL1697" t="str">
            <v>2</v>
          </cell>
          <cell r="AM1697" t="str">
            <v>Q</v>
          </cell>
          <cell r="AN1697" t="str">
            <v>M0</v>
          </cell>
          <cell r="AO1697" t="str">
            <v>Active(Model)</v>
          </cell>
          <cell r="AP1697" t="str">
            <v/>
          </cell>
          <cell r="AQ1697" t="str">
            <v/>
          </cell>
          <cell r="AR1697" t="str">
            <v>Y</v>
          </cell>
          <cell r="AS1697" t="str">
            <v/>
          </cell>
          <cell r="AT1697" t="str">
            <v>RF</v>
          </cell>
          <cell r="AU1697" t="str">
            <v>Refrigerator</v>
          </cell>
          <cell r="AV1697" t="str">
            <v>RFTM</v>
          </cell>
          <cell r="AW1697" t="str">
            <v>TMNF</v>
          </cell>
          <cell r="AX1697" t="str">
            <v>RFTMTM</v>
          </cell>
          <cell r="AY1697" t="str">
            <v>TMNF</v>
          </cell>
          <cell r="AZ1697" t="str">
            <v>RFTMTMMA</v>
          </cell>
          <cell r="BA1697" t="str">
            <v>Medium REF</v>
          </cell>
        </row>
        <row r="1698">
          <cell r="E1698" t="str">
            <v>LTD33BLM.AEPPEVN</v>
          </cell>
          <cell r="F1698">
            <v>2</v>
          </cell>
          <cell r="G1698">
            <v>0</v>
          </cell>
          <cell r="H1698">
            <v>0</v>
          </cell>
          <cell r="I1698">
            <v>3</v>
          </cell>
          <cell r="J1698">
            <v>0</v>
          </cell>
          <cell r="K1698">
            <v>20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 t="str">
            <v>REFBASIC</v>
          </cell>
          <cell r="AH1698" t="str">
            <v>REF_Basic</v>
          </cell>
          <cell r="AI1698" t="str">
            <v/>
          </cell>
          <cell r="AJ1698" t="str">
            <v/>
          </cell>
          <cell r="AK1698" t="str">
            <v>0.872636</v>
          </cell>
          <cell r="AL1698" t="str">
            <v>2</v>
          </cell>
          <cell r="AM1698" t="str">
            <v>Q</v>
          </cell>
          <cell r="AN1698" t="str">
            <v>M0</v>
          </cell>
          <cell r="AO1698" t="str">
            <v>Active(Model)</v>
          </cell>
          <cell r="AP1698" t="str">
            <v/>
          </cell>
          <cell r="AQ1698" t="str">
            <v/>
          </cell>
          <cell r="AR1698" t="str">
            <v>Y</v>
          </cell>
          <cell r="AS1698" t="str">
            <v/>
          </cell>
          <cell r="AT1698" t="str">
            <v>RF</v>
          </cell>
          <cell r="AU1698" t="str">
            <v>Refrigerator</v>
          </cell>
          <cell r="AV1698" t="str">
            <v>RFTM</v>
          </cell>
          <cell r="AW1698" t="str">
            <v>TMNF</v>
          </cell>
          <cell r="AX1698" t="str">
            <v>RFTMTM</v>
          </cell>
          <cell r="AY1698" t="str">
            <v>TMNF</v>
          </cell>
          <cell r="AZ1698" t="str">
            <v>RFTMTMMA</v>
          </cell>
          <cell r="BA1698" t="str">
            <v>Medium REF</v>
          </cell>
        </row>
        <row r="1699">
          <cell r="E1699" t="str">
            <v>LTD37BLM.AEPPEVN</v>
          </cell>
          <cell r="F1699">
            <v>0</v>
          </cell>
          <cell r="G1699">
            <v>0</v>
          </cell>
          <cell r="H1699">
            <v>0</v>
          </cell>
          <cell r="I1699">
            <v>143</v>
          </cell>
          <cell r="J1699">
            <v>0</v>
          </cell>
          <cell r="K1699">
            <v>63</v>
          </cell>
          <cell r="L1699">
            <v>0</v>
          </cell>
          <cell r="M1699">
            <v>139</v>
          </cell>
          <cell r="N1699">
            <v>0</v>
          </cell>
          <cell r="O1699">
            <v>1</v>
          </cell>
          <cell r="P1699">
            <v>139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 t="str">
            <v>REFPREMIUM</v>
          </cell>
          <cell r="AH1699" t="str">
            <v>REF_Premium</v>
          </cell>
          <cell r="AI1699" t="str">
            <v/>
          </cell>
          <cell r="AJ1699" t="str">
            <v/>
          </cell>
          <cell r="AK1699" t="str">
            <v>0.963295</v>
          </cell>
          <cell r="AL1699" t="str">
            <v>2</v>
          </cell>
          <cell r="AM1699" t="str">
            <v>Q</v>
          </cell>
          <cell r="AN1699" t="str">
            <v>M0</v>
          </cell>
          <cell r="AO1699" t="str">
            <v>Active(Model)</v>
          </cell>
          <cell r="AP1699" t="str">
            <v/>
          </cell>
          <cell r="AQ1699" t="str">
            <v/>
          </cell>
          <cell r="AR1699" t="str">
            <v>Y</v>
          </cell>
          <cell r="AS1699" t="str">
            <v/>
          </cell>
          <cell r="AT1699" t="str">
            <v>RF</v>
          </cell>
          <cell r="AU1699" t="str">
            <v>Refrigerator</v>
          </cell>
          <cell r="AV1699" t="str">
            <v>RFTM</v>
          </cell>
          <cell r="AW1699" t="str">
            <v>TMNF</v>
          </cell>
          <cell r="AX1699" t="str">
            <v>RFTMTM</v>
          </cell>
          <cell r="AY1699" t="str">
            <v>TMNF</v>
          </cell>
          <cell r="AZ1699" t="str">
            <v>RFTMTMLA</v>
          </cell>
          <cell r="BA1699" t="str">
            <v>Large REF</v>
          </cell>
        </row>
        <row r="1700">
          <cell r="E1700" t="str">
            <v>LTD46BLM.AEPPEVN</v>
          </cell>
          <cell r="F1700">
            <v>0</v>
          </cell>
          <cell r="G1700">
            <v>0</v>
          </cell>
          <cell r="H1700">
            <v>0</v>
          </cell>
          <cell r="I1700">
            <v>1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 t="str">
            <v>REFPREMIUM</v>
          </cell>
          <cell r="AH1700" t="str">
            <v>REF_Premium</v>
          </cell>
          <cell r="AI1700" t="str">
            <v/>
          </cell>
          <cell r="AJ1700" t="str">
            <v/>
          </cell>
          <cell r="AK1700" t="str">
            <v>1.102563</v>
          </cell>
          <cell r="AL1700" t="str">
            <v>2</v>
          </cell>
          <cell r="AM1700" t="str">
            <v>Q</v>
          </cell>
          <cell r="AN1700" t="str">
            <v>M0</v>
          </cell>
          <cell r="AO1700" t="str">
            <v>Active(Model)</v>
          </cell>
          <cell r="AP1700" t="str">
            <v/>
          </cell>
          <cell r="AQ1700" t="str">
            <v/>
          </cell>
          <cell r="AR1700" t="str">
            <v>Y</v>
          </cell>
          <cell r="AS1700" t="str">
            <v/>
          </cell>
          <cell r="AT1700" t="str">
            <v>RF</v>
          </cell>
          <cell r="AU1700" t="str">
            <v>Refrigerator</v>
          </cell>
          <cell r="AV1700" t="str">
            <v>RFTM</v>
          </cell>
          <cell r="AW1700" t="str">
            <v>TMNF</v>
          </cell>
          <cell r="AX1700" t="str">
            <v>RFTMTM</v>
          </cell>
          <cell r="AY1700" t="str">
            <v>TMNF</v>
          </cell>
          <cell r="AZ1700" t="str">
            <v>RFTMTMXA</v>
          </cell>
          <cell r="BA1700" t="str">
            <v>X Large REF</v>
          </cell>
        </row>
        <row r="1701">
          <cell r="E1701" t="str">
            <v>LTD46SVMA.APYPEVN</v>
          </cell>
          <cell r="F1701">
            <v>0</v>
          </cell>
          <cell r="G1701">
            <v>0</v>
          </cell>
          <cell r="H1701">
            <v>0</v>
          </cell>
          <cell r="I1701">
            <v>1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 t="str">
            <v>REFPREMIUM</v>
          </cell>
          <cell r="AH1701" t="str">
            <v>REF_Premium</v>
          </cell>
          <cell r="AI1701" t="str">
            <v/>
          </cell>
          <cell r="AJ1701" t="str">
            <v/>
          </cell>
          <cell r="AK1701" t="str">
            <v>1.102563</v>
          </cell>
          <cell r="AL1701" t="str">
            <v>2</v>
          </cell>
          <cell r="AM1701" t="str">
            <v>Q</v>
          </cell>
          <cell r="AN1701" t="str">
            <v>M0</v>
          </cell>
          <cell r="AO1701" t="str">
            <v>Active(Model)</v>
          </cell>
          <cell r="AP1701" t="str">
            <v/>
          </cell>
          <cell r="AQ1701" t="str">
            <v/>
          </cell>
          <cell r="AR1701" t="str">
            <v>Y</v>
          </cell>
          <cell r="AS1701" t="str">
            <v/>
          </cell>
          <cell r="AT1701" t="str">
            <v>RF</v>
          </cell>
          <cell r="AU1701" t="str">
            <v>Refrigerator</v>
          </cell>
          <cell r="AV1701" t="str">
            <v>RFTM</v>
          </cell>
          <cell r="AW1701" t="str">
            <v>TMNF</v>
          </cell>
          <cell r="AX1701" t="str">
            <v>RFTMTM</v>
          </cell>
          <cell r="AY1701" t="str">
            <v>TMNF</v>
          </cell>
          <cell r="AZ1701" t="str">
            <v>RFTMTMXA</v>
          </cell>
          <cell r="BA1701" t="str">
            <v>X Large REF</v>
          </cell>
        </row>
        <row r="1702">
          <cell r="E1702" t="str">
            <v>LZ-H150GBA5.ENWALEU</v>
          </cell>
          <cell r="F1702">
            <v>1</v>
          </cell>
          <cell r="G1702">
            <v>0</v>
          </cell>
          <cell r="H1702">
            <v>0</v>
          </cell>
          <cell r="I1702">
            <v>1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 t="str">
            <v/>
          </cell>
          <cell r="AH1702" t="str">
            <v/>
          </cell>
          <cell r="AI1702" t="str">
            <v/>
          </cell>
          <cell r="AJ1702" t="str">
            <v/>
          </cell>
          <cell r="AK1702" t="str">
            <v>2.378917</v>
          </cell>
          <cell r="AL1702" t="str">
            <v>0</v>
          </cell>
          <cell r="AM1702" t="str">
            <v>Q</v>
          </cell>
          <cell r="AN1702" t="str">
            <v>M0</v>
          </cell>
          <cell r="AO1702" t="str">
            <v>Active(Model)</v>
          </cell>
          <cell r="AP1702" t="str">
            <v/>
          </cell>
          <cell r="AQ1702" t="str">
            <v/>
          </cell>
          <cell r="AR1702" t="str">
            <v>Y</v>
          </cell>
          <cell r="AS1702" t="str">
            <v/>
          </cell>
          <cell r="AT1702" t="str">
            <v>AC</v>
          </cell>
          <cell r="AU1702" t="str">
            <v>Airconditioner</v>
          </cell>
          <cell r="AV1702" t="str">
            <v>ACVT</v>
          </cell>
          <cell r="AW1702" t="str">
            <v>Ventilation</v>
          </cell>
          <cell r="AX1702" t="str">
            <v>ACVTVT</v>
          </cell>
          <cell r="AY1702" t="str">
            <v>Ventilation</v>
          </cell>
          <cell r="AZ1702" t="str">
            <v>ACVTVTZJ</v>
          </cell>
          <cell r="BA1702" t="str">
            <v>Ventilation</v>
          </cell>
        </row>
        <row r="1703">
          <cell r="E1703" t="str">
            <v>MINI.AASALBK</v>
          </cell>
          <cell r="F1703">
            <v>0</v>
          </cell>
          <cell r="G1703">
            <v>0</v>
          </cell>
          <cell r="H1703">
            <v>0</v>
          </cell>
          <cell r="I1703">
            <v>4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 t="str">
            <v/>
          </cell>
          <cell r="AH1703" t="str">
            <v/>
          </cell>
          <cell r="AI1703" t="str">
            <v/>
          </cell>
          <cell r="AJ1703" t="str">
            <v/>
          </cell>
          <cell r="AK1703" t="str">
            <v>0.000793</v>
          </cell>
          <cell r="AL1703" t="str">
            <v>0</v>
          </cell>
          <cell r="AM1703" t="str">
            <v>Q</v>
          </cell>
          <cell r="AN1703" t="str">
            <v>M0</v>
          </cell>
          <cell r="AO1703" t="str">
            <v>Active(Model)</v>
          </cell>
          <cell r="AP1703" t="str">
            <v/>
          </cell>
          <cell r="AQ1703" t="str">
            <v/>
          </cell>
          <cell r="AR1703" t="str">
            <v>Y</v>
          </cell>
          <cell r="AS1703" t="str">
            <v/>
          </cell>
          <cell r="AT1703" t="str">
            <v>AO</v>
          </cell>
          <cell r="AU1703" t="str">
            <v>AO</v>
          </cell>
          <cell r="AV1703" t="str">
            <v>AOAA</v>
          </cell>
          <cell r="AW1703" t="str">
            <v>Home Audio_OS</v>
          </cell>
          <cell r="AX1703" t="str">
            <v>AOAADS</v>
          </cell>
          <cell r="AY1703" t="str">
            <v>Wireless Speaker_OS</v>
          </cell>
          <cell r="AZ1703" t="str">
            <v>AOAADSPS</v>
          </cell>
          <cell r="BA1703" t="str">
            <v>Bluetooth Speaker_OS</v>
          </cell>
        </row>
        <row r="1704">
          <cell r="E1704" t="str">
            <v>MS2032GAS.BBKPLVN</v>
          </cell>
          <cell r="F1704">
            <v>1</v>
          </cell>
          <cell r="G1704">
            <v>0</v>
          </cell>
          <cell r="H1704">
            <v>0</v>
          </cell>
          <cell r="I1704">
            <v>17</v>
          </cell>
          <cell r="J1704">
            <v>0</v>
          </cell>
          <cell r="K1704">
            <v>0</v>
          </cell>
          <cell r="L1704">
            <v>0</v>
          </cell>
          <cell r="M1704">
            <v>2</v>
          </cell>
          <cell r="N1704">
            <v>11</v>
          </cell>
          <cell r="O1704">
            <v>2</v>
          </cell>
          <cell r="P1704">
            <v>13</v>
          </cell>
          <cell r="Q1704">
            <v>0</v>
          </cell>
          <cell r="R1704">
            <v>0</v>
          </cell>
          <cell r="S1704">
            <v>9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1</v>
          </cell>
          <cell r="AB1704">
            <v>0</v>
          </cell>
          <cell r="AC1704">
            <v>1</v>
          </cell>
          <cell r="AD1704">
            <v>1</v>
          </cell>
          <cell r="AE1704">
            <v>5</v>
          </cell>
          <cell r="AF1704">
            <v>2</v>
          </cell>
          <cell r="AG1704" t="str">
            <v>MWOPREMIUM</v>
          </cell>
          <cell r="AH1704" t="str">
            <v>MWO_Premium</v>
          </cell>
          <cell r="AI1704" t="str">
            <v/>
          </cell>
          <cell r="AJ1704" t="str">
            <v/>
          </cell>
          <cell r="AK1704" t="str">
            <v>0.060864</v>
          </cell>
          <cell r="AL1704" t="str">
            <v>2</v>
          </cell>
          <cell r="AM1704" t="str">
            <v>Q</v>
          </cell>
          <cell r="AN1704" t="str">
            <v>M0</v>
          </cell>
          <cell r="AO1704" t="str">
            <v>Active(Model)</v>
          </cell>
          <cell r="AP1704" t="str">
            <v/>
          </cell>
          <cell r="AQ1704" t="str">
            <v/>
          </cell>
          <cell r="AR1704" t="str">
            <v>Y</v>
          </cell>
          <cell r="AS1704" t="str">
            <v/>
          </cell>
          <cell r="AT1704" t="str">
            <v>CA</v>
          </cell>
          <cell r="AU1704" t="str">
            <v>Cooking Appliance</v>
          </cell>
          <cell r="AV1704" t="str">
            <v>CAMW</v>
          </cell>
          <cell r="AW1704" t="str">
            <v>MWO</v>
          </cell>
          <cell r="AX1704" t="str">
            <v>CAMWCT</v>
          </cell>
          <cell r="AY1704" t="str">
            <v>C/Top_MWO</v>
          </cell>
          <cell r="AZ1704" t="str">
            <v>CAMWCTSF</v>
          </cell>
          <cell r="BA1704" t="str">
            <v>Solo(C/Top)</v>
          </cell>
        </row>
        <row r="1705">
          <cell r="E1705" t="str">
            <v>MS2032GIK.BSEPLVN</v>
          </cell>
          <cell r="F1705">
            <v>0</v>
          </cell>
          <cell r="G1705">
            <v>0</v>
          </cell>
          <cell r="H1705">
            <v>0</v>
          </cell>
          <cell r="I1705">
            <v>1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102</v>
          </cell>
          <cell r="AB1705">
            <v>0</v>
          </cell>
          <cell r="AC1705">
            <v>1</v>
          </cell>
          <cell r="AD1705">
            <v>0</v>
          </cell>
          <cell r="AE1705">
            <v>1</v>
          </cell>
          <cell r="AF1705">
            <v>1</v>
          </cell>
          <cell r="AG1705" t="str">
            <v>MWOPREMIUM</v>
          </cell>
          <cell r="AH1705" t="str">
            <v>MWO_Premium</v>
          </cell>
          <cell r="AI1705" t="str">
            <v/>
          </cell>
          <cell r="AJ1705" t="str">
            <v/>
          </cell>
          <cell r="AK1705" t="str">
            <v>0.060864</v>
          </cell>
          <cell r="AL1705" t="str">
            <v>2</v>
          </cell>
          <cell r="AM1705" t="str">
            <v>Q</v>
          </cell>
          <cell r="AN1705" t="str">
            <v>M0</v>
          </cell>
          <cell r="AO1705" t="str">
            <v>Active(Model)</v>
          </cell>
          <cell r="AP1705" t="str">
            <v/>
          </cell>
          <cell r="AQ1705" t="str">
            <v/>
          </cell>
          <cell r="AR1705" t="str">
            <v>Y</v>
          </cell>
          <cell r="AS1705" t="str">
            <v/>
          </cell>
          <cell r="AT1705" t="str">
            <v>CA</v>
          </cell>
          <cell r="AU1705" t="str">
            <v>Cooking Appliance</v>
          </cell>
          <cell r="AV1705" t="str">
            <v>CAMW</v>
          </cell>
          <cell r="AW1705" t="str">
            <v>MWO</v>
          </cell>
          <cell r="AX1705" t="str">
            <v>CAMWCT</v>
          </cell>
          <cell r="AY1705" t="str">
            <v>C/Top_MWO</v>
          </cell>
          <cell r="AZ1705" t="str">
            <v>CAMWCTSF</v>
          </cell>
          <cell r="BA1705" t="str">
            <v>Solo(C/Top)</v>
          </cell>
        </row>
        <row r="1706">
          <cell r="E1706" t="str">
            <v>MS3032JAS.BBKPLVN</v>
          </cell>
          <cell r="F1706">
            <v>15</v>
          </cell>
          <cell r="G1706">
            <v>0</v>
          </cell>
          <cell r="H1706">
            <v>0</v>
          </cell>
          <cell r="I1706">
            <v>20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12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 t="str">
            <v>MWOPREMIUM</v>
          </cell>
          <cell r="AH1706" t="str">
            <v>MWO_Premium</v>
          </cell>
          <cell r="AI1706" t="str">
            <v/>
          </cell>
          <cell r="AJ1706" t="str">
            <v/>
          </cell>
          <cell r="AK1706" t="str">
            <v>0.091295</v>
          </cell>
          <cell r="AL1706" t="str">
            <v>2</v>
          </cell>
          <cell r="AM1706" t="str">
            <v>Q</v>
          </cell>
          <cell r="AN1706" t="str">
            <v>M0</v>
          </cell>
          <cell r="AO1706" t="str">
            <v>Active(Model)</v>
          </cell>
          <cell r="AP1706" t="str">
            <v/>
          </cell>
          <cell r="AQ1706" t="str">
            <v/>
          </cell>
          <cell r="AR1706" t="str">
            <v>Y</v>
          </cell>
          <cell r="AS1706" t="str">
            <v/>
          </cell>
          <cell r="AT1706" t="str">
            <v>CA</v>
          </cell>
          <cell r="AU1706" t="str">
            <v>Cooking Appliance</v>
          </cell>
          <cell r="AV1706" t="str">
            <v>CAMW</v>
          </cell>
          <cell r="AW1706" t="str">
            <v>MWO</v>
          </cell>
          <cell r="AX1706" t="str">
            <v>CAMWCT</v>
          </cell>
          <cell r="AY1706" t="str">
            <v>C/Top_MWO</v>
          </cell>
          <cell r="AZ1706" t="str">
            <v>CAMWCTSF</v>
          </cell>
          <cell r="BA1706" t="str">
            <v>Solo(C/Top)</v>
          </cell>
        </row>
        <row r="1707">
          <cell r="E1707" t="str">
            <v>OLED48B6PSA.ATV</v>
          </cell>
          <cell r="F1707">
            <v>5</v>
          </cell>
          <cell r="G1707">
            <v>0</v>
          </cell>
          <cell r="H1707">
            <v>0</v>
          </cell>
          <cell r="I1707">
            <v>7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1</v>
          </cell>
          <cell r="O1707">
            <v>6</v>
          </cell>
          <cell r="P1707">
            <v>1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 t="str">
            <v>LCDPREPLUS</v>
          </cell>
          <cell r="AH1707" t="str">
            <v>LCD_Premium Plus</v>
          </cell>
          <cell r="AI1707" t="str">
            <v/>
          </cell>
          <cell r="AJ1707" t="str">
            <v/>
          </cell>
          <cell r="AK1707" t="str">
            <v>0.136484</v>
          </cell>
          <cell r="AL1707" t="str">
            <v>2</v>
          </cell>
          <cell r="AM1707" t="str">
            <v>Q</v>
          </cell>
          <cell r="AN1707" t="str">
            <v>M0</v>
          </cell>
          <cell r="AO1707" t="str">
            <v>Active(Model)</v>
          </cell>
          <cell r="AP1707" t="str">
            <v/>
          </cell>
          <cell r="AQ1707" t="str">
            <v/>
          </cell>
          <cell r="AR1707" t="str">
            <v>Y</v>
          </cell>
          <cell r="AS1707" t="str">
            <v/>
          </cell>
          <cell r="AT1707" t="str">
            <v>TV</v>
          </cell>
          <cell r="AU1707" t="str">
            <v>TV</v>
          </cell>
          <cell r="AV1707" t="str">
            <v>TVLO</v>
          </cell>
          <cell r="AW1707" t="str">
            <v>OLED TV</v>
          </cell>
          <cell r="AX1707" t="str">
            <v>TVLO48</v>
          </cell>
          <cell r="AY1707" t="str">
            <v>OLED TV 48</v>
          </cell>
          <cell r="AZ1707" t="str">
            <v>TVLO48NU</v>
          </cell>
          <cell r="BA1707" t="str">
            <v>OLED TV 48 (UD)</v>
          </cell>
        </row>
        <row r="1708">
          <cell r="E1708" t="str">
            <v>OLED55B6PSA.ATV</v>
          </cell>
          <cell r="F1708">
            <v>0</v>
          </cell>
          <cell r="G1708">
            <v>0</v>
          </cell>
          <cell r="H1708">
            <v>0</v>
          </cell>
          <cell r="I1708">
            <v>4</v>
          </cell>
          <cell r="J1708">
            <v>0</v>
          </cell>
          <cell r="K1708">
            <v>3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 t="str">
            <v>LCDPREPLUS</v>
          </cell>
          <cell r="AH1708" t="str">
            <v>LCD_Premium Plus</v>
          </cell>
          <cell r="AI1708" t="str">
            <v/>
          </cell>
          <cell r="AJ1708" t="str">
            <v/>
          </cell>
          <cell r="AK1708" t="str">
            <v>0.189475</v>
          </cell>
          <cell r="AL1708" t="str">
            <v>2</v>
          </cell>
          <cell r="AM1708" t="str">
            <v>Q</v>
          </cell>
          <cell r="AN1708" t="str">
            <v>M0</v>
          </cell>
          <cell r="AO1708" t="str">
            <v>Active(Model)</v>
          </cell>
          <cell r="AP1708" t="str">
            <v/>
          </cell>
          <cell r="AQ1708" t="str">
            <v/>
          </cell>
          <cell r="AR1708" t="str">
            <v>Y</v>
          </cell>
          <cell r="AS1708" t="str">
            <v/>
          </cell>
          <cell r="AT1708" t="str">
            <v>TV</v>
          </cell>
          <cell r="AU1708" t="str">
            <v>TV</v>
          </cell>
          <cell r="AV1708" t="str">
            <v>TVLO</v>
          </cell>
          <cell r="AW1708" t="str">
            <v>OLED TV</v>
          </cell>
          <cell r="AX1708" t="str">
            <v>TVLO55</v>
          </cell>
          <cell r="AY1708" t="str">
            <v>OLED TV 55</v>
          </cell>
          <cell r="AZ1708" t="str">
            <v>TVLO55NU</v>
          </cell>
          <cell r="BA1708" t="str">
            <v>OLED TV 55 (UD)</v>
          </cell>
        </row>
        <row r="1709">
          <cell r="E1709" t="str">
            <v>OLED55C6PSA.ATV</v>
          </cell>
          <cell r="F1709">
            <v>21</v>
          </cell>
          <cell r="G1709">
            <v>0</v>
          </cell>
          <cell r="H1709">
            <v>0</v>
          </cell>
          <cell r="I1709">
            <v>26</v>
          </cell>
          <cell r="J1709">
            <v>0</v>
          </cell>
          <cell r="K1709">
            <v>0</v>
          </cell>
          <cell r="L1709">
            <v>0</v>
          </cell>
          <cell r="M1709">
            <v>1</v>
          </cell>
          <cell r="N1709">
            <v>0</v>
          </cell>
          <cell r="O1709">
            <v>10</v>
          </cell>
          <cell r="P1709">
            <v>1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 t="str">
            <v>LCDPREPLUS</v>
          </cell>
          <cell r="AH1709" t="str">
            <v>LCD_Premium Plus</v>
          </cell>
          <cell r="AI1709" t="str">
            <v/>
          </cell>
          <cell r="AJ1709" t="str">
            <v/>
          </cell>
          <cell r="AK1709" t="str">
            <v>0.205999</v>
          </cell>
          <cell r="AL1709" t="str">
            <v>2</v>
          </cell>
          <cell r="AM1709" t="str">
            <v>Q</v>
          </cell>
          <cell r="AN1709" t="str">
            <v>M0</v>
          </cell>
          <cell r="AO1709" t="str">
            <v>Active(Model)</v>
          </cell>
          <cell r="AP1709" t="str">
            <v/>
          </cell>
          <cell r="AQ1709" t="str">
            <v/>
          </cell>
          <cell r="AR1709" t="str">
            <v>Y</v>
          </cell>
          <cell r="AS1709" t="str">
            <v/>
          </cell>
          <cell r="AT1709" t="str">
            <v>TV</v>
          </cell>
          <cell r="AU1709" t="str">
            <v>TV</v>
          </cell>
          <cell r="AV1709" t="str">
            <v>TVLO</v>
          </cell>
          <cell r="AW1709" t="str">
            <v>OLED TV</v>
          </cell>
          <cell r="AX1709" t="str">
            <v>TVLO55</v>
          </cell>
          <cell r="AY1709" t="str">
            <v>OLED TV 55</v>
          </cell>
          <cell r="AZ1709" t="str">
            <v>TVLO55NU</v>
          </cell>
          <cell r="BA1709" t="str">
            <v>OLED TV 55 (UD)</v>
          </cell>
        </row>
        <row r="1710">
          <cell r="E1710" t="str">
            <v>OLED55G6PSA.ATV</v>
          </cell>
          <cell r="F1710">
            <v>1</v>
          </cell>
          <cell r="G1710">
            <v>0</v>
          </cell>
          <cell r="H1710">
            <v>0</v>
          </cell>
          <cell r="I1710">
            <v>2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 t="str">
            <v>LCDPREPLUS</v>
          </cell>
          <cell r="AH1710" t="str">
            <v>LCD_Premium Plus</v>
          </cell>
          <cell r="AI1710" t="str">
            <v/>
          </cell>
          <cell r="AJ1710" t="str">
            <v/>
          </cell>
          <cell r="AK1710" t="str">
            <v>0.189475</v>
          </cell>
          <cell r="AL1710" t="str">
            <v>2</v>
          </cell>
          <cell r="AM1710" t="str">
            <v>Q</v>
          </cell>
          <cell r="AN1710" t="str">
            <v>M0</v>
          </cell>
          <cell r="AO1710" t="str">
            <v>Active(Model)</v>
          </cell>
          <cell r="AP1710" t="str">
            <v/>
          </cell>
          <cell r="AQ1710" t="str">
            <v/>
          </cell>
          <cell r="AR1710" t="str">
            <v>Y</v>
          </cell>
          <cell r="AS1710" t="str">
            <v/>
          </cell>
          <cell r="AT1710" t="str">
            <v>TV</v>
          </cell>
          <cell r="AU1710" t="str">
            <v>TV</v>
          </cell>
          <cell r="AV1710" t="str">
            <v>TVLV</v>
          </cell>
          <cell r="AW1710" t="str">
            <v>Premium OLED TV</v>
          </cell>
          <cell r="AX1710" t="str">
            <v>TVLV55</v>
          </cell>
          <cell r="AY1710" t="str">
            <v>Premium OLED TV 55</v>
          </cell>
          <cell r="AZ1710" t="str">
            <v>TVLV55NU</v>
          </cell>
          <cell r="BA1710" t="str">
            <v>Premium OLED TV 55 (UD)</v>
          </cell>
        </row>
        <row r="1711">
          <cell r="E1711" t="str">
            <v>OLED65B6PSA.ATV</v>
          </cell>
          <cell r="F1711">
            <v>0</v>
          </cell>
          <cell r="G1711">
            <v>0</v>
          </cell>
          <cell r="H1711">
            <v>0</v>
          </cell>
          <cell r="I1711">
            <v>2</v>
          </cell>
          <cell r="J1711">
            <v>0</v>
          </cell>
          <cell r="K1711">
            <v>5</v>
          </cell>
          <cell r="L1711">
            <v>0</v>
          </cell>
          <cell r="M1711">
            <v>1</v>
          </cell>
          <cell r="N1711">
            <v>0</v>
          </cell>
          <cell r="O1711">
            <v>15</v>
          </cell>
          <cell r="P1711">
            <v>1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 t="str">
            <v>LCDPREPLUS</v>
          </cell>
          <cell r="AH1711" t="str">
            <v>LCD_Premium Plus</v>
          </cell>
          <cell r="AI1711" t="str">
            <v/>
          </cell>
          <cell r="AJ1711" t="str">
            <v/>
          </cell>
          <cell r="AK1711" t="str">
            <v>0.261440</v>
          </cell>
          <cell r="AL1711" t="str">
            <v>2</v>
          </cell>
          <cell r="AM1711" t="str">
            <v>Q</v>
          </cell>
          <cell r="AN1711" t="str">
            <v>M0</v>
          </cell>
          <cell r="AO1711" t="str">
            <v>Active(Model)</v>
          </cell>
          <cell r="AP1711" t="str">
            <v/>
          </cell>
          <cell r="AQ1711" t="str">
            <v/>
          </cell>
          <cell r="AR1711" t="str">
            <v>Y</v>
          </cell>
          <cell r="AS1711" t="str">
            <v/>
          </cell>
          <cell r="AT1711" t="str">
            <v>TV</v>
          </cell>
          <cell r="AU1711" t="str">
            <v>TV</v>
          </cell>
          <cell r="AV1711" t="str">
            <v>TVLO</v>
          </cell>
          <cell r="AW1711" t="str">
            <v>OLED TV</v>
          </cell>
          <cell r="AX1711" t="str">
            <v>TVLO65</v>
          </cell>
          <cell r="AY1711" t="str">
            <v>OLED TV 65</v>
          </cell>
          <cell r="AZ1711" t="str">
            <v>TVLO65NU</v>
          </cell>
          <cell r="BA1711" t="str">
            <v>OLED TV 65 (UD)</v>
          </cell>
        </row>
        <row r="1712">
          <cell r="E1712" t="str">
            <v>OLED65C6PSA.ATV</v>
          </cell>
          <cell r="F1712">
            <v>24</v>
          </cell>
          <cell r="G1712">
            <v>0</v>
          </cell>
          <cell r="H1712">
            <v>0</v>
          </cell>
          <cell r="I1712">
            <v>30</v>
          </cell>
          <cell r="J1712">
            <v>0</v>
          </cell>
          <cell r="K1712">
            <v>0</v>
          </cell>
          <cell r="L1712">
            <v>0</v>
          </cell>
          <cell r="M1712">
            <v>1</v>
          </cell>
          <cell r="N1712">
            <v>0</v>
          </cell>
          <cell r="O1712">
            <v>1</v>
          </cell>
          <cell r="P1712">
            <v>1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 t="str">
            <v>LCDPREPLUS</v>
          </cell>
          <cell r="AH1712" t="str">
            <v>LCD_Premium Plus</v>
          </cell>
          <cell r="AI1712" t="str">
            <v/>
          </cell>
          <cell r="AJ1712" t="str">
            <v/>
          </cell>
          <cell r="AK1712" t="str">
            <v>0.304000</v>
          </cell>
          <cell r="AL1712" t="str">
            <v>2</v>
          </cell>
          <cell r="AM1712" t="str">
            <v>Q</v>
          </cell>
          <cell r="AN1712" t="str">
            <v>M0</v>
          </cell>
          <cell r="AO1712" t="str">
            <v>Active(Model)</v>
          </cell>
          <cell r="AP1712" t="str">
            <v/>
          </cell>
          <cell r="AQ1712" t="str">
            <v/>
          </cell>
          <cell r="AR1712" t="str">
            <v>Y</v>
          </cell>
          <cell r="AS1712" t="str">
            <v/>
          </cell>
          <cell r="AT1712" t="str">
            <v>TV</v>
          </cell>
          <cell r="AU1712" t="str">
            <v>TV</v>
          </cell>
          <cell r="AV1712" t="str">
            <v>TVLO</v>
          </cell>
          <cell r="AW1712" t="str">
            <v>OLED TV</v>
          </cell>
          <cell r="AX1712" t="str">
            <v>TVLO65</v>
          </cell>
          <cell r="AY1712" t="str">
            <v>OLED TV 65</v>
          </cell>
          <cell r="AZ1712" t="str">
            <v>TVLO65NU</v>
          </cell>
          <cell r="BA1712" t="str">
            <v>OLED TV 65 (UD)</v>
          </cell>
        </row>
        <row r="1713">
          <cell r="E1713" t="str">
            <v>OLED65G6PSA.ATV</v>
          </cell>
          <cell r="F1713">
            <v>1</v>
          </cell>
          <cell r="G1713">
            <v>0</v>
          </cell>
          <cell r="H1713">
            <v>0</v>
          </cell>
          <cell r="I1713">
            <v>2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1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 t="str">
            <v>LCDPREPLUS</v>
          </cell>
          <cell r="AH1713" t="str">
            <v>LCD_Premium Plus</v>
          </cell>
          <cell r="AI1713" t="str">
            <v/>
          </cell>
          <cell r="AJ1713" t="str">
            <v/>
          </cell>
          <cell r="AK1713" t="str">
            <v>0.266944</v>
          </cell>
          <cell r="AL1713" t="str">
            <v>2</v>
          </cell>
          <cell r="AM1713" t="str">
            <v>Q</v>
          </cell>
          <cell r="AN1713" t="str">
            <v>M0</v>
          </cell>
          <cell r="AO1713" t="str">
            <v>Active(Model)</v>
          </cell>
          <cell r="AP1713" t="str">
            <v/>
          </cell>
          <cell r="AQ1713" t="str">
            <v/>
          </cell>
          <cell r="AR1713" t="str">
            <v>Y</v>
          </cell>
          <cell r="AS1713" t="str">
            <v/>
          </cell>
          <cell r="AT1713" t="str">
            <v>TV</v>
          </cell>
          <cell r="AU1713" t="str">
            <v>TV</v>
          </cell>
          <cell r="AV1713" t="str">
            <v>TVLV</v>
          </cell>
          <cell r="AW1713" t="str">
            <v>Premium OLED TV</v>
          </cell>
          <cell r="AX1713" t="str">
            <v>TVLV65</v>
          </cell>
          <cell r="AY1713" t="str">
            <v>Premium OLED TV 65</v>
          </cell>
          <cell r="AZ1713" t="str">
            <v>TVLV65NU</v>
          </cell>
          <cell r="BA1713" t="str">
            <v>Premium OLED TV 65 (UD)</v>
          </cell>
        </row>
        <row r="1714">
          <cell r="E1714" t="str">
            <v>OLED77B6PSA.ATV</v>
          </cell>
          <cell r="F1714">
            <v>1</v>
          </cell>
          <cell r="G1714">
            <v>0</v>
          </cell>
          <cell r="H1714">
            <v>0</v>
          </cell>
          <cell r="I1714">
            <v>2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 t="str">
            <v>LCDPREPLUS</v>
          </cell>
          <cell r="AH1714" t="str">
            <v>LCD_Premium Plus</v>
          </cell>
          <cell r="AI1714" t="str">
            <v/>
          </cell>
          <cell r="AJ1714" t="str">
            <v/>
          </cell>
          <cell r="AK1714" t="str">
            <v>0.415614</v>
          </cell>
          <cell r="AL1714" t="str">
            <v>2</v>
          </cell>
          <cell r="AM1714" t="str">
            <v>Q</v>
          </cell>
          <cell r="AN1714" t="str">
            <v>M0</v>
          </cell>
          <cell r="AO1714" t="str">
            <v>Active(Model)</v>
          </cell>
          <cell r="AP1714" t="str">
            <v/>
          </cell>
          <cell r="AQ1714" t="str">
            <v/>
          </cell>
          <cell r="AR1714" t="str">
            <v>Y</v>
          </cell>
          <cell r="AS1714" t="str">
            <v/>
          </cell>
          <cell r="AT1714" t="str">
            <v>TV</v>
          </cell>
          <cell r="AU1714" t="str">
            <v>TV</v>
          </cell>
          <cell r="AV1714" t="str">
            <v>TVLO</v>
          </cell>
          <cell r="AW1714" t="str">
            <v>OLED TV</v>
          </cell>
          <cell r="AX1714" t="str">
            <v>TVLO77</v>
          </cell>
          <cell r="AY1714" t="str">
            <v>OLED TV 77</v>
          </cell>
          <cell r="AZ1714" t="str">
            <v>TVLO77NU</v>
          </cell>
          <cell r="BA1714" t="str">
            <v>OLED TV 77 (UD)</v>
          </cell>
        </row>
        <row r="1715">
          <cell r="E1715" t="str">
            <v>OLED77C6PSA.ATV</v>
          </cell>
          <cell r="F1715">
            <v>1</v>
          </cell>
          <cell r="G1715">
            <v>0</v>
          </cell>
          <cell r="H1715">
            <v>0</v>
          </cell>
          <cell r="I1715">
            <v>2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 t="str">
            <v>LCDPREPLUS</v>
          </cell>
          <cell r="AH1715" t="str">
            <v>LCD_Premium Plus</v>
          </cell>
          <cell r="AI1715" t="str">
            <v/>
          </cell>
          <cell r="AJ1715" t="str">
            <v/>
          </cell>
          <cell r="AK1715" t="str">
            <v>0.484106</v>
          </cell>
          <cell r="AL1715" t="str">
            <v>2</v>
          </cell>
          <cell r="AM1715" t="str">
            <v>Q</v>
          </cell>
          <cell r="AN1715" t="str">
            <v>M0</v>
          </cell>
          <cell r="AO1715" t="str">
            <v>Active(Model)</v>
          </cell>
          <cell r="AP1715" t="str">
            <v/>
          </cell>
          <cell r="AQ1715" t="str">
            <v/>
          </cell>
          <cell r="AR1715" t="str">
            <v>Y</v>
          </cell>
          <cell r="AS1715" t="str">
            <v/>
          </cell>
          <cell r="AT1715" t="str">
            <v>TV</v>
          </cell>
          <cell r="AU1715" t="str">
            <v>TV</v>
          </cell>
          <cell r="AV1715" t="str">
            <v>TVLO</v>
          </cell>
          <cell r="AW1715" t="str">
            <v>OLED TV</v>
          </cell>
          <cell r="AX1715" t="str">
            <v>TVLO77</v>
          </cell>
          <cell r="AY1715" t="str">
            <v>OLED TV 77</v>
          </cell>
          <cell r="AZ1715" t="str">
            <v>TVLO77NU</v>
          </cell>
          <cell r="BA1715" t="str">
            <v>OLED TV 77 (UD)</v>
          </cell>
        </row>
        <row r="1716">
          <cell r="E1716" t="str">
            <v>OLED77G6PSA.ATV</v>
          </cell>
          <cell r="F1716">
            <v>1</v>
          </cell>
          <cell r="G1716">
            <v>0</v>
          </cell>
          <cell r="H1716">
            <v>0</v>
          </cell>
          <cell r="I1716">
            <v>2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1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 t="str">
            <v>LCDPREPLUS</v>
          </cell>
          <cell r="AH1716" t="str">
            <v>LCD_Premium Plus</v>
          </cell>
          <cell r="AI1716" t="str">
            <v/>
          </cell>
          <cell r="AJ1716" t="str">
            <v/>
          </cell>
          <cell r="AK1716" t="str">
            <v>0.484106</v>
          </cell>
          <cell r="AL1716" t="str">
            <v>2</v>
          </cell>
          <cell r="AM1716" t="str">
            <v>Q</v>
          </cell>
          <cell r="AN1716" t="str">
            <v>M0</v>
          </cell>
          <cell r="AO1716" t="str">
            <v>Active(Model)</v>
          </cell>
          <cell r="AP1716" t="str">
            <v/>
          </cell>
          <cell r="AQ1716" t="str">
            <v/>
          </cell>
          <cell r="AR1716" t="str">
            <v>Y</v>
          </cell>
          <cell r="AS1716" t="str">
            <v/>
          </cell>
          <cell r="AT1716" t="str">
            <v>TV</v>
          </cell>
          <cell r="AU1716" t="str">
            <v>TV</v>
          </cell>
          <cell r="AV1716" t="str">
            <v>TVLV</v>
          </cell>
          <cell r="AW1716" t="str">
            <v>Premium OLED TV</v>
          </cell>
          <cell r="AX1716" t="str">
            <v>TVLV77</v>
          </cell>
          <cell r="AY1716" t="str">
            <v>Premium OLED TV 77</v>
          </cell>
          <cell r="AZ1716" t="str">
            <v>TVLV77NU</v>
          </cell>
          <cell r="BA1716" t="str">
            <v>Premium OLED TV 77 (UD)</v>
          </cell>
        </row>
        <row r="1717">
          <cell r="E1717" t="str">
            <v>OLED83C6PSA.ATV</v>
          </cell>
          <cell r="F1717">
            <v>1</v>
          </cell>
          <cell r="G1717">
            <v>0</v>
          </cell>
          <cell r="H1717">
            <v>0</v>
          </cell>
          <cell r="I1717">
            <v>2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 t="str">
            <v>LCDPREPLUS</v>
          </cell>
          <cell r="AH1717" t="str">
            <v>LCD_Premium Plus</v>
          </cell>
          <cell r="AI1717" t="str">
            <v/>
          </cell>
          <cell r="AJ1717" t="str">
            <v/>
          </cell>
          <cell r="AK1717" t="str">
            <v>0.492000</v>
          </cell>
          <cell r="AL1717" t="str">
            <v>2</v>
          </cell>
          <cell r="AM1717" t="str">
            <v>Q</v>
          </cell>
          <cell r="AN1717" t="str">
            <v>M0</v>
          </cell>
          <cell r="AO1717" t="str">
            <v>Active(Model)</v>
          </cell>
          <cell r="AP1717" t="str">
            <v/>
          </cell>
          <cell r="AQ1717" t="str">
            <v/>
          </cell>
          <cell r="AR1717" t="str">
            <v>Y</v>
          </cell>
          <cell r="AS1717" t="str">
            <v/>
          </cell>
          <cell r="AT1717" t="str">
            <v>TV</v>
          </cell>
          <cell r="AU1717" t="str">
            <v>TV</v>
          </cell>
          <cell r="AV1717" t="str">
            <v>TVLO</v>
          </cell>
          <cell r="AW1717" t="str">
            <v>OLED TV</v>
          </cell>
          <cell r="AX1717" t="str">
            <v>TVLO83</v>
          </cell>
          <cell r="AY1717" t="str">
            <v>OLED TV 83</v>
          </cell>
          <cell r="AZ1717" t="str">
            <v>TVLO83NU</v>
          </cell>
          <cell r="BA1717" t="str">
            <v>OLED TV 83 (UD)</v>
          </cell>
        </row>
        <row r="1718">
          <cell r="E1718" t="str">
            <v>PACP5A000.ENCXLEU</v>
          </cell>
          <cell r="F1718">
            <v>1</v>
          </cell>
          <cell r="G1718">
            <v>0</v>
          </cell>
          <cell r="H1718">
            <v>0</v>
          </cell>
          <cell r="I1718">
            <v>2</v>
          </cell>
          <cell r="J1718">
            <v>0</v>
          </cell>
          <cell r="K1718">
            <v>0</v>
          </cell>
          <cell r="L1718">
            <v>1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 t="str">
            <v>CAC</v>
          </cell>
          <cell r="AH1718" t="str">
            <v>CAC</v>
          </cell>
          <cell r="AI1718" t="str">
            <v/>
          </cell>
          <cell r="AJ1718" t="str">
            <v/>
          </cell>
          <cell r="AK1718" t="str">
            <v>0.014625</v>
          </cell>
          <cell r="AL1718" t="str">
            <v>2</v>
          </cell>
          <cell r="AM1718" t="str">
            <v>Q</v>
          </cell>
          <cell r="AN1718" t="str">
            <v>M0</v>
          </cell>
          <cell r="AO1718" t="str">
            <v>Active(Model)</v>
          </cell>
          <cell r="AP1718" t="str">
            <v/>
          </cell>
          <cell r="AQ1718" t="str">
            <v/>
          </cell>
          <cell r="AR1718" t="str">
            <v>Y</v>
          </cell>
          <cell r="AS1718" t="str">
            <v/>
          </cell>
          <cell r="AT1718" t="str">
            <v>AC</v>
          </cell>
          <cell r="AU1718" t="str">
            <v>Airconditioner</v>
          </cell>
          <cell r="AV1718" t="str">
            <v>ACCS</v>
          </cell>
          <cell r="AW1718" t="str">
            <v>Control Solution</v>
          </cell>
          <cell r="AX1718" t="str">
            <v>ACCSCC</v>
          </cell>
          <cell r="AY1718" t="str">
            <v>Centrol Controller</v>
          </cell>
          <cell r="AZ1718" t="str">
            <v>ACCSCCCP</v>
          </cell>
          <cell r="BA1718" t="str">
            <v>Cassette_Part 3</v>
          </cell>
        </row>
        <row r="1719">
          <cell r="E1719" t="str">
            <v>PACS5A000.ENCXLEU</v>
          </cell>
          <cell r="F1719">
            <v>0</v>
          </cell>
          <cell r="G1719">
            <v>0</v>
          </cell>
          <cell r="H1719">
            <v>0</v>
          </cell>
          <cell r="I1719">
            <v>1</v>
          </cell>
          <cell r="J1719">
            <v>0</v>
          </cell>
          <cell r="K1719">
            <v>0</v>
          </cell>
          <cell r="L1719">
            <v>1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 t="str">
            <v>CAC</v>
          </cell>
          <cell r="AH1719" t="str">
            <v>CAC</v>
          </cell>
          <cell r="AI1719" t="str">
            <v/>
          </cell>
          <cell r="AJ1719" t="str">
            <v/>
          </cell>
          <cell r="AK1719" t="str">
            <v>0.006912</v>
          </cell>
          <cell r="AL1719" t="str">
            <v>2</v>
          </cell>
          <cell r="AM1719" t="str">
            <v>Q</v>
          </cell>
          <cell r="AN1719" t="str">
            <v>M0</v>
          </cell>
          <cell r="AO1719" t="str">
            <v>Active(Model)</v>
          </cell>
          <cell r="AP1719" t="str">
            <v/>
          </cell>
          <cell r="AQ1719" t="str">
            <v/>
          </cell>
          <cell r="AR1719" t="str">
            <v>Y</v>
          </cell>
          <cell r="AS1719" t="str">
            <v/>
          </cell>
          <cell r="AT1719" t="str">
            <v>AC</v>
          </cell>
          <cell r="AU1719" t="str">
            <v>Airconditioner</v>
          </cell>
          <cell r="AV1719" t="str">
            <v>ACCS</v>
          </cell>
          <cell r="AW1719" t="str">
            <v>Control Solution</v>
          </cell>
          <cell r="AX1719" t="str">
            <v>ACCSCC</v>
          </cell>
          <cell r="AY1719" t="str">
            <v>Centrol Controller</v>
          </cell>
          <cell r="AZ1719" t="str">
            <v>ACCSCCCM</v>
          </cell>
          <cell r="BA1719" t="str">
            <v>ACS_AC MANAGER</v>
          </cell>
        </row>
        <row r="1720">
          <cell r="E1720" t="str">
            <v>PAHCMR000.ENCSLEU</v>
          </cell>
          <cell r="F1720">
            <v>10</v>
          </cell>
          <cell r="G1720">
            <v>0</v>
          </cell>
          <cell r="H1720">
            <v>0</v>
          </cell>
          <cell r="I1720">
            <v>10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 t="str">
            <v/>
          </cell>
          <cell r="AH1720" t="str">
            <v/>
          </cell>
          <cell r="AI1720" t="str">
            <v/>
          </cell>
          <cell r="AJ1720" t="str">
            <v/>
          </cell>
          <cell r="AK1720" t="str">
            <v>0.026180</v>
          </cell>
          <cell r="AL1720" t="str">
            <v>0</v>
          </cell>
          <cell r="AM1720" t="str">
            <v>Q</v>
          </cell>
          <cell r="AN1720" t="str">
            <v>M0</v>
          </cell>
          <cell r="AO1720" t="str">
            <v>Active(Model)</v>
          </cell>
          <cell r="AP1720" t="str">
            <v/>
          </cell>
          <cell r="AQ1720" t="str">
            <v/>
          </cell>
          <cell r="AR1720" t="str">
            <v>Y</v>
          </cell>
          <cell r="AS1720" t="str">
            <v/>
          </cell>
          <cell r="AT1720" t="str">
            <v>AC</v>
          </cell>
          <cell r="AU1720" t="str">
            <v>Airconditioner</v>
          </cell>
          <cell r="AV1720" t="str">
            <v>ACCS</v>
          </cell>
          <cell r="AW1720" t="str">
            <v>Control Solution</v>
          </cell>
          <cell r="AX1720" t="str">
            <v>ACCSAH</v>
          </cell>
          <cell r="AY1720" t="str">
            <v>Air Handling Unit 3</v>
          </cell>
          <cell r="AZ1720" t="str">
            <v>ACCSAHAR</v>
          </cell>
          <cell r="BA1720" t="str">
            <v>AHU Controller 3</v>
          </cell>
        </row>
        <row r="1721">
          <cell r="E1721" t="str">
            <v>PJT09G2N.ATYGEVH</v>
          </cell>
          <cell r="F1721">
            <v>8</v>
          </cell>
          <cell r="G1721">
            <v>0</v>
          </cell>
          <cell r="H1721">
            <v>0</v>
          </cell>
          <cell r="I1721">
            <v>17</v>
          </cell>
          <cell r="J1721">
            <v>0</v>
          </cell>
          <cell r="K1721">
            <v>0</v>
          </cell>
          <cell r="L1721">
            <v>1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 t="str">
            <v>RACPREMIUM</v>
          </cell>
          <cell r="AH1721" t="str">
            <v>RAC_Premium</v>
          </cell>
          <cell r="AI1721" t="str">
            <v/>
          </cell>
          <cell r="AJ1721" t="str">
            <v/>
          </cell>
          <cell r="AK1721" t="str">
            <v>0.088857</v>
          </cell>
          <cell r="AL1721" t="str">
            <v>0</v>
          </cell>
          <cell r="AM1721" t="str">
            <v>Q</v>
          </cell>
          <cell r="AN1721" t="str">
            <v>M0</v>
          </cell>
          <cell r="AO1721" t="str">
            <v>Active(Model)</v>
          </cell>
          <cell r="AP1721" t="str">
            <v/>
          </cell>
          <cell r="AQ1721" t="str">
            <v/>
          </cell>
          <cell r="AR1721" t="str">
            <v>Y</v>
          </cell>
          <cell r="AS1721" t="str">
            <v/>
          </cell>
          <cell r="AT1721" t="str">
            <v>AC</v>
          </cell>
          <cell r="AU1721" t="str">
            <v>Airconditioner</v>
          </cell>
          <cell r="AV1721" t="str">
            <v>ACSR</v>
          </cell>
          <cell r="AW1721" t="str">
            <v>SRAC</v>
          </cell>
          <cell r="AX1721" t="str">
            <v>ACSRIV</v>
          </cell>
          <cell r="AY1721" t="str">
            <v>Inverter</v>
          </cell>
          <cell r="AZ1721" t="str">
            <v>ACSRIVSN</v>
          </cell>
          <cell r="BA1721" t="str">
            <v>Inverter Single Split Wall_I/D</v>
          </cell>
        </row>
        <row r="1722">
          <cell r="E1722" t="str">
            <v>PJT09G2U.ATYGEVH</v>
          </cell>
          <cell r="F1722">
            <v>8</v>
          </cell>
          <cell r="G1722">
            <v>0</v>
          </cell>
          <cell r="H1722">
            <v>0</v>
          </cell>
          <cell r="I1722">
            <v>17</v>
          </cell>
          <cell r="J1722">
            <v>0</v>
          </cell>
          <cell r="K1722">
            <v>0</v>
          </cell>
          <cell r="L1722">
            <v>1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 t="str">
            <v>RACPREMIUM</v>
          </cell>
          <cell r="AH1722" t="str">
            <v>RAC_Premium</v>
          </cell>
          <cell r="AI1722" t="str">
            <v/>
          </cell>
          <cell r="AJ1722" t="str">
            <v/>
          </cell>
          <cell r="AK1722" t="str">
            <v>0.142216</v>
          </cell>
          <cell r="AL1722" t="str">
            <v>0</v>
          </cell>
          <cell r="AM1722" t="str">
            <v>Q</v>
          </cell>
          <cell r="AN1722" t="str">
            <v>M0</v>
          </cell>
          <cell r="AO1722" t="str">
            <v>Active(Model)</v>
          </cell>
          <cell r="AP1722" t="str">
            <v/>
          </cell>
          <cell r="AQ1722" t="str">
            <v/>
          </cell>
          <cell r="AR1722" t="str">
            <v>Y</v>
          </cell>
          <cell r="AS1722" t="str">
            <v/>
          </cell>
          <cell r="AT1722" t="str">
            <v>AC</v>
          </cell>
          <cell r="AU1722" t="str">
            <v>Airconditioner</v>
          </cell>
          <cell r="AV1722" t="str">
            <v>ACSR</v>
          </cell>
          <cell r="AW1722" t="str">
            <v>SRAC</v>
          </cell>
          <cell r="AX1722" t="str">
            <v>ACSRIV</v>
          </cell>
          <cell r="AY1722" t="str">
            <v>Inverter</v>
          </cell>
          <cell r="AZ1722" t="str">
            <v>ACSRIVSU</v>
          </cell>
          <cell r="BA1722" t="str">
            <v>Inverter Single Split Wall_O/D</v>
          </cell>
        </row>
        <row r="1723">
          <cell r="E1723" t="str">
            <v>PJT12G1N.ATYGEVH</v>
          </cell>
          <cell r="F1723">
            <v>2</v>
          </cell>
          <cell r="G1723">
            <v>0</v>
          </cell>
          <cell r="H1723">
            <v>0</v>
          </cell>
          <cell r="I1723">
            <v>2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 t="str">
            <v>RACPREMIUM</v>
          </cell>
          <cell r="AH1723" t="str">
            <v>RAC_Premium</v>
          </cell>
          <cell r="AI1723" t="str">
            <v/>
          </cell>
          <cell r="AJ1723" t="str">
            <v/>
          </cell>
          <cell r="AK1723" t="str">
            <v>0.088857</v>
          </cell>
          <cell r="AL1723" t="str">
            <v>0</v>
          </cell>
          <cell r="AM1723" t="str">
            <v>Q</v>
          </cell>
          <cell r="AN1723" t="str">
            <v>M0</v>
          </cell>
          <cell r="AO1723" t="str">
            <v>Active(Model)</v>
          </cell>
          <cell r="AP1723" t="str">
            <v/>
          </cell>
          <cell r="AQ1723" t="str">
            <v/>
          </cell>
          <cell r="AR1723" t="str">
            <v>Y</v>
          </cell>
          <cell r="AS1723" t="str">
            <v/>
          </cell>
          <cell r="AT1723" t="str">
            <v>AC</v>
          </cell>
          <cell r="AU1723" t="str">
            <v>Airconditioner</v>
          </cell>
          <cell r="AV1723" t="str">
            <v>ACSR</v>
          </cell>
          <cell r="AW1723" t="str">
            <v>SRAC</v>
          </cell>
          <cell r="AX1723" t="str">
            <v>ACSRIV</v>
          </cell>
          <cell r="AY1723" t="str">
            <v>Inverter</v>
          </cell>
          <cell r="AZ1723" t="str">
            <v>ACSRIVSN</v>
          </cell>
          <cell r="BA1723" t="str">
            <v>Inverter Single Split Wall_I/D</v>
          </cell>
        </row>
        <row r="1724">
          <cell r="E1724" t="str">
            <v>PJT12G1U.ATYGEVH</v>
          </cell>
          <cell r="F1724">
            <v>2</v>
          </cell>
          <cell r="G1724">
            <v>0</v>
          </cell>
          <cell r="H1724">
            <v>0</v>
          </cell>
          <cell r="I1724">
            <v>2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 t="str">
            <v>RACPREMIUM</v>
          </cell>
          <cell r="AH1724" t="str">
            <v>RAC_Premium</v>
          </cell>
          <cell r="AI1724" t="str">
            <v/>
          </cell>
          <cell r="AJ1724" t="str">
            <v/>
          </cell>
          <cell r="AK1724" t="str">
            <v>0.142216</v>
          </cell>
          <cell r="AL1724" t="str">
            <v>0</v>
          </cell>
          <cell r="AM1724" t="str">
            <v>Q</v>
          </cell>
          <cell r="AN1724" t="str">
            <v>M0</v>
          </cell>
          <cell r="AO1724" t="str">
            <v>Active(Model)</v>
          </cell>
          <cell r="AP1724" t="str">
            <v/>
          </cell>
          <cell r="AQ1724" t="str">
            <v/>
          </cell>
          <cell r="AR1724" t="str">
            <v>Y</v>
          </cell>
          <cell r="AS1724" t="str">
            <v/>
          </cell>
          <cell r="AT1724" t="str">
            <v>AC</v>
          </cell>
          <cell r="AU1724" t="str">
            <v>Airconditioner</v>
          </cell>
          <cell r="AV1724" t="str">
            <v>ACSR</v>
          </cell>
          <cell r="AW1724" t="str">
            <v>SRAC</v>
          </cell>
          <cell r="AX1724" t="str">
            <v>ACSRIV</v>
          </cell>
          <cell r="AY1724" t="str">
            <v>Inverter</v>
          </cell>
          <cell r="AZ1724" t="str">
            <v>ACSRIVSU</v>
          </cell>
          <cell r="BA1724" t="str">
            <v>Inverter Single Split Wall_O/D</v>
          </cell>
        </row>
        <row r="1725">
          <cell r="E1725" t="str">
            <v>PJT12G2N.ATYGEVH</v>
          </cell>
          <cell r="F1725">
            <v>0</v>
          </cell>
          <cell r="G1725">
            <v>0</v>
          </cell>
          <cell r="H1725">
            <v>0</v>
          </cell>
          <cell r="I1725">
            <v>1</v>
          </cell>
          <cell r="J1725">
            <v>0</v>
          </cell>
          <cell r="K1725">
            <v>0</v>
          </cell>
          <cell r="L1725">
            <v>1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 t="str">
            <v>RACPREMIUM</v>
          </cell>
          <cell r="AH1725" t="str">
            <v>RAC_Premium</v>
          </cell>
          <cell r="AI1725" t="str">
            <v/>
          </cell>
          <cell r="AJ1725" t="str">
            <v/>
          </cell>
          <cell r="AK1725" t="str">
            <v>0.088857</v>
          </cell>
          <cell r="AL1725" t="str">
            <v>0</v>
          </cell>
          <cell r="AM1725" t="str">
            <v>Q</v>
          </cell>
          <cell r="AN1725" t="str">
            <v>M0</v>
          </cell>
          <cell r="AO1725" t="str">
            <v>Active(Model)</v>
          </cell>
          <cell r="AP1725" t="str">
            <v/>
          </cell>
          <cell r="AQ1725" t="str">
            <v/>
          </cell>
          <cell r="AR1725" t="str">
            <v>Y</v>
          </cell>
          <cell r="AS1725" t="str">
            <v/>
          </cell>
          <cell r="AT1725" t="str">
            <v>AC</v>
          </cell>
          <cell r="AU1725" t="str">
            <v>Airconditioner</v>
          </cell>
          <cell r="AV1725" t="str">
            <v>ACSR</v>
          </cell>
          <cell r="AW1725" t="str">
            <v>SRAC</v>
          </cell>
          <cell r="AX1725" t="str">
            <v>ACSRIV</v>
          </cell>
          <cell r="AY1725" t="str">
            <v>Inverter</v>
          </cell>
          <cell r="AZ1725" t="str">
            <v>ACSRIVSN</v>
          </cell>
          <cell r="BA1725" t="str">
            <v>Inverter Single Split Wall_I/D</v>
          </cell>
        </row>
        <row r="1726">
          <cell r="E1726" t="str">
            <v>PJT12G2U.ATYGEVH</v>
          </cell>
          <cell r="F1726">
            <v>0</v>
          </cell>
          <cell r="G1726">
            <v>0</v>
          </cell>
          <cell r="H1726">
            <v>0</v>
          </cell>
          <cell r="I1726">
            <v>1</v>
          </cell>
          <cell r="J1726">
            <v>0</v>
          </cell>
          <cell r="K1726">
            <v>0</v>
          </cell>
          <cell r="L1726">
            <v>1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 t="str">
            <v>RACPREMIUM</v>
          </cell>
          <cell r="AH1726" t="str">
            <v>RAC_Premium</v>
          </cell>
          <cell r="AI1726" t="str">
            <v/>
          </cell>
          <cell r="AJ1726" t="str">
            <v/>
          </cell>
          <cell r="AK1726" t="str">
            <v>0.142216</v>
          </cell>
          <cell r="AL1726" t="str">
            <v>0</v>
          </cell>
          <cell r="AM1726" t="str">
            <v>Q</v>
          </cell>
          <cell r="AN1726" t="str">
            <v>M0</v>
          </cell>
          <cell r="AO1726" t="str">
            <v>Active(Model)</v>
          </cell>
          <cell r="AP1726" t="str">
            <v/>
          </cell>
          <cell r="AQ1726" t="str">
            <v/>
          </cell>
          <cell r="AR1726" t="str">
            <v>Y</v>
          </cell>
          <cell r="AS1726" t="str">
            <v/>
          </cell>
          <cell r="AT1726" t="str">
            <v>AC</v>
          </cell>
          <cell r="AU1726" t="str">
            <v>Airconditioner</v>
          </cell>
          <cell r="AV1726" t="str">
            <v>ACSR</v>
          </cell>
          <cell r="AW1726" t="str">
            <v>SRAC</v>
          </cell>
          <cell r="AX1726" t="str">
            <v>ACSRIV</v>
          </cell>
          <cell r="AY1726" t="str">
            <v>Inverter</v>
          </cell>
          <cell r="AZ1726" t="str">
            <v>ACSRIVSU</v>
          </cell>
          <cell r="BA1726" t="str">
            <v>Inverter Single Split Wall_O/D</v>
          </cell>
        </row>
        <row r="1727">
          <cell r="E1727" t="str">
            <v>PJT18G2N.ATYGEVH</v>
          </cell>
          <cell r="F1727">
            <v>1</v>
          </cell>
          <cell r="G1727">
            <v>0</v>
          </cell>
          <cell r="H1727">
            <v>0</v>
          </cell>
          <cell r="I1727">
            <v>1</v>
          </cell>
          <cell r="J1727">
            <v>0</v>
          </cell>
          <cell r="K1727">
            <v>3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 t="str">
            <v>RACPREMIUM</v>
          </cell>
          <cell r="AH1727" t="str">
            <v>RAC_Premium</v>
          </cell>
          <cell r="AI1727" t="str">
            <v/>
          </cell>
          <cell r="AJ1727" t="str">
            <v/>
          </cell>
          <cell r="AK1727" t="str">
            <v>0.126638</v>
          </cell>
          <cell r="AL1727" t="str">
            <v>0</v>
          </cell>
          <cell r="AM1727" t="str">
            <v>Q</v>
          </cell>
          <cell r="AN1727" t="str">
            <v>M0</v>
          </cell>
          <cell r="AO1727" t="str">
            <v>Active(Model)</v>
          </cell>
          <cell r="AP1727" t="str">
            <v/>
          </cell>
          <cell r="AQ1727" t="str">
            <v/>
          </cell>
          <cell r="AR1727" t="str">
            <v>Y</v>
          </cell>
          <cell r="AS1727" t="str">
            <v/>
          </cell>
          <cell r="AT1727" t="str">
            <v>AC</v>
          </cell>
          <cell r="AU1727" t="str">
            <v>Airconditioner</v>
          </cell>
          <cell r="AV1727" t="str">
            <v>ACSR</v>
          </cell>
          <cell r="AW1727" t="str">
            <v>SRAC</v>
          </cell>
          <cell r="AX1727" t="str">
            <v>ACSRIV</v>
          </cell>
          <cell r="AY1727" t="str">
            <v>Inverter</v>
          </cell>
          <cell r="AZ1727" t="str">
            <v>ACSRIVSN</v>
          </cell>
          <cell r="BA1727" t="str">
            <v>Inverter Single Split Wall_I/D</v>
          </cell>
        </row>
        <row r="1728">
          <cell r="E1728" t="str">
            <v>PJT18G2U.ATYGEVH</v>
          </cell>
          <cell r="F1728">
            <v>1</v>
          </cell>
          <cell r="G1728">
            <v>0</v>
          </cell>
          <cell r="H1728">
            <v>0</v>
          </cell>
          <cell r="I1728">
            <v>1</v>
          </cell>
          <cell r="J1728">
            <v>0</v>
          </cell>
          <cell r="K1728">
            <v>3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 t="str">
            <v>RACPREMIUM</v>
          </cell>
          <cell r="AH1728" t="str">
            <v>RAC_Premium</v>
          </cell>
          <cell r="AI1728" t="str">
            <v/>
          </cell>
          <cell r="AJ1728" t="str">
            <v/>
          </cell>
          <cell r="AK1728" t="str">
            <v>0.142216</v>
          </cell>
          <cell r="AL1728" t="str">
            <v>0</v>
          </cell>
          <cell r="AM1728" t="str">
            <v>Q</v>
          </cell>
          <cell r="AN1728" t="str">
            <v>M0</v>
          </cell>
          <cell r="AO1728" t="str">
            <v>Active(Model)</v>
          </cell>
          <cell r="AP1728" t="str">
            <v/>
          </cell>
          <cell r="AQ1728" t="str">
            <v/>
          </cell>
          <cell r="AR1728" t="str">
            <v>Y</v>
          </cell>
          <cell r="AS1728" t="str">
            <v/>
          </cell>
          <cell r="AT1728" t="str">
            <v>AC</v>
          </cell>
          <cell r="AU1728" t="str">
            <v>Airconditioner</v>
          </cell>
          <cell r="AV1728" t="str">
            <v>ACSR</v>
          </cell>
          <cell r="AW1728" t="str">
            <v>SRAC</v>
          </cell>
          <cell r="AX1728" t="str">
            <v>ACSRIV</v>
          </cell>
          <cell r="AY1728" t="str">
            <v>Inverter</v>
          </cell>
          <cell r="AZ1728" t="str">
            <v>ACSRIVSU</v>
          </cell>
          <cell r="BA1728" t="str">
            <v>Inverter Single Split Wall_O/D</v>
          </cell>
        </row>
        <row r="1729">
          <cell r="E1729" t="str">
            <v>PJT24G1N.ATYGEVH</v>
          </cell>
          <cell r="F1729">
            <v>1</v>
          </cell>
          <cell r="G1729">
            <v>0</v>
          </cell>
          <cell r="H1729">
            <v>0</v>
          </cell>
          <cell r="I1729">
            <v>6</v>
          </cell>
          <cell r="J1729">
            <v>0</v>
          </cell>
          <cell r="K1729">
            <v>2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 t="str">
            <v>RACPREMIUM</v>
          </cell>
          <cell r="AH1729" t="str">
            <v>RAC_Premium</v>
          </cell>
          <cell r="AI1729" t="str">
            <v/>
          </cell>
          <cell r="AJ1729" t="str">
            <v/>
          </cell>
          <cell r="AK1729" t="str">
            <v>0.126638</v>
          </cell>
          <cell r="AL1729" t="str">
            <v>0</v>
          </cell>
          <cell r="AM1729" t="str">
            <v>Q</v>
          </cell>
          <cell r="AN1729" t="str">
            <v>M0</v>
          </cell>
          <cell r="AO1729" t="str">
            <v>Active(Model)</v>
          </cell>
          <cell r="AP1729" t="str">
            <v/>
          </cell>
          <cell r="AQ1729" t="str">
            <v/>
          </cell>
          <cell r="AR1729" t="str">
            <v>Y</v>
          </cell>
          <cell r="AS1729" t="str">
            <v/>
          </cell>
          <cell r="AT1729" t="str">
            <v>AC</v>
          </cell>
          <cell r="AU1729" t="str">
            <v>Airconditioner</v>
          </cell>
          <cell r="AV1729" t="str">
            <v>ACSR</v>
          </cell>
          <cell r="AW1729" t="str">
            <v>SRAC</v>
          </cell>
          <cell r="AX1729" t="str">
            <v>ACSRIV</v>
          </cell>
          <cell r="AY1729" t="str">
            <v>Inverter</v>
          </cell>
          <cell r="AZ1729" t="str">
            <v>ACSRIVSN</v>
          </cell>
          <cell r="BA1729" t="str">
            <v>Inverter Single Split Wall_I/D</v>
          </cell>
        </row>
        <row r="1730">
          <cell r="E1730" t="str">
            <v>PJT24G1U.ATYGEVH</v>
          </cell>
          <cell r="F1730">
            <v>1</v>
          </cell>
          <cell r="G1730">
            <v>0</v>
          </cell>
          <cell r="H1730">
            <v>0</v>
          </cell>
          <cell r="I1730">
            <v>6</v>
          </cell>
          <cell r="J1730">
            <v>0</v>
          </cell>
          <cell r="K1730">
            <v>2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 t="str">
            <v>RACPREMIUM</v>
          </cell>
          <cell r="AH1730" t="str">
            <v>RAC_Premium</v>
          </cell>
          <cell r="AI1730" t="str">
            <v/>
          </cell>
          <cell r="AJ1730" t="str">
            <v/>
          </cell>
          <cell r="AK1730" t="str">
            <v>0.335972</v>
          </cell>
          <cell r="AL1730" t="str">
            <v>0</v>
          </cell>
          <cell r="AM1730" t="str">
            <v>Q</v>
          </cell>
          <cell r="AN1730" t="str">
            <v>M0</v>
          </cell>
          <cell r="AO1730" t="str">
            <v>Active(Model)</v>
          </cell>
          <cell r="AP1730" t="str">
            <v/>
          </cell>
          <cell r="AQ1730" t="str">
            <v/>
          </cell>
          <cell r="AR1730" t="str">
            <v>Y</v>
          </cell>
          <cell r="AS1730" t="str">
            <v/>
          </cell>
          <cell r="AT1730" t="str">
            <v>AC</v>
          </cell>
          <cell r="AU1730" t="str">
            <v>Airconditioner</v>
          </cell>
          <cell r="AV1730" t="str">
            <v>ACSR</v>
          </cell>
          <cell r="AW1730" t="str">
            <v>SRAC</v>
          </cell>
          <cell r="AX1730" t="str">
            <v>ACSRIV</v>
          </cell>
          <cell r="AY1730" t="str">
            <v>Inverter</v>
          </cell>
          <cell r="AZ1730" t="str">
            <v>ACSRIVSU</v>
          </cell>
          <cell r="BA1730" t="str">
            <v>Inverter Single Split Wall_O/D</v>
          </cell>
        </row>
        <row r="1731">
          <cell r="E1731" t="str">
            <v>PMBUSB00A.ENCXLEU</v>
          </cell>
          <cell r="F1731">
            <v>9</v>
          </cell>
          <cell r="G1731">
            <v>0</v>
          </cell>
          <cell r="H1731">
            <v>0</v>
          </cell>
          <cell r="I1731">
            <v>9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 t="str">
            <v>CAC</v>
          </cell>
          <cell r="AH1731" t="str">
            <v>CAC</v>
          </cell>
          <cell r="AI1731" t="str">
            <v/>
          </cell>
          <cell r="AJ1731" t="str">
            <v/>
          </cell>
          <cell r="AK1731" t="str">
            <v>0.002376</v>
          </cell>
          <cell r="AL1731" t="str">
            <v>2</v>
          </cell>
          <cell r="AM1731" t="str">
            <v>Q</v>
          </cell>
          <cell r="AN1731" t="str">
            <v>M0</v>
          </cell>
          <cell r="AO1731" t="str">
            <v>Active(Model)</v>
          </cell>
          <cell r="AP1731" t="str">
            <v/>
          </cell>
          <cell r="AQ1731" t="str">
            <v/>
          </cell>
          <cell r="AR1731" t="str">
            <v>Y</v>
          </cell>
          <cell r="AS1731" t="str">
            <v/>
          </cell>
          <cell r="AT1731" t="str">
            <v>AC</v>
          </cell>
          <cell r="AU1731" t="str">
            <v>Airconditioner</v>
          </cell>
          <cell r="AV1731" t="str">
            <v>ACCS</v>
          </cell>
          <cell r="AW1731" t="str">
            <v>Control Solution</v>
          </cell>
          <cell r="AX1731" t="str">
            <v>ACCSGW</v>
          </cell>
          <cell r="AY1731" t="str">
            <v>ACS GATEWAY</v>
          </cell>
          <cell r="AZ1731" t="str">
            <v>ACCSGWBM</v>
          </cell>
          <cell r="BA1731" t="str">
            <v>GATEWAY_BMS LINK</v>
          </cell>
        </row>
        <row r="1732">
          <cell r="E1732" t="str">
            <v>PREMTB001.ENCXCOM</v>
          </cell>
          <cell r="F1732">
            <v>4</v>
          </cell>
          <cell r="G1732">
            <v>0</v>
          </cell>
          <cell r="H1732">
            <v>0</v>
          </cell>
          <cell r="I1732">
            <v>140</v>
          </cell>
          <cell r="J1732">
            <v>0</v>
          </cell>
          <cell r="K1732">
            <v>0</v>
          </cell>
          <cell r="L1732">
            <v>6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 t="str">
            <v/>
          </cell>
          <cell r="AH1732" t="str">
            <v/>
          </cell>
          <cell r="AI1732" t="str">
            <v/>
          </cell>
          <cell r="AJ1732" t="str">
            <v/>
          </cell>
          <cell r="AK1732" t="str">
            <v>0.002658</v>
          </cell>
          <cell r="AL1732" t="str">
            <v>2</v>
          </cell>
          <cell r="AM1732" t="str">
            <v>Q</v>
          </cell>
          <cell r="AN1732" t="str">
            <v>M0</v>
          </cell>
          <cell r="AO1732" t="str">
            <v>Active(Model)</v>
          </cell>
          <cell r="AP1732" t="str">
            <v/>
          </cell>
          <cell r="AQ1732" t="str">
            <v/>
          </cell>
          <cell r="AR1732" t="str">
            <v>Y</v>
          </cell>
          <cell r="AS1732" t="str">
            <v/>
          </cell>
          <cell r="AT1732" t="str">
            <v>AC</v>
          </cell>
          <cell r="AU1732" t="str">
            <v>Airconditioner</v>
          </cell>
          <cell r="AV1732" t="str">
            <v>ACCS</v>
          </cell>
          <cell r="AW1732" t="str">
            <v>Control Solution</v>
          </cell>
          <cell r="AX1732" t="str">
            <v>ACCSID</v>
          </cell>
          <cell r="AY1732" t="str">
            <v>Multi V I/D 3</v>
          </cell>
          <cell r="AZ1732" t="str">
            <v>ACCSIDWR</v>
          </cell>
          <cell r="BA1732" t="str">
            <v>wire remote</v>
          </cell>
        </row>
        <row r="1733">
          <cell r="E1733" t="str">
            <v>PREMTB200.ENCXCOM</v>
          </cell>
          <cell r="F1733">
            <v>0</v>
          </cell>
          <cell r="G1733">
            <v>0</v>
          </cell>
          <cell r="H1733">
            <v>0</v>
          </cell>
          <cell r="I1733">
            <v>79</v>
          </cell>
          <cell r="J1733">
            <v>0</v>
          </cell>
          <cell r="K1733">
            <v>110</v>
          </cell>
          <cell r="L1733">
            <v>79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 t="str">
            <v/>
          </cell>
          <cell r="AH1733" t="str">
            <v/>
          </cell>
          <cell r="AI1733" t="str">
            <v/>
          </cell>
          <cell r="AJ1733" t="str">
            <v/>
          </cell>
          <cell r="AK1733" t="str">
            <v>0.002658</v>
          </cell>
          <cell r="AL1733" t="str">
            <v>0</v>
          </cell>
          <cell r="AM1733" t="str">
            <v>Q</v>
          </cell>
          <cell r="AN1733" t="str">
            <v>M0</v>
          </cell>
          <cell r="AO1733" t="str">
            <v>Active(Model)</v>
          </cell>
          <cell r="AP1733" t="str">
            <v/>
          </cell>
          <cell r="AQ1733" t="str">
            <v/>
          </cell>
          <cell r="AR1733" t="str">
            <v>Y</v>
          </cell>
          <cell r="AS1733" t="str">
            <v/>
          </cell>
          <cell r="AT1733" t="str">
            <v>AC</v>
          </cell>
          <cell r="AU1733" t="str">
            <v>Airconditioner</v>
          </cell>
          <cell r="AV1733" t="str">
            <v>ACCS</v>
          </cell>
          <cell r="AW1733" t="str">
            <v>Control Solution</v>
          </cell>
          <cell r="AX1733" t="str">
            <v>ACCSID</v>
          </cell>
          <cell r="AY1733" t="str">
            <v>Multi V I/D 3</v>
          </cell>
          <cell r="AZ1733" t="str">
            <v>ACCSIDWR</v>
          </cell>
          <cell r="BA1733" t="str">
            <v>wire remote</v>
          </cell>
        </row>
        <row r="1734">
          <cell r="E1734" t="str">
            <v>PREMTBB01.ENCXLEU</v>
          </cell>
          <cell r="F1734">
            <v>6</v>
          </cell>
          <cell r="G1734">
            <v>0</v>
          </cell>
          <cell r="H1734">
            <v>0</v>
          </cell>
          <cell r="I1734">
            <v>6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 t="str">
            <v>CAC</v>
          </cell>
          <cell r="AH1734" t="str">
            <v>CAC</v>
          </cell>
          <cell r="AI1734" t="str">
            <v/>
          </cell>
          <cell r="AJ1734" t="str">
            <v/>
          </cell>
          <cell r="AK1734" t="str">
            <v>0.002658</v>
          </cell>
          <cell r="AL1734" t="str">
            <v>2</v>
          </cell>
          <cell r="AM1734" t="str">
            <v>Q</v>
          </cell>
          <cell r="AN1734" t="str">
            <v>M0</v>
          </cell>
          <cell r="AO1734" t="str">
            <v>Active(Model)</v>
          </cell>
          <cell r="AP1734" t="str">
            <v/>
          </cell>
          <cell r="AQ1734" t="str">
            <v/>
          </cell>
          <cell r="AR1734" t="str">
            <v>Y</v>
          </cell>
          <cell r="AS1734" t="str">
            <v/>
          </cell>
          <cell r="AT1734" t="str">
            <v>AC</v>
          </cell>
          <cell r="AU1734" t="str">
            <v>Airconditioner</v>
          </cell>
          <cell r="AV1734" t="str">
            <v>ACCS</v>
          </cell>
          <cell r="AW1734" t="str">
            <v>Control Solution</v>
          </cell>
          <cell r="AX1734" t="str">
            <v>ACCSID</v>
          </cell>
          <cell r="AY1734" t="str">
            <v>Multi V I/D 3</v>
          </cell>
          <cell r="AZ1734" t="str">
            <v>ACCSIDWR</v>
          </cell>
          <cell r="BA1734" t="str">
            <v>wire remote</v>
          </cell>
        </row>
        <row r="1735">
          <cell r="E1735" t="str">
            <v>PT-AAGW0.ENCXCOM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21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 t="str">
            <v>CAC</v>
          </cell>
          <cell r="AH1735" t="str">
            <v>CAC</v>
          </cell>
          <cell r="AI1735" t="str">
            <v/>
          </cell>
          <cell r="AJ1735" t="str">
            <v/>
          </cell>
          <cell r="AK1735" t="str">
            <v>0.103228</v>
          </cell>
          <cell r="AL1735" t="str">
            <v>0</v>
          </cell>
          <cell r="AM1735" t="str">
            <v>Q</v>
          </cell>
          <cell r="AN1735" t="str">
            <v>M0</v>
          </cell>
          <cell r="AO1735" t="str">
            <v>Active(Model)</v>
          </cell>
          <cell r="AP1735" t="str">
            <v/>
          </cell>
          <cell r="AQ1735" t="str">
            <v/>
          </cell>
          <cell r="AR1735" t="str">
            <v>Y</v>
          </cell>
          <cell r="AS1735" t="str">
            <v/>
          </cell>
          <cell r="AT1735" t="str">
            <v>AC</v>
          </cell>
          <cell r="AU1735" t="str">
            <v>Airconditioner</v>
          </cell>
          <cell r="AV1735" t="str">
            <v>ACMV</v>
          </cell>
          <cell r="AW1735" t="str">
            <v>Multi V</v>
          </cell>
          <cell r="AX1735" t="str">
            <v>ACMVID</v>
          </cell>
          <cell r="AY1735" t="str">
            <v>Multi V I/D</v>
          </cell>
          <cell r="AZ1735" t="str">
            <v>ACMVIDMP</v>
          </cell>
          <cell r="BA1735" t="str">
            <v>Multi V_ CST_Mechanical Part</v>
          </cell>
        </row>
        <row r="1736">
          <cell r="E1736" t="str">
            <v>PT-MCGW0.ENCXCOM</v>
          </cell>
          <cell r="F1736">
            <v>43</v>
          </cell>
          <cell r="G1736">
            <v>0</v>
          </cell>
          <cell r="H1736">
            <v>0</v>
          </cell>
          <cell r="I1736">
            <v>154</v>
          </cell>
          <cell r="J1736">
            <v>0</v>
          </cell>
          <cell r="K1736">
            <v>38</v>
          </cell>
          <cell r="L1736">
            <v>54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 t="str">
            <v>CAC</v>
          </cell>
          <cell r="AH1736" t="str">
            <v>CAC</v>
          </cell>
          <cell r="AI1736" t="str">
            <v/>
          </cell>
          <cell r="AJ1736" t="str">
            <v/>
          </cell>
          <cell r="AK1736" t="str">
            <v>0.112538</v>
          </cell>
          <cell r="AL1736" t="str">
            <v>2</v>
          </cell>
          <cell r="AM1736" t="str">
            <v>Q</v>
          </cell>
          <cell r="AN1736" t="str">
            <v>M0</v>
          </cell>
          <cell r="AO1736" t="str">
            <v>Active(Model)</v>
          </cell>
          <cell r="AP1736" t="str">
            <v/>
          </cell>
          <cell r="AQ1736" t="str">
            <v/>
          </cell>
          <cell r="AR1736" t="str">
            <v>Y</v>
          </cell>
          <cell r="AS1736" t="str">
            <v/>
          </cell>
          <cell r="AT1736" t="str">
            <v>AC</v>
          </cell>
          <cell r="AU1736" t="str">
            <v>Airconditioner</v>
          </cell>
          <cell r="AV1736" t="str">
            <v>ACMV</v>
          </cell>
          <cell r="AW1736" t="str">
            <v>Multi V</v>
          </cell>
          <cell r="AX1736" t="str">
            <v>ACMVID</v>
          </cell>
          <cell r="AY1736" t="str">
            <v>Multi V I/D</v>
          </cell>
          <cell r="AZ1736" t="str">
            <v>ACMVIDMP</v>
          </cell>
          <cell r="BA1736" t="str">
            <v>Multi V_ CST_Mechanical Part</v>
          </cell>
        </row>
        <row r="1737">
          <cell r="E1737" t="str">
            <v>PT-QAGW0.ENCXCOM</v>
          </cell>
          <cell r="F1737">
            <v>138</v>
          </cell>
          <cell r="G1737">
            <v>0</v>
          </cell>
          <cell r="H1737">
            <v>0</v>
          </cell>
          <cell r="I1737">
            <v>138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 t="str">
            <v/>
          </cell>
          <cell r="AH1737" t="str">
            <v/>
          </cell>
          <cell r="AI1737" t="str">
            <v/>
          </cell>
          <cell r="AJ1737" t="str">
            <v/>
          </cell>
          <cell r="AK1737" t="str">
            <v>0.058804</v>
          </cell>
          <cell r="AL1737" t="str">
            <v>0</v>
          </cell>
          <cell r="AM1737" t="str">
            <v>Q</v>
          </cell>
          <cell r="AN1737" t="str">
            <v>M0</v>
          </cell>
          <cell r="AO1737" t="str">
            <v>Active(Model)</v>
          </cell>
          <cell r="AP1737" t="str">
            <v/>
          </cell>
          <cell r="AQ1737" t="str">
            <v/>
          </cell>
          <cell r="AR1737" t="str">
            <v>Y</v>
          </cell>
          <cell r="AS1737" t="str">
            <v/>
          </cell>
          <cell r="AT1737" t="str">
            <v>AC</v>
          </cell>
          <cell r="AU1737" t="str">
            <v>Airconditioner</v>
          </cell>
          <cell r="AV1737" t="str">
            <v>ACMV</v>
          </cell>
          <cell r="AW1737" t="str">
            <v>Multi V</v>
          </cell>
          <cell r="AX1737" t="str">
            <v>ACMVID</v>
          </cell>
          <cell r="AY1737" t="str">
            <v>Multi V I/D</v>
          </cell>
          <cell r="AZ1737" t="str">
            <v>ACMVIDMP</v>
          </cell>
          <cell r="BA1737" t="str">
            <v>Multi V_ CST_Mechanical Part</v>
          </cell>
        </row>
        <row r="1738">
          <cell r="E1738" t="str">
            <v>PT-TAHW0.ENCXCOM</v>
          </cell>
          <cell r="F1738">
            <v>49</v>
          </cell>
          <cell r="G1738">
            <v>0</v>
          </cell>
          <cell r="H1738">
            <v>0</v>
          </cell>
          <cell r="I1738">
            <v>57</v>
          </cell>
          <cell r="J1738">
            <v>0</v>
          </cell>
          <cell r="K1738">
            <v>5</v>
          </cell>
          <cell r="L1738">
            <v>3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 t="str">
            <v>CAC</v>
          </cell>
          <cell r="AH1738" t="str">
            <v>CAC</v>
          </cell>
          <cell r="AI1738" t="str">
            <v/>
          </cell>
          <cell r="AJ1738" t="str">
            <v/>
          </cell>
          <cell r="AK1738" t="str">
            <v>0.110603</v>
          </cell>
          <cell r="AL1738" t="str">
            <v>2</v>
          </cell>
          <cell r="AM1738" t="str">
            <v>Q</v>
          </cell>
          <cell r="AN1738" t="str">
            <v>M0</v>
          </cell>
          <cell r="AO1738" t="str">
            <v>Active(Model)</v>
          </cell>
          <cell r="AP1738" t="str">
            <v/>
          </cell>
          <cell r="AQ1738" t="str">
            <v/>
          </cell>
          <cell r="AR1738" t="str">
            <v>Y</v>
          </cell>
          <cell r="AS1738" t="str">
            <v/>
          </cell>
          <cell r="AT1738" t="str">
            <v>AC</v>
          </cell>
          <cell r="AU1738" t="str">
            <v>Airconditioner</v>
          </cell>
          <cell r="AV1738" t="str">
            <v>ACMV</v>
          </cell>
          <cell r="AW1738" t="str">
            <v>Multi V</v>
          </cell>
          <cell r="AX1738" t="str">
            <v>ACMVID</v>
          </cell>
          <cell r="AY1738" t="str">
            <v>Multi V I/D</v>
          </cell>
          <cell r="AZ1738" t="str">
            <v>ACMVIDMP</v>
          </cell>
          <cell r="BA1738" t="str">
            <v>Multi V_ CST_Mechanical Part</v>
          </cell>
        </row>
        <row r="1739">
          <cell r="E1739" t="str">
            <v>PT-UAHW0.ENCXCOM</v>
          </cell>
          <cell r="F1739">
            <v>25</v>
          </cell>
          <cell r="G1739">
            <v>0</v>
          </cell>
          <cell r="H1739">
            <v>0</v>
          </cell>
          <cell r="I1739">
            <v>70</v>
          </cell>
          <cell r="J1739">
            <v>0</v>
          </cell>
          <cell r="K1739">
            <v>10</v>
          </cell>
          <cell r="L1739">
            <v>41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 t="str">
            <v>CAC</v>
          </cell>
          <cell r="AH1739" t="str">
            <v>CAC</v>
          </cell>
          <cell r="AI1739" t="str">
            <v/>
          </cell>
          <cell r="AJ1739" t="str">
            <v/>
          </cell>
          <cell r="AK1739" t="str">
            <v>0.086526</v>
          </cell>
          <cell r="AL1739" t="str">
            <v>2</v>
          </cell>
          <cell r="AM1739" t="str">
            <v>Q</v>
          </cell>
          <cell r="AN1739" t="str">
            <v>M0</v>
          </cell>
          <cell r="AO1739" t="str">
            <v>Active(Model)</v>
          </cell>
          <cell r="AP1739" t="str">
            <v/>
          </cell>
          <cell r="AQ1739" t="str">
            <v/>
          </cell>
          <cell r="AR1739" t="str">
            <v>Y</v>
          </cell>
          <cell r="AS1739" t="str">
            <v/>
          </cell>
          <cell r="AT1739" t="str">
            <v>AC</v>
          </cell>
          <cell r="AU1739" t="str">
            <v>Airconditioner</v>
          </cell>
          <cell r="AV1739" t="str">
            <v>ACMV</v>
          </cell>
          <cell r="AW1739" t="str">
            <v>Multi V</v>
          </cell>
          <cell r="AX1739" t="str">
            <v>ACMVID</v>
          </cell>
          <cell r="AY1739" t="str">
            <v>Multi V I/D</v>
          </cell>
          <cell r="AZ1739" t="str">
            <v>ACMVIDMP</v>
          </cell>
          <cell r="BA1739" t="str">
            <v>Multi V_ CST_Mechanical Part</v>
          </cell>
        </row>
        <row r="1740">
          <cell r="E1740" t="str">
            <v>PWLSSB21H.ENCXLEU</v>
          </cell>
          <cell r="F1740">
            <v>7</v>
          </cell>
          <cell r="G1740">
            <v>0</v>
          </cell>
          <cell r="H1740">
            <v>0</v>
          </cell>
          <cell r="I1740">
            <v>19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12</v>
          </cell>
          <cell r="AE1740">
            <v>0</v>
          </cell>
          <cell r="AF1740">
            <v>12</v>
          </cell>
          <cell r="AG1740" t="str">
            <v/>
          </cell>
          <cell r="AH1740" t="str">
            <v/>
          </cell>
          <cell r="AI1740" t="str">
            <v/>
          </cell>
          <cell r="AJ1740" t="str">
            <v/>
          </cell>
          <cell r="AK1740" t="str">
            <v>0.002760</v>
          </cell>
          <cell r="AL1740" t="str">
            <v>0</v>
          </cell>
          <cell r="AM1740" t="str">
            <v>Q</v>
          </cell>
          <cell r="AN1740" t="str">
            <v>M0</v>
          </cell>
          <cell r="AO1740" t="str">
            <v>Active(Model)</v>
          </cell>
          <cell r="AP1740" t="str">
            <v/>
          </cell>
          <cell r="AQ1740" t="str">
            <v/>
          </cell>
          <cell r="AR1740" t="str">
            <v>Y</v>
          </cell>
          <cell r="AS1740" t="str">
            <v/>
          </cell>
          <cell r="AT1740" t="str">
            <v>AC</v>
          </cell>
          <cell r="AU1740" t="str">
            <v>Airconditioner</v>
          </cell>
          <cell r="AV1740" t="str">
            <v>ACCS</v>
          </cell>
          <cell r="AW1740" t="str">
            <v>Control Solution</v>
          </cell>
          <cell r="AX1740" t="str">
            <v>ACCSID</v>
          </cell>
          <cell r="AY1740" t="str">
            <v>Multi V I/D 3</v>
          </cell>
          <cell r="AZ1740" t="str">
            <v>ACCSIDWL</v>
          </cell>
          <cell r="BA1740" t="str">
            <v>wireless remote</v>
          </cell>
        </row>
        <row r="1741">
          <cell r="E1741" t="str">
            <v>RB09NHP5O.ANBPEVN</v>
          </cell>
          <cell r="F1741">
            <v>0</v>
          </cell>
          <cell r="G1741">
            <v>0</v>
          </cell>
          <cell r="H1741">
            <v>0</v>
          </cell>
          <cell r="I1741">
            <v>15</v>
          </cell>
          <cell r="J1741">
            <v>1</v>
          </cell>
          <cell r="K1741">
            <v>11</v>
          </cell>
          <cell r="L1741">
            <v>0</v>
          </cell>
          <cell r="M1741">
            <v>0</v>
          </cell>
          <cell r="N1741">
            <v>13</v>
          </cell>
          <cell r="O1741">
            <v>3</v>
          </cell>
          <cell r="P1741">
            <v>13</v>
          </cell>
          <cell r="Q1741">
            <v>0</v>
          </cell>
          <cell r="R1741">
            <v>0</v>
          </cell>
          <cell r="S1741">
            <v>15</v>
          </cell>
          <cell r="T1741">
            <v>0</v>
          </cell>
          <cell r="U1741">
            <v>0</v>
          </cell>
          <cell r="V1741">
            <v>1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 t="str">
            <v>WMPREPLUS</v>
          </cell>
          <cell r="AH1741" t="str">
            <v>WM_Premium_Plus</v>
          </cell>
          <cell r="AI1741" t="str">
            <v/>
          </cell>
          <cell r="AJ1741" t="str">
            <v/>
          </cell>
          <cell r="AK1741" t="str">
            <v>0.414117</v>
          </cell>
          <cell r="AL1741" t="str">
            <v>2</v>
          </cell>
          <cell r="AM1741" t="str">
            <v>Q</v>
          </cell>
          <cell r="AN1741" t="str">
            <v>M0</v>
          </cell>
          <cell r="AO1741" t="str">
            <v>Active(Model)</v>
          </cell>
          <cell r="AP1741" t="str">
            <v/>
          </cell>
          <cell r="AQ1741" t="str">
            <v/>
          </cell>
          <cell r="AR1741" t="str">
            <v>Y</v>
          </cell>
          <cell r="AS1741" t="str">
            <v/>
          </cell>
          <cell r="AT1741" t="str">
            <v>WM</v>
          </cell>
          <cell r="AU1741" t="str">
            <v>Washing Machine</v>
          </cell>
          <cell r="AV1741" t="str">
            <v>WMWR</v>
          </cell>
          <cell r="AW1741" t="str">
            <v>Clothes Dryer</v>
          </cell>
          <cell r="AX1741" t="str">
            <v>WMWRWR</v>
          </cell>
          <cell r="AY1741" t="str">
            <v>Clothes Dryer</v>
          </cell>
          <cell r="AZ1741" t="str">
            <v>WMWRWRCA</v>
          </cell>
          <cell r="BA1741" t="str">
            <v>Clothes Dryer</v>
          </cell>
        </row>
        <row r="1742">
          <cell r="E1742" t="str">
            <v>RB09NHP5W.ABWPEVN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1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 t="str">
            <v>WMPREPLUS</v>
          </cell>
          <cell r="AH1742" t="str">
            <v>WM_Premium_Plus</v>
          </cell>
          <cell r="AI1742" t="str">
            <v/>
          </cell>
          <cell r="AJ1742" t="str">
            <v/>
          </cell>
          <cell r="AK1742" t="str">
            <v>0.414117</v>
          </cell>
          <cell r="AL1742" t="str">
            <v>2</v>
          </cell>
          <cell r="AM1742" t="str">
            <v>Q</v>
          </cell>
          <cell r="AN1742" t="str">
            <v>M0</v>
          </cell>
          <cell r="AO1742" t="str">
            <v>Active(Model)</v>
          </cell>
          <cell r="AP1742" t="str">
            <v/>
          </cell>
          <cell r="AQ1742" t="str">
            <v/>
          </cell>
          <cell r="AR1742" t="str">
            <v>Y</v>
          </cell>
          <cell r="AS1742" t="str">
            <v/>
          </cell>
          <cell r="AT1742" t="str">
            <v>WM</v>
          </cell>
          <cell r="AU1742" t="str">
            <v>Washing Machine</v>
          </cell>
          <cell r="AV1742" t="str">
            <v>WMWR</v>
          </cell>
          <cell r="AW1742" t="str">
            <v>Clothes Dryer</v>
          </cell>
          <cell r="AX1742" t="str">
            <v>WMWRWR</v>
          </cell>
          <cell r="AY1742" t="str">
            <v>Clothes Dryer</v>
          </cell>
          <cell r="AZ1742" t="str">
            <v>WMWRWRCA</v>
          </cell>
          <cell r="BA1742" t="str">
            <v>Clothes Dryer</v>
          </cell>
        </row>
        <row r="1743">
          <cell r="E1743" t="str">
            <v>RX11VHP5G1.AEGPEVN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1</v>
          </cell>
          <cell r="L1743">
            <v>0</v>
          </cell>
          <cell r="M1743">
            <v>0</v>
          </cell>
          <cell r="N1743">
            <v>0</v>
          </cell>
          <cell r="O1743">
            <v>14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1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 t="str">
            <v>WMPREPLUS</v>
          </cell>
          <cell r="AH1743" t="str">
            <v>WM_Premium_Plus</v>
          </cell>
          <cell r="AI1743" t="str">
            <v/>
          </cell>
          <cell r="AJ1743" t="str">
            <v/>
          </cell>
          <cell r="AK1743" t="str">
            <v>0.414117</v>
          </cell>
          <cell r="AL1743" t="str">
            <v>2</v>
          </cell>
          <cell r="AM1743" t="str">
            <v>Q</v>
          </cell>
          <cell r="AN1743" t="str">
            <v>M0</v>
          </cell>
          <cell r="AO1743" t="str">
            <v>Active(Model)</v>
          </cell>
          <cell r="AP1743" t="str">
            <v/>
          </cell>
          <cell r="AQ1743" t="str">
            <v/>
          </cell>
          <cell r="AR1743" t="str">
            <v>Y</v>
          </cell>
          <cell r="AS1743" t="str">
            <v/>
          </cell>
          <cell r="AT1743" t="str">
            <v>WM</v>
          </cell>
          <cell r="AU1743" t="str">
            <v>Washing Machine</v>
          </cell>
          <cell r="AV1743" t="str">
            <v>WMWR</v>
          </cell>
          <cell r="AW1743" t="str">
            <v>Clothes Dryer</v>
          </cell>
          <cell r="AX1743" t="str">
            <v>WMWRWR</v>
          </cell>
          <cell r="AY1743" t="str">
            <v>Clothes Dryer</v>
          </cell>
          <cell r="AZ1743" t="str">
            <v>WMWRWRCA</v>
          </cell>
          <cell r="BA1743" t="str">
            <v>Clothes Dryer</v>
          </cell>
        </row>
        <row r="1744">
          <cell r="E1744" t="str">
            <v>RX11VHP5S.AESPEVN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28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 t="str">
            <v>WMPREPLUS</v>
          </cell>
          <cell r="AH1744" t="str">
            <v>WM_Premium_Plus</v>
          </cell>
          <cell r="AI1744" t="str">
            <v/>
          </cell>
          <cell r="AJ1744" t="str">
            <v/>
          </cell>
          <cell r="AK1744" t="str">
            <v>0.414117</v>
          </cell>
          <cell r="AL1744" t="str">
            <v>2</v>
          </cell>
          <cell r="AM1744" t="str">
            <v>Q</v>
          </cell>
          <cell r="AN1744" t="str">
            <v>M0</v>
          </cell>
          <cell r="AO1744" t="str">
            <v>Active(Model)</v>
          </cell>
          <cell r="AP1744" t="str">
            <v/>
          </cell>
          <cell r="AQ1744" t="str">
            <v/>
          </cell>
          <cell r="AR1744" t="str">
            <v>Y</v>
          </cell>
          <cell r="AS1744" t="str">
            <v/>
          </cell>
          <cell r="AT1744" t="str">
            <v>WM</v>
          </cell>
          <cell r="AU1744" t="str">
            <v>Washing Machine</v>
          </cell>
          <cell r="AV1744" t="str">
            <v>WMWR</v>
          </cell>
          <cell r="AW1744" t="str">
            <v>Clothes Dryer</v>
          </cell>
          <cell r="AX1744" t="str">
            <v>WMWRWR</v>
          </cell>
          <cell r="AY1744" t="str">
            <v>Clothes Dryer</v>
          </cell>
          <cell r="AZ1744" t="str">
            <v>WMWRWRCA</v>
          </cell>
          <cell r="BA1744" t="str">
            <v>Clothes Dryer</v>
          </cell>
        </row>
        <row r="1745">
          <cell r="E1745" t="str">
            <v>RX12VHP3K.AEBPEVN</v>
          </cell>
          <cell r="F1745">
            <v>0</v>
          </cell>
          <cell r="G1745">
            <v>0</v>
          </cell>
          <cell r="H1745">
            <v>0</v>
          </cell>
          <cell r="I1745">
            <v>2</v>
          </cell>
          <cell r="J1745">
            <v>2</v>
          </cell>
          <cell r="K1745">
            <v>5</v>
          </cell>
          <cell r="L1745">
            <v>0</v>
          </cell>
          <cell r="M1745">
            <v>1</v>
          </cell>
          <cell r="N1745">
            <v>0</v>
          </cell>
          <cell r="O1745">
            <v>0</v>
          </cell>
          <cell r="P1745">
            <v>1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 t="str">
            <v>WMPREPLUS</v>
          </cell>
          <cell r="AH1745" t="str">
            <v>WM_Premium_Plus</v>
          </cell>
          <cell r="AI1745" t="str">
            <v/>
          </cell>
          <cell r="AJ1745" t="str">
            <v/>
          </cell>
          <cell r="AK1745" t="str">
            <v>0.414117</v>
          </cell>
          <cell r="AL1745" t="str">
            <v>2</v>
          </cell>
          <cell r="AM1745" t="str">
            <v>Q</v>
          </cell>
          <cell r="AN1745" t="str">
            <v>M0</v>
          </cell>
          <cell r="AO1745" t="str">
            <v>Active(Model)</v>
          </cell>
          <cell r="AP1745" t="str">
            <v/>
          </cell>
          <cell r="AQ1745" t="str">
            <v/>
          </cell>
          <cell r="AR1745" t="str">
            <v>Y</v>
          </cell>
          <cell r="AS1745" t="str">
            <v/>
          </cell>
          <cell r="AT1745" t="str">
            <v>WM</v>
          </cell>
          <cell r="AU1745" t="str">
            <v>Washing Machine</v>
          </cell>
          <cell r="AV1745" t="str">
            <v>WMWR</v>
          </cell>
          <cell r="AW1745" t="str">
            <v>Clothes Dryer</v>
          </cell>
          <cell r="AX1745" t="str">
            <v>WMWRWR</v>
          </cell>
          <cell r="AY1745" t="str">
            <v>Clothes Dryer</v>
          </cell>
          <cell r="AZ1745" t="str">
            <v>WMWRWRCA</v>
          </cell>
          <cell r="BA1745" t="str">
            <v>Clothes Dryer</v>
          </cell>
        </row>
        <row r="1746">
          <cell r="E1746" t="str">
            <v>RX12VHP5G.AEGPEVN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26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 t="str">
            <v>WMPREPLUS</v>
          </cell>
          <cell r="AH1746" t="str">
            <v>WM_Premium_Plus</v>
          </cell>
          <cell r="AI1746" t="str">
            <v/>
          </cell>
          <cell r="AJ1746" t="str">
            <v/>
          </cell>
          <cell r="AK1746" t="str">
            <v>0.414117</v>
          </cell>
          <cell r="AL1746" t="str">
            <v>2</v>
          </cell>
          <cell r="AM1746" t="str">
            <v>Q</v>
          </cell>
          <cell r="AN1746" t="str">
            <v>M0</v>
          </cell>
          <cell r="AO1746" t="str">
            <v>Active(Model)</v>
          </cell>
          <cell r="AP1746" t="str">
            <v/>
          </cell>
          <cell r="AQ1746" t="str">
            <v/>
          </cell>
          <cell r="AR1746" t="str">
            <v>Y</v>
          </cell>
          <cell r="AS1746" t="str">
            <v/>
          </cell>
          <cell r="AT1746" t="str">
            <v>WM</v>
          </cell>
          <cell r="AU1746" t="str">
            <v>Washing Machine</v>
          </cell>
          <cell r="AV1746" t="str">
            <v>WMWR</v>
          </cell>
          <cell r="AW1746" t="str">
            <v>Clothes Dryer</v>
          </cell>
          <cell r="AX1746" t="str">
            <v>WMWRWR</v>
          </cell>
          <cell r="AY1746" t="str">
            <v>Clothes Dryer</v>
          </cell>
          <cell r="AZ1746" t="str">
            <v>WMWRWRCA</v>
          </cell>
          <cell r="BA1746" t="str">
            <v>Clothes Dryer</v>
          </cell>
        </row>
        <row r="1747">
          <cell r="E1747" t="str">
            <v>RX12VHP5S1.AESPEVN</v>
          </cell>
          <cell r="F1747">
            <v>2</v>
          </cell>
          <cell r="G1747">
            <v>0</v>
          </cell>
          <cell r="H1747">
            <v>0</v>
          </cell>
          <cell r="I1747">
            <v>15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12</v>
          </cell>
          <cell r="O1747">
            <v>3</v>
          </cell>
          <cell r="P1747">
            <v>12</v>
          </cell>
          <cell r="Q1747">
            <v>0</v>
          </cell>
          <cell r="R1747">
            <v>0</v>
          </cell>
          <cell r="S1747">
            <v>14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 t="str">
            <v>WMPREPLUS</v>
          </cell>
          <cell r="AH1747" t="str">
            <v>WM_Premium_Plus</v>
          </cell>
          <cell r="AI1747" t="str">
            <v/>
          </cell>
          <cell r="AJ1747" t="str">
            <v/>
          </cell>
          <cell r="AK1747" t="str">
            <v>0.414117</v>
          </cell>
          <cell r="AL1747" t="str">
            <v>2</v>
          </cell>
          <cell r="AM1747" t="str">
            <v>Q</v>
          </cell>
          <cell r="AN1747" t="str">
            <v>M0</v>
          </cell>
          <cell r="AO1747" t="str">
            <v>Active(Model)</v>
          </cell>
          <cell r="AP1747" t="str">
            <v/>
          </cell>
          <cell r="AQ1747" t="str">
            <v/>
          </cell>
          <cell r="AR1747" t="str">
            <v>Y</v>
          </cell>
          <cell r="AS1747" t="str">
            <v/>
          </cell>
          <cell r="AT1747" t="str">
            <v>WM</v>
          </cell>
          <cell r="AU1747" t="str">
            <v>Washing Machine</v>
          </cell>
          <cell r="AV1747" t="str">
            <v>WMWR</v>
          </cell>
          <cell r="AW1747" t="str">
            <v>Clothes Dryer</v>
          </cell>
          <cell r="AX1747" t="str">
            <v>WMWRWR</v>
          </cell>
          <cell r="AY1747" t="str">
            <v>Clothes Dryer</v>
          </cell>
          <cell r="AZ1747" t="str">
            <v>WMWRWRCA</v>
          </cell>
          <cell r="BA1747" t="str">
            <v>Clothes Dryer</v>
          </cell>
        </row>
        <row r="1748">
          <cell r="E1748" t="str">
            <v>S20A.CVNMLLK</v>
          </cell>
          <cell r="F1748">
            <v>0</v>
          </cell>
          <cell r="G1748">
            <v>0</v>
          </cell>
          <cell r="H1748">
            <v>0</v>
          </cell>
          <cell r="I1748">
            <v>2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 t="str">
            <v/>
          </cell>
          <cell r="AH1748" t="str">
            <v/>
          </cell>
          <cell r="AI1748" t="str">
            <v/>
          </cell>
          <cell r="AJ1748" t="str">
            <v/>
          </cell>
          <cell r="AK1748" t="str">
            <v>0.014100</v>
          </cell>
          <cell r="AL1748" t="str">
            <v>0</v>
          </cell>
          <cell r="AM1748" t="str">
            <v>Q</v>
          </cell>
          <cell r="AN1748" t="str">
            <v>M0</v>
          </cell>
          <cell r="AO1748" t="str">
            <v>Active(Model)</v>
          </cell>
          <cell r="AP1748" t="str">
            <v/>
          </cell>
          <cell r="AQ1748" t="str">
            <v/>
          </cell>
          <cell r="AR1748" t="str">
            <v>Y</v>
          </cell>
          <cell r="AS1748" t="str">
            <v/>
          </cell>
          <cell r="AT1748" t="str">
            <v>AO</v>
          </cell>
          <cell r="AU1748" t="str">
            <v>AO</v>
          </cell>
          <cell r="AV1748" t="str">
            <v>AOAH</v>
          </cell>
          <cell r="AW1748" t="str">
            <v>HTS_OS</v>
          </cell>
          <cell r="AX1748" t="str">
            <v>AOAHHS</v>
          </cell>
          <cell r="AY1748" t="str">
            <v>Soundbar + HTS Speaker _OS</v>
          </cell>
          <cell r="AZ1748" t="str">
            <v>AOAHHSSO</v>
          </cell>
          <cell r="BA1748" t="str">
            <v>Soundbar_OS</v>
          </cell>
        </row>
        <row r="1749">
          <cell r="E1749" t="str">
            <v>S30A.AVNMLLK</v>
          </cell>
          <cell r="F1749">
            <v>0</v>
          </cell>
          <cell r="G1749">
            <v>0</v>
          </cell>
          <cell r="H1749">
            <v>0</v>
          </cell>
          <cell r="I1749">
            <v>2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16</v>
          </cell>
          <cell r="AB1749">
            <v>0</v>
          </cell>
          <cell r="AC1749">
            <v>1</v>
          </cell>
          <cell r="AD1749">
            <v>0</v>
          </cell>
          <cell r="AE1749">
            <v>2</v>
          </cell>
          <cell r="AF1749">
            <v>1</v>
          </cell>
          <cell r="AG1749" t="str">
            <v/>
          </cell>
          <cell r="AH1749" t="str">
            <v/>
          </cell>
          <cell r="AI1749" t="str">
            <v/>
          </cell>
          <cell r="AJ1749" t="str">
            <v/>
          </cell>
          <cell r="AK1749" t="str">
            <v>0.041388</v>
          </cell>
          <cell r="AL1749" t="str">
            <v>0</v>
          </cell>
          <cell r="AM1749" t="str">
            <v>Q</v>
          </cell>
          <cell r="AN1749" t="str">
            <v>M0</v>
          </cell>
          <cell r="AO1749" t="str">
            <v>Active(Model)</v>
          </cell>
          <cell r="AP1749" t="str">
            <v/>
          </cell>
          <cell r="AQ1749" t="str">
            <v/>
          </cell>
          <cell r="AR1749" t="str">
            <v>Y</v>
          </cell>
          <cell r="AS1749" t="str">
            <v/>
          </cell>
          <cell r="AT1749" t="str">
            <v>AO</v>
          </cell>
          <cell r="AU1749" t="str">
            <v>AO</v>
          </cell>
          <cell r="AV1749" t="str">
            <v>AOAH</v>
          </cell>
          <cell r="AW1749" t="str">
            <v>HTS_OS</v>
          </cell>
          <cell r="AX1749" t="str">
            <v>AOAHHS</v>
          </cell>
          <cell r="AY1749" t="str">
            <v>Soundbar + HTS Speaker _OS</v>
          </cell>
          <cell r="AZ1749" t="str">
            <v>AOAHHSSO</v>
          </cell>
          <cell r="BA1749" t="str">
            <v>Soundbar_OS</v>
          </cell>
        </row>
        <row r="1750">
          <cell r="E1750" t="str">
            <v>S40T.DVNMLLK</v>
          </cell>
          <cell r="F1750">
            <v>8</v>
          </cell>
          <cell r="G1750">
            <v>0</v>
          </cell>
          <cell r="H1750">
            <v>0</v>
          </cell>
          <cell r="I1750">
            <v>14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12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 t="str">
            <v/>
          </cell>
          <cell r="AH1750" t="str">
            <v/>
          </cell>
          <cell r="AI1750" t="str">
            <v/>
          </cell>
          <cell r="AJ1750" t="str">
            <v/>
          </cell>
          <cell r="AK1750" t="str">
            <v>0.046895</v>
          </cell>
          <cell r="AL1750" t="str">
            <v>0</v>
          </cell>
          <cell r="AM1750" t="str">
            <v>Q</v>
          </cell>
          <cell r="AN1750" t="str">
            <v>M0</v>
          </cell>
          <cell r="AO1750" t="str">
            <v>Active(Model)</v>
          </cell>
          <cell r="AP1750" t="str">
            <v/>
          </cell>
          <cell r="AQ1750" t="str">
            <v/>
          </cell>
          <cell r="AR1750" t="str">
            <v>Y</v>
          </cell>
          <cell r="AS1750" t="str">
            <v/>
          </cell>
          <cell r="AT1750" t="str">
            <v>AV</v>
          </cell>
          <cell r="AU1750" t="str">
            <v>AV</v>
          </cell>
          <cell r="AV1750" t="str">
            <v>AVAH</v>
          </cell>
          <cell r="AW1750" t="str">
            <v>HTS</v>
          </cell>
          <cell r="AX1750" t="str">
            <v>AVAHHS</v>
          </cell>
          <cell r="AY1750" t="str">
            <v>Soundbar + HTS Speaker</v>
          </cell>
          <cell r="AZ1750" t="str">
            <v>AVAHHSSO</v>
          </cell>
          <cell r="BA1750" t="str">
            <v>Soundbar</v>
          </cell>
        </row>
        <row r="1751">
          <cell r="E1751" t="str">
            <v>S60BG.ABMPEVN</v>
          </cell>
          <cell r="F1751">
            <v>0</v>
          </cell>
          <cell r="G1751">
            <v>0</v>
          </cell>
          <cell r="H1751">
            <v>0</v>
          </cell>
          <cell r="I1751">
            <v>2</v>
          </cell>
          <cell r="J1751">
            <v>0</v>
          </cell>
          <cell r="K1751">
            <v>19</v>
          </cell>
          <cell r="L1751">
            <v>0</v>
          </cell>
          <cell r="M1751">
            <v>1</v>
          </cell>
          <cell r="N1751">
            <v>0</v>
          </cell>
          <cell r="O1751">
            <v>0</v>
          </cell>
          <cell r="P1751">
            <v>1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 t="str">
            <v>REFPREMIUM</v>
          </cell>
          <cell r="AH1751" t="str">
            <v>REF_Premium</v>
          </cell>
          <cell r="AI1751" t="str">
            <v/>
          </cell>
          <cell r="AJ1751" t="str">
            <v/>
          </cell>
          <cell r="AK1751" t="str">
            <v>1.393595</v>
          </cell>
          <cell r="AL1751" t="str">
            <v>2</v>
          </cell>
          <cell r="AM1751" t="str">
            <v>Q</v>
          </cell>
          <cell r="AN1751" t="str">
            <v>M0</v>
          </cell>
          <cell r="AO1751" t="str">
            <v>Active(Model)</v>
          </cell>
          <cell r="AP1751" t="str">
            <v/>
          </cell>
          <cell r="AQ1751" t="str">
            <v/>
          </cell>
          <cell r="AR1751" t="str">
            <v>Y</v>
          </cell>
          <cell r="AS1751" t="str">
            <v/>
          </cell>
          <cell r="AT1751" t="str">
            <v>RF</v>
          </cell>
          <cell r="AU1751" t="str">
            <v>Refrigerator</v>
          </cell>
          <cell r="AV1751" t="str">
            <v>RFSS</v>
          </cell>
          <cell r="AW1751" t="str">
            <v>SxS</v>
          </cell>
          <cell r="AX1751" t="str">
            <v>RFSSSS</v>
          </cell>
          <cell r="AY1751" t="str">
            <v>SxS</v>
          </cell>
          <cell r="AZ1751" t="str">
            <v>RFSSSS21</v>
          </cell>
          <cell r="BA1751" t="str">
            <v>SxS 21CU</v>
          </cell>
        </row>
        <row r="1752">
          <cell r="E1752" t="str">
            <v>S60T.AVNMLLK</v>
          </cell>
          <cell r="F1752">
            <v>4</v>
          </cell>
          <cell r="G1752">
            <v>0</v>
          </cell>
          <cell r="H1752">
            <v>0</v>
          </cell>
          <cell r="I1752">
            <v>11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4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 t="str">
            <v/>
          </cell>
          <cell r="AH1752" t="str">
            <v/>
          </cell>
          <cell r="AI1752" t="str">
            <v/>
          </cell>
          <cell r="AJ1752" t="str">
            <v/>
          </cell>
          <cell r="AK1752" t="str">
            <v>0.113486</v>
          </cell>
          <cell r="AL1752" t="str">
            <v>0</v>
          </cell>
          <cell r="AM1752" t="str">
            <v>Q</v>
          </cell>
          <cell r="AN1752" t="str">
            <v>M0</v>
          </cell>
          <cell r="AO1752" t="str">
            <v>Active(Model)</v>
          </cell>
          <cell r="AP1752" t="str">
            <v/>
          </cell>
          <cell r="AQ1752" t="str">
            <v/>
          </cell>
          <cell r="AR1752" t="str">
            <v>Y</v>
          </cell>
          <cell r="AS1752" t="str">
            <v/>
          </cell>
          <cell r="AT1752" t="str">
            <v>AO</v>
          </cell>
          <cell r="AU1752" t="str">
            <v>AO</v>
          </cell>
          <cell r="AV1752" t="str">
            <v>AOAH</v>
          </cell>
          <cell r="AW1752" t="str">
            <v>HTS_OS</v>
          </cell>
          <cell r="AX1752" t="str">
            <v>AOAHHS</v>
          </cell>
          <cell r="AY1752" t="str">
            <v>Soundbar + HTS Speaker _OS</v>
          </cell>
          <cell r="AZ1752" t="str">
            <v>AOAHHSSO</v>
          </cell>
          <cell r="BA1752" t="str">
            <v>Soundbar_OS</v>
          </cell>
        </row>
        <row r="1753">
          <cell r="E1753" t="str">
            <v>S60TR.AVNMLLK</v>
          </cell>
          <cell r="F1753">
            <v>3</v>
          </cell>
          <cell r="G1753">
            <v>0</v>
          </cell>
          <cell r="H1753">
            <v>0</v>
          </cell>
          <cell r="I1753">
            <v>3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10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1</v>
          </cell>
          <cell r="AF1753">
            <v>0</v>
          </cell>
          <cell r="AG1753" t="str">
            <v/>
          </cell>
          <cell r="AH1753" t="str">
            <v/>
          </cell>
          <cell r="AI1753" t="str">
            <v/>
          </cell>
          <cell r="AJ1753" t="str">
            <v/>
          </cell>
          <cell r="AK1753" t="str">
            <v>0.113486</v>
          </cell>
          <cell r="AL1753" t="str">
            <v>0</v>
          </cell>
          <cell r="AM1753" t="str">
            <v>Q</v>
          </cell>
          <cell r="AN1753" t="str">
            <v>M0</v>
          </cell>
          <cell r="AO1753" t="str">
            <v>Active(Model)</v>
          </cell>
          <cell r="AP1753" t="str">
            <v/>
          </cell>
          <cell r="AQ1753" t="str">
            <v/>
          </cell>
          <cell r="AR1753" t="str">
            <v>Y</v>
          </cell>
          <cell r="AS1753" t="str">
            <v/>
          </cell>
          <cell r="AT1753" t="str">
            <v>AO</v>
          </cell>
          <cell r="AU1753" t="str">
            <v>AO</v>
          </cell>
          <cell r="AV1753" t="str">
            <v>AOAH</v>
          </cell>
          <cell r="AW1753" t="str">
            <v>HTS_OS</v>
          </cell>
          <cell r="AX1753" t="str">
            <v>AOAHHS</v>
          </cell>
          <cell r="AY1753" t="str">
            <v>Soundbar + HTS Speaker _OS</v>
          </cell>
          <cell r="AZ1753" t="str">
            <v>AOAHHSSO</v>
          </cell>
          <cell r="BA1753" t="str">
            <v>Soundbar_OS</v>
          </cell>
        </row>
        <row r="1754">
          <cell r="E1754" t="str">
            <v>S65TR.AVNMMLK</v>
          </cell>
          <cell r="F1754">
            <v>19</v>
          </cell>
          <cell r="G1754">
            <v>0</v>
          </cell>
          <cell r="H1754">
            <v>0</v>
          </cell>
          <cell r="I1754">
            <v>19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 t="str">
            <v/>
          </cell>
          <cell r="AH1754" t="str">
            <v/>
          </cell>
          <cell r="AI1754" t="str">
            <v/>
          </cell>
          <cell r="AJ1754" t="str">
            <v/>
          </cell>
          <cell r="AK1754" t="str">
            <v>0.113486</v>
          </cell>
          <cell r="AL1754" t="str">
            <v>0</v>
          </cell>
          <cell r="AM1754" t="str">
            <v>Q</v>
          </cell>
          <cell r="AN1754" t="str">
            <v>M0</v>
          </cell>
          <cell r="AO1754" t="str">
            <v>Active(Model)</v>
          </cell>
          <cell r="AP1754" t="str">
            <v/>
          </cell>
          <cell r="AQ1754" t="str">
            <v/>
          </cell>
          <cell r="AR1754" t="str">
            <v>Y</v>
          </cell>
          <cell r="AS1754" t="str">
            <v/>
          </cell>
          <cell r="AT1754" t="str">
            <v>AO</v>
          </cell>
          <cell r="AU1754" t="str">
            <v>AO</v>
          </cell>
          <cell r="AV1754" t="str">
            <v>AOAH</v>
          </cell>
          <cell r="AW1754" t="str">
            <v>HTS_OS</v>
          </cell>
          <cell r="AX1754" t="str">
            <v>AOAHHS</v>
          </cell>
          <cell r="AY1754" t="str">
            <v>Soundbar + HTS Speaker _OS</v>
          </cell>
          <cell r="AZ1754" t="str">
            <v>AOAHHSSO</v>
          </cell>
          <cell r="BA1754" t="str">
            <v>Soundbar_OS</v>
          </cell>
        </row>
        <row r="1755">
          <cell r="E1755" t="str">
            <v>S70TY.AVNMLLD</v>
          </cell>
          <cell r="F1755">
            <v>11</v>
          </cell>
          <cell r="G1755">
            <v>0</v>
          </cell>
          <cell r="H1755">
            <v>0</v>
          </cell>
          <cell r="I1755">
            <v>21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11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6</v>
          </cell>
          <cell r="AD1755">
            <v>0</v>
          </cell>
          <cell r="AE1755">
            <v>13</v>
          </cell>
          <cell r="AF1755">
            <v>6</v>
          </cell>
          <cell r="AG1755" t="str">
            <v/>
          </cell>
          <cell r="AH1755" t="str">
            <v/>
          </cell>
          <cell r="AI1755" t="str">
            <v/>
          </cell>
          <cell r="AJ1755" t="str">
            <v/>
          </cell>
          <cell r="AK1755" t="str">
            <v>0.120602</v>
          </cell>
          <cell r="AL1755" t="str">
            <v>0</v>
          </cell>
          <cell r="AM1755" t="str">
            <v>Q</v>
          </cell>
          <cell r="AN1755" t="str">
            <v>M0</v>
          </cell>
          <cell r="AO1755" t="str">
            <v>Active(Model)</v>
          </cell>
          <cell r="AP1755" t="str">
            <v/>
          </cell>
          <cell r="AQ1755" t="str">
            <v/>
          </cell>
          <cell r="AR1755" t="str">
            <v>Y</v>
          </cell>
          <cell r="AS1755" t="str">
            <v/>
          </cell>
          <cell r="AT1755" t="str">
            <v>AO</v>
          </cell>
          <cell r="AU1755" t="str">
            <v>AO</v>
          </cell>
          <cell r="AV1755" t="str">
            <v>AOAH</v>
          </cell>
          <cell r="AW1755" t="str">
            <v>HTS_OS</v>
          </cell>
          <cell r="AX1755" t="str">
            <v>AOAHHS</v>
          </cell>
          <cell r="AY1755" t="str">
            <v>Soundbar + HTS Speaker _OS</v>
          </cell>
          <cell r="AZ1755" t="str">
            <v>AOAHHSSO</v>
          </cell>
          <cell r="BA1755" t="str">
            <v>Soundbar_OS</v>
          </cell>
        </row>
        <row r="1756">
          <cell r="E1756" t="str">
            <v>S95AR.DVNMLLK</v>
          </cell>
          <cell r="F1756">
            <v>3</v>
          </cell>
          <cell r="G1756">
            <v>0</v>
          </cell>
          <cell r="H1756">
            <v>0</v>
          </cell>
          <cell r="I1756">
            <v>4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 t="str">
            <v/>
          </cell>
          <cell r="AH1756" t="str">
            <v/>
          </cell>
          <cell r="AI1756" t="str">
            <v/>
          </cell>
          <cell r="AJ1756" t="str">
            <v/>
          </cell>
          <cell r="AK1756" t="str">
            <v>0.200798</v>
          </cell>
          <cell r="AL1756" t="str">
            <v>0</v>
          </cell>
          <cell r="AM1756" t="str">
            <v>Q</v>
          </cell>
          <cell r="AN1756" t="str">
            <v>M0</v>
          </cell>
          <cell r="AO1756" t="str">
            <v>Active(Model)</v>
          </cell>
          <cell r="AP1756" t="str">
            <v/>
          </cell>
          <cell r="AQ1756" t="str">
            <v/>
          </cell>
          <cell r="AR1756" t="str">
            <v>Y</v>
          </cell>
          <cell r="AS1756" t="str">
            <v/>
          </cell>
          <cell r="AT1756" t="str">
            <v>AV</v>
          </cell>
          <cell r="AU1756" t="str">
            <v>AV</v>
          </cell>
          <cell r="AV1756" t="str">
            <v>AVAH</v>
          </cell>
          <cell r="AW1756" t="str">
            <v>HTS</v>
          </cell>
          <cell r="AX1756" t="str">
            <v>AVAHHS</v>
          </cell>
          <cell r="AY1756" t="str">
            <v>Soundbar + HTS Speaker</v>
          </cell>
          <cell r="AZ1756" t="str">
            <v>AVAHHSSO</v>
          </cell>
          <cell r="BA1756" t="str">
            <v>Soundbar</v>
          </cell>
        </row>
        <row r="1757">
          <cell r="E1757" t="str">
            <v>SC5GMR80H.ABMPEVN</v>
          </cell>
          <cell r="F1757">
            <v>0</v>
          </cell>
          <cell r="G1757">
            <v>0</v>
          </cell>
          <cell r="H1757">
            <v>0</v>
          </cell>
          <cell r="I1757">
            <v>2</v>
          </cell>
          <cell r="J1757">
            <v>0</v>
          </cell>
          <cell r="K1757">
            <v>1</v>
          </cell>
          <cell r="L1757">
            <v>0</v>
          </cell>
          <cell r="M1757">
            <v>1</v>
          </cell>
          <cell r="N1757">
            <v>0</v>
          </cell>
          <cell r="O1757">
            <v>0</v>
          </cell>
          <cell r="P1757">
            <v>1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 t="str">
            <v>WMPREPLUS</v>
          </cell>
          <cell r="AH1757" t="str">
            <v>WM_Premium_Plus</v>
          </cell>
          <cell r="AI1757" t="str">
            <v/>
          </cell>
          <cell r="AJ1757" t="str">
            <v/>
          </cell>
          <cell r="AK1757" t="str">
            <v>1.031835</v>
          </cell>
          <cell r="AL1757" t="str">
            <v>2</v>
          </cell>
          <cell r="AM1757" t="str">
            <v>Q</v>
          </cell>
          <cell r="AN1757" t="str">
            <v>M0</v>
          </cell>
          <cell r="AO1757" t="str">
            <v>Active(Model)</v>
          </cell>
          <cell r="AP1757" t="str">
            <v/>
          </cell>
          <cell r="AQ1757" t="str">
            <v/>
          </cell>
          <cell r="AR1757" t="str">
            <v>Y</v>
          </cell>
          <cell r="AS1757" t="str">
            <v/>
          </cell>
          <cell r="AT1757" t="str">
            <v>WM</v>
          </cell>
          <cell r="AU1757" t="str">
            <v>Washing Machine</v>
          </cell>
          <cell r="AV1757" t="str">
            <v>WMWF</v>
          </cell>
          <cell r="AW1757" t="str">
            <v>Clothes Styler</v>
          </cell>
          <cell r="AX1757" t="str">
            <v>WMWFWF</v>
          </cell>
          <cell r="AY1757" t="str">
            <v>Clothes_Styler</v>
          </cell>
          <cell r="AZ1757" t="str">
            <v>WMWFWFCA</v>
          </cell>
          <cell r="BA1757" t="str">
            <v>Clothes_Styler</v>
          </cell>
        </row>
        <row r="1758">
          <cell r="E1758" t="str">
            <v>SC5MBR80H.ASBPEVN</v>
          </cell>
          <cell r="F1758">
            <v>0</v>
          </cell>
          <cell r="G1758">
            <v>0</v>
          </cell>
          <cell r="H1758">
            <v>0</v>
          </cell>
          <cell r="I1758">
            <v>1</v>
          </cell>
          <cell r="J1758">
            <v>0</v>
          </cell>
          <cell r="K1758">
            <v>1</v>
          </cell>
          <cell r="L1758">
            <v>0</v>
          </cell>
          <cell r="M1758">
            <v>0</v>
          </cell>
          <cell r="N1758">
            <v>1</v>
          </cell>
          <cell r="O1758">
            <v>0</v>
          </cell>
          <cell r="P1758">
            <v>1</v>
          </cell>
          <cell r="Q1758">
            <v>0</v>
          </cell>
          <cell r="R1758">
            <v>0</v>
          </cell>
          <cell r="S1758">
            <v>1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 t="str">
            <v>WMPREPLUS</v>
          </cell>
          <cell r="AH1758" t="str">
            <v>WM_Premium_Plus</v>
          </cell>
          <cell r="AI1758" t="str">
            <v/>
          </cell>
          <cell r="AJ1758" t="str">
            <v/>
          </cell>
          <cell r="AK1758" t="str">
            <v>1.031835</v>
          </cell>
          <cell r="AL1758" t="str">
            <v>2</v>
          </cell>
          <cell r="AM1758" t="str">
            <v>Q</v>
          </cell>
          <cell r="AN1758" t="str">
            <v>M0</v>
          </cell>
          <cell r="AO1758" t="str">
            <v>Active(Model)</v>
          </cell>
          <cell r="AP1758" t="str">
            <v/>
          </cell>
          <cell r="AQ1758" t="str">
            <v/>
          </cell>
          <cell r="AR1758" t="str">
            <v>Y</v>
          </cell>
          <cell r="AS1758" t="str">
            <v/>
          </cell>
          <cell r="AT1758" t="str">
            <v>WM</v>
          </cell>
          <cell r="AU1758" t="str">
            <v>Washing Machine</v>
          </cell>
          <cell r="AV1758" t="str">
            <v>WMWF</v>
          </cell>
          <cell r="AW1758" t="str">
            <v>Clothes Styler</v>
          </cell>
          <cell r="AX1758" t="str">
            <v>WMWFWF</v>
          </cell>
          <cell r="AY1758" t="str">
            <v>Clothes_Styler</v>
          </cell>
          <cell r="AZ1758" t="str">
            <v>WMWFWFCA</v>
          </cell>
          <cell r="BA1758" t="str">
            <v>Clothes_Styler</v>
          </cell>
        </row>
        <row r="1759">
          <cell r="E1759" t="str">
            <v>SC5MNR4G.ABMPEVN</v>
          </cell>
          <cell r="F1759">
            <v>0</v>
          </cell>
          <cell r="G1759">
            <v>0</v>
          </cell>
          <cell r="H1759">
            <v>0</v>
          </cell>
          <cell r="I1759">
            <v>2</v>
          </cell>
          <cell r="J1759">
            <v>0</v>
          </cell>
          <cell r="K1759">
            <v>0</v>
          </cell>
          <cell r="L1759">
            <v>0</v>
          </cell>
          <cell r="M1759">
            <v>1</v>
          </cell>
          <cell r="N1759">
            <v>0</v>
          </cell>
          <cell r="O1759">
            <v>0</v>
          </cell>
          <cell r="P1759">
            <v>1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 t="str">
            <v>WMPREPLUS</v>
          </cell>
          <cell r="AH1759" t="str">
            <v>WM_Premium_Plus</v>
          </cell>
          <cell r="AI1759" t="str">
            <v/>
          </cell>
          <cell r="AJ1759" t="str">
            <v/>
          </cell>
          <cell r="AK1759" t="str">
            <v>1.031835</v>
          </cell>
          <cell r="AL1759" t="str">
            <v>0</v>
          </cell>
          <cell r="AM1759" t="str">
            <v>Q</v>
          </cell>
          <cell r="AN1759" t="str">
            <v>M0</v>
          </cell>
          <cell r="AO1759" t="str">
            <v>Active(Model)</v>
          </cell>
          <cell r="AP1759" t="str">
            <v/>
          </cell>
          <cell r="AQ1759" t="str">
            <v/>
          </cell>
          <cell r="AR1759" t="str">
            <v>Y</v>
          </cell>
          <cell r="AS1759" t="str">
            <v/>
          </cell>
          <cell r="AT1759" t="str">
            <v>WM</v>
          </cell>
          <cell r="AU1759" t="str">
            <v>Washing Machine</v>
          </cell>
          <cell r="AV1759" t="str">
            <v>WMWF</v>
          </cell>
          <cell r="AW1759" t="str">
            <v>Clothes Styler</v>
          </cell>
          <cell r="AX1759" t="str">
            <v>WMWFWF</v>
          </cell>
          <cell r="AY1759" t="str">
            <v>Clothes_Styler</v>
          </cell>
          <cell r="AZ1759" t="str">
            <v>WMWFWFCA</v>
          </cell>
          <cell r="BA1759" t="str">
            <v>Clothes_Styler</v>
          </cell>
        </row>
        <row r="1760">
          <cell r="E1760" t="str">
            <v>SC9S.DVNMLLM</v>
          </cell>
          <cell r="F1760">
            <v>12</v>
          </cell>
          <cell r="G1760">
            <v>0</v>
          </cell>
          <cell r="H1760">
            <v>0</v>
          </cell>
          <cell r="I1760">
            <v>18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 t="str">
            <v/>
          </cell>
          <cell r="AH1760" t="str">
            <v/>
          </cell>
          <cell r="AI1760" t="str">
            <v/>
          </cell>
          <cell r="AJ1760" t="str">
            <v/>
          </cell>
          <cell r="AK1760" t="str">
            <v>0.165406</v>
          </cell>
          <cell r="AL1760" t="str">
            <v>0</v>
          </cell>
          <cell r="AM1760" t="str">
            <v>Q</v>
          </cell>
          <cell r="AN1760" t="str">
            <v>M0</v>
          </cell>
          <cell r="AO1760" t="str">
            <v>Active(Model)</v>
          </cell>
          <cell r="AP1760" t="str">
            <v/>
          </cell>
          <cell r="AQ1760" t="str">
            <v/>
          </cell>
          <cell r="AR1760" t="str">
            <v>Y</v>
          </cell>
          <cell r="AS1760" t="str">
            <v/>
          </cell>
          <cell r="AT1760" t="str">
            <v>AV</v>
          </cell>
          <cell r="AU1760" t="str">
            <v>AV</v>
          </cell>
          <cell r="AV1760" t="str">
            <v>AVAH</v>
          </cell>
          <cell r="AW1760" t="str">
            <v>HTS</v>
          </cell>
          <cell r="AX1760" t="str">
            <v>AVAHHS</v>
          </cell>
          <cell r="AY1760" t="str">
            <v>Soundbar + HTS Speaker</v>
          </cell>
          <cell r="AZ1760" t="str">
            <v>AVAHHSSO</v>
          </cell>
          <cell r="BA1760" t="str">
            <v>Soundbar</v>
          </cell>
        </row>
        <row r="1761">
          <cell r="E1761" t="str">
            <v>SG10TY.DVNMLLK</v>
          </cell>
          <cell r="F1761">
            <v>0</v>
          </cell>
          <cell r="G1761">
            <v>0</v>
          </cell>
          <cell r="H1761">
            <v>0</v>
          </cell>
          <cell r="I1761">
            <v>4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 t="str">
            <v/>
          </cell>
          <cell r="AH1761" t="str">
            <v/>
          </cell>
          <cell r="AI1761" t="str">
            <v/>
          </cell>
          <cell r="AJ1761" t="str">
            <v/>
          </cell>
          <cell r="AK1761" t="str">
            <v>0.164195</v>
          </cell>
          <cell r="AL1761" t="str">
            <v>0</v>
          </cell>
          <cell r="AM1761" t="str">
            <v>Q</v>
          </cell>
          <cell r="AN1761" t="str">
            <v>M0</v>
          </cell>
          <cell r="AO1761" t="str">
            <v>Active(Model)</v>
          </cell>
          <cell r="AP1761" t="str">
            <v/>
          </cell>
          <cell r="AQ1761" t="str">
            <v/>
          </cell>
          <cell r="AR1761" t="str">
            <v>Y</v>
          </cell>
          <cell r="AS1761" t="str">
            <v/>
          </cell>
          <cell r="AT1761" t="str">
            <v>AV</v>
          </cell>
          <cell r="AU1761" t="str">
            <v>AV</v>
          </cell>
          <cell r="AV1761" t="str">
            <v>AVAH</v>
          </cell>
          <cell r="AW1761" t="str">
            <v>HTS</v>
          </cell>
          <cell r="AX1761" t="str">
            <v>AVAHHS</v>
          </cell>
          <cell r="AY1761" t="str">
            <v>Soundbar + HTS Speaker</v>
          </cell>
          <cell r="AZ1761" t="str">
            <v>AVAHHSSO</v>
          </cell>
          <cell r="BA1761" t="str">
            <v>Soundbar</v>
          </cell>
        </row>
        <row r="1762">
          <cell r="E1762" t="str">
            <v>STAGE501.AVNMLBK</v>
          </cell>
          <cell r="F1762">
            <v>4</v>
          </cell>
          <cell r="G1762">
            <v>0</v>
          </cell>
          <cell r="H1762">
            <v>0</v>
          </cell>
          <cell r="I1762">
            <v>5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 t="str">
            <v/>
          </cell>
          <cell r="AH1762" t="str">
            <v/>
          </cell>
          <cell r="AI1762" t="str">
            <v/>
          </cell>
          <cell r="AJ1762" t="str">
            <v/>
          </cell>
          <cell r="AK1762" t="str">
            <v>0.084835</v>
          </cell>
          <cell r="AL1762" t="str">
            <v>0</v>
          </cell>
          <cell r="AM1762" t="str">
            <v>Q</v>
          </cell>
          <cell r="AN1762" t="str">
            <v>M0</v>
          </cell>
          <cell r="AO1762" t="str">
            <v>Active(Model)</v>
          </cell>
          <cell r="AP1762" t="str">
            <v/>
          </cell>
          <cell r="AQ1762" t="str">
            <v/>
          </cell>
          <cell r="AR1762" t="str">
            <v>Y</v>
          </cell>
          <cell r="AS1762" t="str">
            <v/>
          </cell>
          <cell r="AT1762" t="str">
            <v>AO</v>
          </cell>
          <cell r="AU1762" t="str">
            <v>AO</v>
          </cell>
          <cell r="AV1762" t="str">
            <v>AOAA</v>
          </cell>
          <cell r="AW1762" t="str">
            <v>Home Audio_OS</v>
          </cell>
          <cell r="AX1762" t="str">
            <v>AOAADS</v>
          </cell>
          <cell r="AY1762" t="str">
            <v>Wireless Speaker_OS</v>
          </cell>
          <cell r="AZ1762" t="str">
            <v>AOAADSPS</v>
          </cell>
          <cell r="BA1762" t="str">
            <v>Bluetooth Speaker_OS</v>
          </cell>
        </row>
        <row r="1763">
          <cell r="E1763" t="str">
            <v>T19BM.AEPPEVN</v>
          </cell>
          <cell r="F1763">
            <v>0</v>
          </cell>
          <cell r="G1763">
            <v>0</v>
          </cell>
          <cell r="H1763">
            <v>0</v>
          </cell>
          <cell r="I1763">
            <v>2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 t="str">
            <v>REFBASIC</v>
          </cell>
          <cell r="AH1763" t="str">
            <v>REF_Basic</v>
          </cell>
          <cell r="AI1763" t="str">
            <v/>
          </cell>
          <cell r="AJ1763" t="str">
            <v/>
          </cell>
          <cell r="AK1763" t="str">
            <v>0.564152</v>
          </cell>
          <cell r="AL1763" t="str">
            <v>2</v>
          </cell>
          <cell r="AM1763" t="str">
            <v>Q</v>
          </cell>
          <cell r="AN1763" t="str">
            <v>M0</v>
          </cell>
          <cell r="AO1763" t="str">
            <v>Active(Model)</v>
          </cell>
          <cell r="AP1763" t="str">
            <v/>
          </cell>
          <cell r="AQ1763" t="str">
            <v/>
          </cell>
          <cell r="AR1763" t="str">
            <v>Y</v>
          </cell>
          <cell r="AS1763" t="str">
            <v/>
          </cell>
          <cell r="AT1763" t="str">
            <v>RF</v>
          </cell>
          <cell r="AU1763" t="str">
            <v>Refrigerator</v>
          </cell>
          <cell r="AV1763" t="str">
            <v>RFTM</v>
          </cell>
          <cell r="AW1763" t="str">
            <v>TMNF</v>
          </cell>
          <cell r="AX1763" t="str">
            <v>RFTMTM</v>
          </cell>
          <cell r="AY1763" t="str">
            <v>TMNF</v>
          </cell>
          <cell r="AZ1763" t="str">
            <v>RFTMTMMA</v>
          </cell>
          <cell r="BA1763" t="str">
            <v>Medium REF</v>
          </cell>
        </row>
        <row r="1764">
          <cell r="E1764" t="str">
            <v>T2109NT1G.ALSPEVN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1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 t="str">
            <v>WMBASIC</v>
          </cell>
          <cell r="AH1764" t="str">
            <v>WM_Basic</v>
          </cell>
          <cell r="AI1764" t="str">
            <v/>
          </cell>
          <cell r="AJ1764" t="str">
            <v/>
          </cell>
          <cell r="AK1764" t="str">
            <v>0.329466</v>
          </cell>
          <cell r="AL1764" t="str">
            <v>0</v>
          </cell>
          <cell r="AM1764" t="str">
            <v>Q</v>
          </cell>
          <cell r="AN1764" t="str">
            <v>M0</v>
          </cell>
          <cell r="AO1764" t="str">
            <v>Active(Model)</v>
          </cell>
          <cell r="AP1764" t="str">
            <v/>
          </cell>
          <cell r="AQ1764" t="str">
            <v/>
          </cell>
          <cell r="AR1764" t="str">
            <v>Y</v>
          </cell>
          <cell r="AS1764" t="str">
            <v/>
          </cell>
          <cell r="AT1764" t="str">
            <v>WM</v>
          </cell>
          <cell r="AU1764" t="str">
            <v>Washing Machine</v>
          </cell>
          <cell r="AV1764" t="str">
            <v>WMWL</v>
          </cell>
          <cell r="AW1764" t="str">
            <v>Clothes Washer</v>
          </cell>
          <cell r="AX1764" t="str">
            <v>WMWLTL</v>
          </cell>
          <cell r="AY1764" t="str">
            <v>Clothes Washer_Top Loader</v>
          </cell>
          <cell r="AZ1764" t="str">
            <v>WMWLTLFA</v>
          </cell>
          <cell r="BA1764" t="str">
            <v>Clothes Washer_Pulsator(Auto)</v>
          </cell>
        </row>
        <row r="1765">
          <cell r="E1765" t="str">
            <v>T21BG.AGKPEVN</v>
          </cell>
          <cell r="F1765">
            <v>93</v>
          </cell>
          <cell r="G1765">
            <v>0</v>
          </cell>
          <cell r="H1765">
            <v>0</v>
          </cell>
          <cell r="I1765">
            <v>101</v>
          </cell>
          <cell r="J1765">
            <v>0</v>
          </cell>
          <cell r="K1765">
            <v>0</v>
          </cell>
          <cell r="L1765">
            <v>0</v>
          </cell>
          <cell r="M1765">
            <v>2</v>
          </cell>
          <cell r="N1765">
            <v>0</v>
          </cell>
          <cell r="O1765">
            <v>0</v>
          </cell>
          <cell r="P1765">
            <v>2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 t="str">
            <v>REFBASIC</v>
          </cell>
          <cell r="AH1765" t="str">
            <v>REF_Basic</v>
          </cell>
          <cell r="AI1765" t="str">
            <v/>
          </cell>
          <cell r="AJ1765" t="str">
            <v/>
          </cell>
          <cell r="AK1765" t="str">
            <v>0.586264</v>
          </cell>
          <cell r="AL1765" t="str">
            <v>2</v>
          </cell>
          <cell r="AM1765" t="str">
            <v>Q</v>
          </cell>
          <cell r="AN1765" t="str">
            <v>M0</v>
          </cell>
          <cell r="AO1765" t="str">
            <v>Active(Model)</v>
          </cell>
          <cell r="AP1765" t="str">
            <v/>
          </cell>
          <cell r="AQ1765" t="str">
            <v/>
          </cell>
          <cell r="AR1765" t="str">
            <v>Y</v>
          </cell>
          <cell r="AS1765" t="str">
            <v/>
          </cell>
          <cell r="AT1765" t="str">
            <v>RF</v>
          </cell>
          <cell r="AU1765" t="str">
            <v>Refrigerator</v>
          </cell>
          <cell r="AV1765" t="str">
            <v>RFTM</v>
          </cell>
          <cell r="AW1765" t="str">
            <v>TMNF</v>
          </cell>
          <cell r="AX1765" t="str">
            <v>RFTMTM</v>
          </cell>
          <cell r="AY1765" t="str">
            <v>TMNF</v>
          </cell>
          <cell r="AZ1765" t="str">
            <v>RFTMTMMA</v>
          </cell>
          <cell r="BA1765" t="str">
            <v>Medium REF</v>
          </cell>
        </row>
        <row r="1766">
          <cell r="E1766" t="str">
            <v>T2310VBTN.ANBPEVN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200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 t="str">
            <v>WMPREMIUM</v>
          </cell>
          <cell r="AH1766" t="str">
            <v>WM_Premium</v>
          </cell>
          <cell r="AI1766" t="str">
            <v/>
          </cell>
          <cell r="AJ1766" t="str">
            <v/>
          </cell>
          <cell r="AK1766" t="str">
            <v>0.441438</v>
          </cell>
          <cell r="AL1766" t="str">
            <v>2</v>
          </cell>
          <cell r="AM1766" t="str">
            <v>F</v>
          </cell>
          <cell r="AN1766" t="str">
            <v>M0</v>
          </cell>
          <cell r="AO1766" t="str">
            <v>Active(Model)</v>
          </cell>
          <cell r="AP1766" t="str">
            <v/>
          </cell>
          <cell r="AQ1766" t="str">
            <v/>
          </cell>
          <cell r="AR1766" t="str">
            <v>Y</v>
          </cell>
          <cell r="AS1766" t="str">
            <v/>
          </cell>
          <cell r="AT1766" t="str">
            <v>WM</v>
          </cell>
          <cell r="AU1766" t="str">
            <v>Washing Machine</v>
          </cell>
          <cell r="AV1766" t="str">
            <v>WMWL</v>
          </cell>
          <cell r="AW1766" t="str">
            <v>Clothes Washer</v>
          </cell>
          <cell r="AX1766" t="str">
            <v>WMWLTL</v>
          </cell>
          <cell r="AY1766" t="str">
            <v>Clothes Washer_Top Loader</v>
          </cell>
          <cell r="AZ1766" t="str">
            <v>WMWLTLFA</v>
          </cell>
          <cell r="BA1766" t="str">
            <v>Clothes Washer_Pulsator(Auto)</v>
          </cell>
        </row>
        <row r="1767">
          <cell r="E1767" t="str">
            <v>T2313DX5N.DNBPEVN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24</v>
          </cell>
          <cell r="L1767">
            <v>0</v>
          </cell>
          <cell r="M1767">
            <v>0</v>
          </cell>
          <cell r="N1767">
            <v>0</v>
          </cell>
          <cell r="O1767">
            <v>25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 t="str">
            <v>WMPREMIUM</v>
          </cell>
          <cell r="AH1767" t="str">
            <v>WM_Premium</v>
          </cell>
          <cell r="AI1767" t="str">
            <v/>
          </cell>
          <cell r="AJ1767" t="str">
            <v/>
          </cell>
          <cell r="AK1767" t="str">
            <v>0.510098</v>
          </cell>
          <cell r="AL1767" t="str">
            <v>2</v>
          </cell>
          <cell r="AM1767" t="str">
            <v>Q</v>
          </cell>
          <cell r="AN1767" t="str">
            <v>M0</v>
          </cell>
          <cell r="AO1767" t="str">
            <v>Active(Model)</v>
          </cell>
          <cell r="AP1767" t="str">
            <v/>
          </cell>
          <cell r="AQ1767" t="str">
            <v/>
          </cell>
          <cell r="AR1767" t="str">
            <v>Y</v>
          </cell>
          <cell r="AS1767" t="str">
            <v/>
          </cell>
          <cell r="AT1767" t="str">
            <v>WM</v>
          </cell>
          <cell r="AU1767" t="str">
            <v>Washing Machine</v>
          </cell>
          <cell r="AV1767" t="str">
            <v>WMWL</v>
          </cell>
          <cell r="AW1767" t="str">
            <v>Clothes Washer</v>
          </cell>
          <cell r="AX1767" t="str">
            <v>WMWLTL</v>
          </cell>
          <cell r="AY1767" t="str">
            <v>Clothes Washer_Top Loader</v>
          </cell>
          <cell r="AZ1767" t="str">
            <v>WMWLTLTA</v>
          </cell>
          <cell r="BA1767" t="str">
            <v>Clothes Washer_Turbo Drum</v>
          </cell>
        </row>
        <row r="1768">
          <cell r="E1768" t="str">
            <v>T2314DX5G.DEGPEVN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1</v>
          </cell>
          <cell r="K1768">
            <v>102</v>
          </cell>
          <cell r="L1768">
            <v>0</v>
          </cell>
          <cell r="M1768">
            <v>0</v>
          </cell>
          <cell r="N1768">
            <v>0</v>
          </cell>
          <cell r="O1768">
            <v>17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 t="str">
            <v>WMPREMIUM</v>
          </cell>
          <cell r="AH1768" t="str">
            <v>WM_Premium</v>
          </cell>
          <cell r="AI1768" t="str">
            <v/>
          </cell>
          <cell r="AJ1768" t="str">
            <v/>
          </cell>
          <cell r="AK1768" t="str">
            <v>0.510098</v>
          </cell>
          <cell r="AL1768" t="str">
            <v>2</v>
          </cell>
          <cell r="AM1768" t="str">
            <v>Q</v>
          </cell>
          <cell r="AN1768" t="str">
            <v>M0</v>
          </cell>
          <cell r="AO1768" t="str">
            <v>Active(Model)</v>
          </cell>
          <cell r="AP1768" t="str">
            <v/>
          </cell>
          <cell r="AQ1768" t="str">
            <v/>
          </cell>
          <cell r="AR1768" t="str">
            <v>Y</v>
          </cell>
          <cell r="AS1768" t="str">
            <v/>
          </cell>
          <cell r="AT1768" t="str">
            <v>WM</v>
          </cell>
          <cell r="AU1768" t="str">
            <v>Washing Machine</v>
          </cell>
          <cell r="AV1768" t="str">
            <v>WMWL</v>
          </cell>
          <cell r="AW1768" t="str">
            <v>Clothes Washer</v>
          </cell>
          <cell r="AX1768" t="str">
            <v>WMWLTL</v>
          </cell>
          <cell r="AY1768" t="str">
            <v>Clothes Washer_Top Loader</v>
          </cell>
          <cell r="AZ1768" t="str">
            <v>WMWLTLTA</v>
          </cell>
          <cell r="BA1768" t="str">
            <v>Clothes Washer_Turbo Drum</v>
          </cell>
        </row>
        <row r="1769">
          <cell r="E1769" t="str">
            <v>T2315DX5G.DEGPEVN</v>
          </cell>
          <cell r="F1769">
            <v>0</v>
          </cell>
          <cell r="G1769">
            <v>0</v>
          </cell>
          <cell r="H1769">
            <v>0</v>
          </cell>
          <cell r="I1769">
            <v>1</v>
          </cell>
          <cell r="J1769">
            <v>0</v>
          </cell>
          <cell r="K1769">
            <v>110</v>
          </cell>
          <cell r="L1769">
            <v>0</v>
          </cell>
          <cell r="M1769">
            <v>0</v>
          </cell>
          <cell r="N1769">
            <v>0</v>
          </cell>
          <cell r="O1769">
            <v>61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 t="str">
            <v>WMPREMIUM</v>
          </cell>
          <cell r="AH1769" t="str">
            <v>WM_Premium</v>
          </cell>
          <cell r="AI1769" t="str">
            <v/>
          </cell>
          <cell r="AJ1769" t="str">
            <v/>
          </cell>
          <cell r="AK1769" t="str">
            <v>0.510098</v>
          </cell>
          <cell r="AL1769" t="str">
            <v>2</v>
          </cell>
          <cell r="AM1769" t="str">
            <v>Q</v>
          </cell>
          <cell r="AN1769" t="str">
            <v>M0</v>
          </cell>
          <cell r="AO1769" t="str">
            <v>Active(Model)</v>
          </cell>
          <cell r="AP1769" t="str">
            <v/>
          </cell>
          <cell r="AQ1769" t="str">
            <v/>
          </cell>
          <cell r="AR1769" t="str">
            <v>Y</v>
          </cell>
          <cell r="AS1769" t="str">
            <v/>
          </cell>
          <cell r="AT1769" t="str">
            <v>WM</v>
          </cell>
          <cell r="AU1769" t="str">
            <v>Washing Machine</v>
          </cell>
          <cell r="AV1769" t="str">
            <v>WMWL</v>
          </cell>
          <cell r="AW1769" t="str">
            <v>Clothes Washer</v>
          </cell>
          <cell r="AX1769" t="str">
            <v>WMWLTL</v>
          </cell>
          <cell r="AY1769" t="str">
            <v>Clothes Washer_Top Loader</v>
          </cell>
          <cell r="AZ1769" t="str">
            <v>WMWLTLTA</v>
          </cell>
          <cell r="BA1769" t="str">
            <v>Clothes Washer_Turbo Drum</v>
          </cell>
        </row>
        <row r="1770">
          <cell r="E1770" t="str">
            <v>T2516DX5G.AEGPEVN</v>
          </cell>
          <cell r="F1770">
            <v>0</v>
          </cell>
          <cell r="G1770">
            <v>0</v>
          </cell>
          <cell r="H1770">
            <v>0</v>
          </cell>
          <cell r="I1770">
            <v>2</v>
          </cell>
          <cell r="J1770">
            <v>1</v>
          </cell>
          <cell r="K1770">
            <v>48</v>
          </cell>
          <cell r="L1770">
            <v>0</v>
          </cell>
          <cell r="M1770">
            <v>0</v>
          </cell>
          <cell r="N1770">
            <v>0</v>
          </cell>
          <cell r="O1770">
            <v>14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 t="str">
            <v>WMPREMIUM</v>
          </cell>
          <cell r="AH1770" t="str">
            <v>WM_Premium</v>
          </cell>
          <cell r="AI1770" t="str">
            <v/>
          </cell>
          <cell r="AJ1770" t="str">
            <v/>
          </cell>
          <cell r="AK1770" t="str">
            <v>0.599580</v>
          </cell>
          <cell r="AL1770" t="str">
            <v>2</v>
          </cell>
          <cell r="AM1770" t="str">
            <v>Q</v>
          </cell>
          <cell r="AN1770" t="str">
            <v>M0</v>
          </cell>
          <cell r="AO1770" t="str">
            <v>Active(Model)</v>
          </cell>
          <cell r="AP1770" t="str">
            <v/>
          </cell>
          <cell r="AQ1770" t="str">
            <v/>
          </cell>
          <cell r="AR1770" t="str">
            <v>Y</v>
          </cell>
          <cell r="AS1770" t="str">
            <v/>
          </cell>
          <cell r="AT1770" t="str">
            <v>WM</v>
          </cell>
          <cell r="AU1770" t="str">
            <v>Washing Machine</v>
          </cell>
          <cell r="AV1770" t="str">
            <v>WMWL</v>
          </cell>
          <cell r="AW1770" t="str">
            <v>Clothes Washer</v>
          </cell>
          <cell r="AX1770" t="str">
            <v>WMWLTL</v>
          </cell>
          <cell r="AY1770" t="str">
            <v>Clothes Washer_Top Loader</v>
          </cell>
          <cell r="AZ1770" t="str">
            <v>WMWLTLTA</v>
          </cell>
          <cell r="BA1770" t="str">
            <v>Clothes Washer_Turbo Drum</v>
          </cell>
        </row>
        <row r="1771">
          <cell r="E1771" t="str">
            <v>T2519SX5G.AEGPEVN</v>
          </cell>
          <cell r="F1771">
            <v>0</v>
          </cell>
          <cell r="G1771">
            <v>0</v>
          </cell>
          <cell r="H1771">
            <v>0</v>
          </cell>
          <cell r="I1771">
            <v>1</v>
          </cell>
          <cell r="J1771">
            <v>4</v>
          </cell>
          <cell r="K1771">
            <v>18</v>
          </cell>
          <cell r="L1771">
            <v>0</v>
          </cell>
          <cell r="M1771">
            <v>0</v>
          </cell>
          <cell r="N1771">
            <v>0</v>
          </cell>
          <cell r="O1771">
            <v>7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 t="str">
            <v>WMPREMIUM</v>
          </cell>
          <cell r="AH1771" t="str">
            <v>WM_Premium</v>
          </cell>
          <cell r="AI1771" t="str">
            <v/>
          </cell>
          <cell r="AJ1771" t="str">
            <v/>
          </cell>
          <cell r="AK1771" t="str">
            <v>0.599580</v>
          </cell>
          <cell r="AL1771" t="str">
            <v>2</v>
          </cell>
          <cell r="AM1771" t="str">
            <v>Q</v>
          </cell>
          <cell r="AN1771" t="str">
            <v>M0</v>
          </cell>
          <cell r="AO1771" t="str">
            <v>Active(Model)</v>
          </cell>
          <cell r="AP1771" t="str">
            <v/>
          </cell>
          <cell r="AQ1771" t="str">
            <v/>
          </cell>
          <cell r="AR1771" t="str">
            <v>Y</v>
          </cell>
          <cell r="AS1771" t="str">
            <v/>
          </cell>
          <cell r="AT1771" t="str">
            <v>WM</v>
          </cell>
          <cell r="AU1771" t="str">
            <v>Washing Machine</v>
          </cell>
          <cell r="AV1771" t="str">
            <v>WMWL</v>
          </cell>
          <cell r="AW1771" t="str">
            <v>Clothes Washer</v>
          </cell>
          <cell r="AX1771" t="str">
            <v>WMWLTL</v>
          </cell>
          <cell r="AY1771" t="str">
            <v>Clothes Washer_Top Loader</v>
          </cell>
          <cell r="AZ1771" t="str">
            <v>WMWLTLTA</v>
          </cell>
          <cell r="BA1771" t="str">
            <v>Clothes Washer_Turbo Drum</v>
          </cell>
        </row>
        <row r="1772">
          <cell r="E1772" t="str">
            <v>T2522AX7G.AEGPEVN</v>
          </cell>
          <cell r="F1772">
            <v>0</v>
          </cell>
          <cell r="G1772">
            <v>0</v>
          </cell>
          <cell r="H1772">
            <v>0</v>
          </cell>
          <cell r="I1772">
            <v>2</v>
          </cell>
          <cell r="J1772">
            <v>0</v>
          </cell>
          <cell r="K1772">
            <v>28</v>
          </cell>
          <cell r="L1772">
            <v>0</v>
          </cell>
          <cell r="M1772">
            <v>0</v>
          </cell>
          <cell r="N1772">
            <v>0</v>
          </cell>
          <cell r="O1772">
            <v>4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1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 t="str">
            <v>WMPREMIUM</v>
          </cell>
          <cell r="AH1772" t="str">
            <v>WM_Premium</v>
          </cell>
          <cell r="AI1772" t="str">
            <v/>
          </cell>
          <cell r="AJ1772" t="str">
            <v/>
          </cell>
          <cell r="AK1772" t="str">
            <v>0.599580</v>
          </cell>
          <cell r="AL1772" t="str">
            <v>2</v>
          </cell>
          <cell r="AM1772" t="str">
            <v>Q</v>
          </cell>
          <cell r="AN1772" t="str">
            <v>M0</v>
          </cell>
          <cell r="AO1772" t="str">
            <v>Active(Model)</v>
          </cell>
          <cell r="AP1772" t="str">
            <v/>
          </cell>
          <cell r="AQ1772" t="str">
            <v/>
          </cell>
          <cell r="AR1772" t="str">
            <v>Y</v>
          </cell>
          <cell r="AS1772" t="str">
            <v/>
          </cell>
          <cell r="AT1772" t="str">
            <v>WM</v>
          </cell>
          <cell r="AU1772" t="str">
            <v>Washing Machine</v>
          </cell>
          <cell r="AV1772" t="str">
            <v>WMWL</v>
          </cell>
          <cell r="AW1772" t="str">
            <v>Clothes Washer</v>
          </cell>
          <cell r="AX1772" t="str">
            <v>WMWLTL</v>
          </cell>
          <cell r="AY1772" t="str">
            <v>Clothes Washer_Top Loader</v>
          </cell>
          <cell r="AZ1772" t="str">
            <v>WMWLTLTA</v>
          </cell>
          <cell r="BA1772" t="str">
            <v>Clothes Washer_Turbo Drum</v>
          </cell>
        </row>
        <row r="1773">
          <cell r="E1773" t="str">
            <v>T26BG.AGKPEVN</v>
          </cell>
          <cell r="F1773">
            <v>139</v>
          </cell>
          <cell r="G1773">
            <v>0</v>
          </cell>
          <cell r="H1773">
            <v>0</v>
          </cell>
          <cell r="I1773">
            <v>141</v>
          </cell>
          <cell r="J1773">
            <v>1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20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 t="str">
            <v>REFBASIC</v>
          </cell>
          <cell r="AH1773" t="str">
            <v>REF_Basic</v>
          </cell>
          <cell r="AI1773" t="str">
            <v/>
          </cell>
          <cell r="AJ1773" t="str">
            <v/>
          </cell>
          <cell r="AK1773" t="str">
            <v>0.672945</v>
          </cell>
          <cell r="AL1773" t="str">
            <v>2</v>
          </cell>
          <cell r="AM1773" t="str">
            <v>Q</v>
          </cell>
          <cell r="AN1773" t="str">
            <v>M0</v>
          </cell>
          <cell r="AO1773" t="str">
            <v>Active(Model)</v>
          </cell>
          <cell r="AP1773" t="str">
            <v/>
          </cell>
          <cell r="AQ1773" t="str">
            <v/>
          </cell>
          <cell r="AR1773" t="str">
            <v>Y</v>
          </cell>
          <cell r="AS1773" t="str">
            <v/>
          </cell>
          <cell r="AT1773" t="str">
            <v>RF</v>
          </cell>
          <cell r="AU1773" t="str">
            <v>Refrigerator</v>
          </cell>
          <cell r="AV1773" t="str">
            <v>RFTM</v>
          </cell>
          <cell r="AW1773" t="str">
            <v>TMNF</v>
          </cell>
          <cell r="AX1773" t="str">
            <v>RFTMTM</v>
          </cell>
          <cell r="AY1773" t="str">
            <v>TMNF</v>
          </cell>
          <cell r="AZ1773" t="str">
            <v>RFTMTMMA</v>
          </cell>
          <cell r="BA1773" t="str">
            <v>Medium REF</v>
          </cell>
        </row>
        <row r="1774">
          <cell r="E1774" t="str">
            <v>T2725SX5G.AEGPEVN</v>
          </cell>
          <cell r="F1774">
            <v>0</v>
          </cell>
          <cell r="G1774">
            <v>0</v>
          </cell>
          <cell r="H1774">
            <v>0</v>
          </cell>
          <cell r="I1774">
            <v>22</v>
          </cell>
          <cell r="J1774">
            <v>0</v>
          </cell>
          <cell r="K1774">
            <v>8</v>
          </cell>
          <cell r="L1774">
            <v>0</v>
          </cell>
          <cell r="M1774">
            <v>20</v>
          </cell>
          <cell r="N1774">
            <v>0</v>
          </cell>
          <cell r="O1774">
            <v>4</v>
          </cell>
          <cell r="P1774">
            <v>20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 t="str">
            <v>WMPREPLUS</v>
          </cell>
          <cell r="AH1774" t="str">
            <v>WM_Premium_Plus</v>
          </cell>
          <cell r="AI1774" t="str">
            <v/>
          </cell>
          <cell r="AJ1774" t="str">
            <v/>
          </cell>
          <cell r="AK1774" t="str">
            <v>0.672840</v>
          </cell>
          <cell r="AL1774" t="str">
            <v>2</v>
          </cell>
          <cell r="AM1774" t="str">
            <v>Q</v>
          </cell>
          <cell r="AN1774" t="str">
            <v>M0</v>
          </cell>
          <cell r="AO1774" t="str">
            <v>Active(Model)</v>
          </cell>
          <cell r="AP1774" t="str">
            <v/>
          </cell>
          <cell r="AQ1774" t="str">
            <v/>
          </cell>
          <cell r="AR1774" t="str">
            <v>Y</v>
          </cell>
          <cell r="AS1774" t="str">
            <v/>
          </cell>
          <cell r="AT1774" t="str">
            <v>WM</v>
          </cell>
          <cell r="AU1774" t="str">
            <v>Washing Machine</v>
          </cell>
          <cell r="AV1774" t="str">
            <v>WMWL</v>
          </cell>
          <cell r="AW1774" t="str">
            <v>Clothes Washer</v>
          </cell>
          <cell r="AX1774" t="str">
            <v>WMWLTL</v>
          </cell>
          <cell r="AY1774" t="str">
            <v>Clothes Washer_Top Loader</v>
          </cell>
          <cell r="AZ1774" t="str">
            <v>WMWLTLTA</v>
          </cell>
          <cell r="BA1774" t="str">
            <v>Clothes Washer_Turbo Drum</v>
          </cell>
        </row>
        <row r="1775">
          <cell r="E1775" t="str">
            <v>T30SV.APYPEVN</v>
          </cell>
          <cell r="F1775">
            <v>2</v>
          </cell>
          <cell r="G1775">
            <v>0</v>
          </cell>
          <cell r="H1775">
            <v>0</v>
          </cell>
          <cell r="I1775">
            <v>3</v>
          </cell>
          <cell r="J1775">
            <v>4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3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 t="str">
            <v>REFBASIC</v>
          </cell>
          <cell r="AH1775" t="str">
            <v>REF_Basic</v>
          </cell>
          <cell r="AI1775" t="str">
            <v/>
          </cell>
          <cell r="AJ1775" t="str">
            <v/>
          </cell>
          <cell r="AK1775" t="str">
            <v>0.717709</v>
          </cell>
          <cell r="AL1775" t="str">
            <v>2</v>
          </cell>
          <cell r="AM1775" t="str">
            <v>Q</v>
          </cell>
          <cell r="AN1775" t="str">
            <v>M0</v>
          </cell>
          <cell r="AO1775" t="str">
            <v>Active(Model)</v>
          </cell>
          <cell r="AP1775" t="str">
            <v/>
          </cell>
          <cell r="AQ1775" t="str">
            <v/>
          </cell>
          <cell r="AR1775" t="str">
            <v>Y</v>
          </cell>
          <cell r="AS1775" t="str">
            <v/>
          </cell>
          <cell r="AT1775" t="str">
            <v>RF</v>
          </cell>
          <cell r="AU1775" t="str">
            <v>Refrigerator</v>
          </cell>
          <cell r="AV1775" t="str">
            <v>RFTM</v>
          </cell>
          <cell r="AW1775" t="str">
            <v>TMNF</v>
          </cell>
          <cell r="AX1775" t="str">
            <v>RFTMTM</v>
          </cell>
          <cell r="AY1775" t="str">
            <v>TMNF</v>
          </cell>
          <cell r="AZ1775" t="str">
            <v>RFTMTMMA</v>
          </cell>
          <cell r="BA1775" t="str">
            <v>Medium REF</v>
          </cell>
        </row>
        <row r="1776">
          <cell r="E1776" t="str">
            <v>T33SV.APYPEVN</v>
          </cell>
          <cell r="F1776">
            <v>1</v>
          </cell>
          <cell r="G1776">
            <v>0</v>
          </cell>
          <cell r="H1776">
            <v>0</v>
          </cell>
          <cell r="I1776">
            <v>2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 t="str">
            <v>REFBASIC</v>
          </cell>
          <cell r="AH1776" t="str">
            <v>REF_Basic</v>
          </cell>
          <cell r="AI1776" t="str">
            <v/>
          </cell>
          <cell r="AJ1776" t="str">
            <v/>
          </cell>
          <cell r="AK1776" t="str">
            <v>0.765556</v>
          </cell>
          <cell r="AL1776" t="str">
            <v>2</v>
          </cell>
          <cell r="AM1776" t="str">
            <v>Q</v>
          </cell>
          <cell r="AN1776" t="str">
            <v>M0</v>
          </cell>
          <cell r="AO1776" t="str">
            <v>Active(Model)</v>
          </cell>
          <cell r="AP1776" t="str">
            <v/>
          </cell>
          <cell r="AQ1776" t="str">
            <v/>
          </cell>
          <cell r="AR1776" t="str">
            <v>Y</v>
          </cell>
          <cell r="AS1776" t="str">
            <v/>
          </cell>
          <cell r="AT1776" t="str">
            <v>RF</v>
          </cell>
          <cell r="AU1776" t="str">
            <v>Refrigerator</v>
          </cell>
          <cell r="AV1776" t="str">
            <v>RFTM</v>
          </cell>
          <cell r="AW1776" t="str">
            <v>TMNF</v>
          </cell>
          <cell r="AX1776" t="str">
            <v>RFTMTM</v>
          </cell>
          <cell r="AY1776" t="str">
            <v>TMNF</v>
          </cell>
          <cell r="AZ1776" t="str">
            <v>RFTMTMLA</v>
          </cell>
          <cell r="BA1776" t="str">
            <v>Large REF</v>
          </cell>
        </row>
        <row r="1777">
          <cell r="E1777" t="str">
            <v>TX2312DT3O.DNBPEVN</v>
          </cell>
          <cell r="F1777">
            <v>0</v>
          </cell>
          <cell r="G1777">
            <v>0</v>
          </cell>
          <cell r="H1777">
            <v>0</v>
          </cell>
          <cell r="I1777">
            <v>1</v>
          </cell>
          <cell r="J1777">
            <v>0</v>
          </cell>
          <cell r="K1777">
            <v>216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 t="str">
            <v>WMPREMIUM</v>
          </cell>
          <cell r="AH1777" t="str">
            <v>WM_Premium</v>
          </cell>
          <cell r="AI1777" t="str">
            <v/>
          </cell>
          <cell r="AJ1777" t="str">
            <v/>
          </cell>
          <cell r="AK1777" t="str">
            <v>0.510098</v>
          </cell>
          <cell r="AL1777" t="str">
            <v>2</v>
          </cell>
          <cell r="AM1777" t="str">
            <v>Q</v>
          </cell>
          <cell r="AN1777" t="str">
            <v>M0</v>
          </cell>
          <cell r="AO1777" t="str">
            <v>Active(Model)</v>
          </cell>
          <cell r="AP1777" t="str">
            <v/>
          </cell>
          <cell r="AQ1777" t="str">
            <v/>
          </cell>
          <cell r="AR1777" t="str">
            <v>Y</v>
          </cell>
          <cell r="AS1777" t="str">
            <v/>
          </cell>
          <cell r="AT1777" t="str">
            <v>WM</v>
          </cell>
          <cell r="AU1777" t="str">
            <v>Washing Machine</v>
          </cell>
          <cell r="AV1777" t="str">
            <v>WMWL</v>
          </cell>
          <cell r="AW1777" t="str">
            <v>Clothes Washer</v>
          </cell>
          <cell r="AX1777" t="str">
            <v>WMWLTL</v>
          </cell>
          <cell r="AY1777" t="str">
            <v>Clothes Washer_Top Loader</v>
          </cell>
          <cell r="AZ1777" t="str">
            <v>WMWLTLTA</v>
          </cell>
          <cell r="BA1777" t="str">
            <v>Clothes Washer_Turbo Drum</v>
          </cell>
        </row>
        <row r="1778">
          <cell r="E1778" t="str">
            <v>TX2312DT5O.DNBPEVN</v>
          </cell>
          <cell r="F1778">
            <v>0</v>
          </cell>
          <cell r="G1778">
            <v>0</v>
          </cell>
          <cell r="H1778">
            <v>0</v>
          </cell>
          <cell r="I1778">
            <v>57</v>
          </cell>
          <cell r="J1778">
            <v>0</v>
          </cell>
          <cell r="K1778">
            <v>46</v>
          </cell>
          <cell r="L1778">
            <v>0</v>
          </cell>
          <cell r="M1778">
            <v>55</v>
          </cell>
          <cell r="N1778">
            <v>1</v>
          </cell>
          <cell r="O1778">
            <v>27</v>
          </cell>
          <cell r="P1778">
            <v>56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 t="str">
            <v>WMPREMIUM</v>
          </cell>
          <cell r="AH1778" t="str">
            <v>WM_Premium</v>
          </cell>
          <cell r="AI1778" t="str">
            <v/>
          </cell>
          <cell r="AJ1778" t="str">
            <v/>
          </cell>
          <cell r="AK1778" t="str">
            <v>0.510098</v>
          </cell>
          <cell r="AL1778" t="str">
            <v>2</v>
          </cell>
          <cell r="AM1778" t="str">
            <v>Q</v>
          </cell>
          <cell r="AN1778" t="str">
            <v>M0</v>
          </cell>
          <cell r="AO1778" t="str">
            <v>Active(Model)</v>
          </cell>
          <cell r="AP1778" t="str">
            <v/>
          </cell>
          <cell r="AQ1778" t="str">
            <v/>
          </cell>
          <cell r="AR1778" t="str">
            <v>Y</v>
          </cell>
          <cell r="AS1778" t="str">
            <v/>
          </cell>
          <cell r="AT1778" t="str">
            <v>WM</v>
          </cell>
          <cell r="AU1778" t="str">
            <v>Washing Machine</v>
          </cell>
          <cell r="AV1778" t="str">
            <v>WMWL</v>
          </cell>
          <cell r="AW1778" t="str">
            <v>Clothes Washer</v>
          </cell>
          <cell r="AX1778" t="str">
            <v>WMWLTL</v>
          </cell>
          <cell r="AY1778" t="str">
            <v>Clothes Washer_Top Loader</v>
          </cell>
          <cell r="AZ1778" t="str">
            <v>WMWLTLTA</v>
          </cell>
          <cell r="BA1778" t="str">
            <v>Clothes Washer_Turbo Drum</v>
          </cell>
        </row>
        <row r="1779">
          <cell r="E1779" t="str">
            <v>TX2516DT3O.ANBPEVN</v>
          </cell>
          <cell r="F1779">
            <v>10</v>
          </cell>
          <cell r="G1779">
            <v>0</v>
          </cell>
          <cell r="H1779">
            <v>0</v>
          </cell>
          <cell r="I1779">
            <v>12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40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  <cell r="AF1779">
            <v>0</v>
          </cell>
          <cell r="AG1779" t="str">
            <v>WMPREMIUM</v>
          </cell>
          <cell r="AH1779" t="str">
            <v>WM_Premium</v>
          </cell>
          <cell r="AI1779" t="str">
            <v/>
          </cell>
          <cell r="AJ1779" t="str">
            <v/>
          </cell>
          <cell r="AK1779" t="str">
            <v>0.599580</v>
          </cell>
          <cell r="AL1779" t="str">
            <v>2</v>
          </cell>
          <cell r="AM1779" t="str">
            <v>Q</v>
          </cell>
          <cell r="AN1779" t="str">
            <v>M0</v>
          </cell>
          <cell r="AO1779" t="str">
            <v>Active(Model)</v>
          </cell>
          <cell r="AP1779" t="str">
            <v/>
          </cell>
          <cell r="AQ1779" t="str">
            <v/>
          </cell>
          <cell r="AR1779" t="str">
            <v>Y</v>
          </cell>
          <cell r="AS1779" t="str">
            <v/>
          </cell>
          <cell r="AT1779" t="str">
            <v>WM</v>
          </cell>
          <cell r="AU1779" t="str">
            <v>Washing Machine</v>
          </cell>
          <cell r="AV1779" t="str">
            <v>WMWL</v>
          </cell>
          <cell r="AW1779" t="str">
            <v>Clothes Washer</v>
          </cell>
          <cell r="AX1779" t="str">
            <v>WMWLTL</v>
          </cell>
          <cell r="AY1779" t="str">
            <v>Clothes Washer_Top Loader</v>
          </cell>
          <cell r="AZ1779" t="str">
            <v>WMWLTLTA</v>
          </cell>
          <cell r="BA1779" t="str">
            <v>Clothes Washer_Turbo Drum</v>
          </cell>
        </row>
        <row r="1780">
          <cell r="E1780" t="str">
            <v>TX2725AT9G.AEGPEVN</v>
          </cell>
          <cell r="F1780">
            <v>0</v>
          </cell>
          <cell r="G1780">
            <v>0</v>
          </cell>
          <cell r="H1780">
            <v>0</v>
          </cell>
          <cell r="I1780">
            <v>12</v>
          </cell>
          <cell r="J1780">
            <v>0</v>
          </cell>
          <cell r="K1780">
            <v>7</v>
          </cell>
          <cell r="L1780">
            <v>0</v>
          </cell>
          <cell r="M1780">
            <v>10</v>
          </cell>
          <cell r="N1780">
            <v>1</v>
          </cell>
          <cell r="O1780">
            <v>11</v>
          </cell>
          <cell r="P1780">
            <v>11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 t="str">
            <v>WMPREPLUS</v>
          </cell>
          <cell r="AH1780" t="str">
            <v>WM_Premium_Plus</v>
          </cell>
          <cell r="AI1780" t="str">
            <v/>
          </cell>
          <cell r="AJ1780" t="str">
            <v/>
          </cell>
          <cell r="AK1780" t="str">
            <v>0.672840</v>
          </cell>
          <cell r="AL1780" t="str">
            <v>2</v>
          </cell>
          <cell r="AM1780" t="str">
            <v>Q</v>
          </cell>
          <cell r="AN1780" t="str">
            <v>M0</v>
          </cell>
          <cell r="AO1780" t="str">
            <v>Active(Model)</v>
          </cell>
          <cell r="AP1780" t="str">
            <v/>
          </cell>
          <cell r="AQ1780" t="str">
            <v/>
          </cell>
          <cell r="AR1780" t="str">
            <v>Y</v>
          </cell>
          <cell r="AS1780" t="str">
            <v/>
          </cell>
          <cell r="AT1780" t="str">
            <v>WM</v>
          </cell>
          <cell r="AU1780" t="str">
            <v>Washing Machine</v>
          </cell>
          <cell r="AV1780" t="str">
            <v>WMWL</v>
          </cell>
          <cell r="AW1780" t="str">
            <v>Clothes Washer</v>
          </cell>
          <cell r="AX1780" t="str">
            <v>WMWLTL</v>
          </cell>
          <cell r="AY1780" t="str">
            <v>Clothes Washer_Top Loader</v>
          </cell>
          <cell r="AZ1780" t="str">
            <v>WMWLTLTA</v>
          </cell>
          <cell r="BA1780" t="str">
            <v>Clothes Washer_Turbo Drum</v>
          </cell>
        </row>
        <row r="1781">
          <cell r="E1781" t="str">
            <v>VK7317GHTPB.APBPLVN</v>
          </cell>
          <cell r="F1781">
            <v>0</v>
          </cell>
          <cell r="G1781">
            <v>0</v>
          </cell>
          <cell r="H1781">
            <v>0</v>
          </cell>
          <cell r="I1781">
            <v>13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 t="str">
            <v>VCBASIC</v>
          </cell>
          <cell r="AH1781" t="str">
            <v>VC_Basic</v>
          </cell>
          <cell r="AI1781" t="str">
            <v/>
          </cell>
          <cell r="AJ1781" t="str">
            <v/>
          </cell>
          <cell r="AK1781" t="str">
            <v>0.074003</v>
          </cell>
          <cell r="AL1781" t="str">
            <v>2</v>
          </cell>
          <cell r="AM1781" t="str">
            <v>F</v>
          </cell>
          <cell r="AN1781" t="str">
            <v>M0</v>
          </cell>
          <cell r="AO1781" t="str">
            <v>Active(Model)</v>
          </cell>
          <cell r="AP1781" t="str">
            <v/>
          </cell>
          <cell r="AQ1781" t="str">
            <v/>
          </cell>
          <cell r="AR1781" t="str">
            <v>Y</v>
          </cell>
          <cell r="AS1781" t="str">
            <v/>
          </cell>
          <cell r="AT1781" t="str">
            <v>VC</v>
          </cell>
          <cell r="AU1781" t="str">
            <v>Vacuum Cleaner</v>
          </cell>
          <cell r="AV1781" t="str">
            <v>VCVC</v>
          </cell>
          <cell r="AW1781" t="str">
            <v>Vacuum Cleaner</v>
          </cell>
          <cell r="AX1781" t="str">
            <v>VCVCCR</v>
          </cell>
          <cell r="AY1781" t="str">
            <v>Canister</v>
          </cell>
          <cell r="AZ1781" t="str">
            <v>VCVCCRMC</v>
          </cell>
          <cell r="BA1781" t="str">
            <v>Multi Cyclone(Canister)</v>
          </cell>
        </row>
        <row r="1782">
          <cell r="E1782" t="str">
            <v>W60GLGG0.ABAE</v>
          </cell>
          <cell r="F1782">
            <v>0</v>
          </cell>
          <cell r="G1782">
            <v>0</v>
          </cell>
          <cell r="H1782">
            <v>0</v>
          </cell>
          <cell r="I1782">
            <v>1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7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2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 t="str">
            <v/>
          </cell>
          <cell r="AH1782" t="str">
            <v/>
          </cell>
          <cell r="AI1782" t="str">
            <v/>
          </cell>
          <cell r="AJ1782" t="str">
            <v/>
          </cell>
          <cell r="AK1782" t="str">
            <v>0.100242</v>
          </cell>
          <cell r="AL1782" t="str">
            <v>0</v>
          </cell>
          <cell r="AM1782" t="str">
            <v>Q</v>
          </cell>
          <cell r="AN1782" t="str">
            <v>M0</v>
          </cell>
          <cell r="AO1782" t="str">
            <v>Active(Model)</v>
          </cell>
          <cell r="AP1782" t="str">
            <v/>
          </cell>
          <cell r="AQ1782" t="str">
            <v/>
          </cell>
          <cell r="AR1782" t="str">
            <v>Y</v>
          </cell>
          <cell r="AS1782" t="str">
            <v/>
          </cell>
          <cell r="AT1782" t="str">
            <v>HC</v>
          </cell>
          <cell r="AU1782" t="str">
            <v>Healthcare</v>
          </cell>
          <cell r="AV1782" t="str">
            <v>HCWC</v>
          </cell>
          <cell r="AW1782" t="str">
            <v>Wellness care</v>
          </cell>
          <cell r="AX1782" t="str">
            <v>HCWCAS</v>
          </cell>
          <cell r="AY1782" t="str">
            <v>Air Solution</v>
          </cell>
          <cell r="AZ1782" t="str">
            <v>HCWCASCO</v>
          </cell>
          <cell r="BA1782" t="str">
            <v>Air Cleaner_ODM</v>
          </cell>
        </row>
        <row r="1783">
          <cell r="E1783" t="str">
            <v>WT1410NHB.APBPQVN</v>
          </cell>
          <cell r="F1783">
            <v>0</v>
          </cell>
          <cell r="G1783">
            <v>0</v>
          </cell>
          <cell r="H1783">
            <v>0</v>
          </cell>
          <cell r="I1783">
            <v>1</v>
          </cell>
          <cell r="J1783">
            <v>0</v>
          </cell>
          <cell r="K1783">
            <v>2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 t="str">
            <v>WMPREPLUS</v>
          </cell>
          <cell r="AH1783" t="str">
            <v>WM_Premium_Plus</v>
          </cell>
          <cell r="AI1783" t="str">
            <v/>
          </cell>
          <cell r="AJ1783" t="str">
            <v/>
          </cell>
          <cell r="AK1783" t="str">
            <v>0.828623</v>
          </cell>
          <cell r="AL1783" t="str">
            <v>2</v>
          </cell>
          <cell r="AM1783" t="str">
            <v>Q</v>
          </cell>
          <cell r="AN1783" t="str">
            <v>M0</v>
          </cell>
          <cell r="AO1783" t="str">
            <v>Active(Model)</v>
          </cell>
          <cell r="AP1783" t="str">
            <v/>
          </cell>
          <cell r="AQ1783" t="str">
            <v/>
          </cell>
          <cell r="AR1783" t="str">
            <v>Y</v>
          </cell>
          <cell r="AS1783" t="str">
            <v/>
          </cell>
          <cell r="AT1783" t="str">
            <v>WM</v>
          </cell>
          <cell r="AU1783" t="str">
            <v>Washing Machine</v>
          </cell>
          <cell r="AV1783" t="str">
            <v>WMWL</v>
          </cell>
          <cell r="AW1783" t="str">
            <v>Clothes Washer</v>
          </cell>
          <cell r="AX1783" t="str">
            <v>WMWLCC</v>
          </cell>
          <cell r="AY1783" t="str">
            <v>Clothes Washer_Laundry Center</v>
          </cell>
          <cell r="AZ1783" t="str">
            <v>WMWLCCLC</v>
          </cell>
          <cell r="BA1783" t="str">
            <v>Clothes Stacked Washer Dryer</v>
          </cell>
        </row>
        <row r="1784">
          <cell r="E1784" t="str">
            <v>WT1410NHEG.ABGPQVN</v>
          </cell>
          <cell r="F1784">
            <v>0</v>
          </cell>
          <cell r="G1784">
            <v>0</v>
          </cell>
          <cell r="H1784">
            <v>0</v>
          </cell>
          <cell r="I1784">
            <v>1</v>
          </cell>
          <cell r="J1784">
            <v>1</v>
          </cell>
          <cell r="K1784">
            <v>2</v>
          </cell>
          <cell r="L1784">
            <v>0</v>
          </cell>
          <cell r="M1784">
            <v>0</v>
          </cell>
          <cell r="N1784">
            <v>0</v>
          </cell>
          <cell r="O1784">
            <v>1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 t="str">
            <v>WMPREPLUS</v>
          </cell>
          <cell r="AH1784" t="str">
            <v>WM_Premium_Plus</v>
          </cell>
          <cell r="AI1784" t="str">
            <v/>
          </cell>
          <cell r="AJ1784" t="str">
            <v/>
          </cell>
          <cell r="AK1784" t="str">
            <v>0.809737</v>
          </cell>
          <cell r="AL1784" t="str">
            <v>2</v>
          </cell>
          <cell r="AM1784" t="str">
            <v>Q</v>
          </cell>
          <cell r="AN1784" t="str">
            <v>M0</v>
          </cell>
          <cell r="AO1784" t="str">
            <v>Active(Model)</v>
          </cell>
          <cell r="AP1784" t="str">
            <v/>
          </cell>
          <cell r="AQ1784" t="str">
            <v/>
          </cell>
          <cell r="AR1784" t="str">
            <v>Y</v>
          </cell>
          <cell r="AS1784" t="str">
            <v/>
          </cell>
          <cell r="AT1784" t="str">
            <v>WM</v>
          </cell>
          <cell r="AU1784" t="str">
            <v>Washing Machine</v>
          </cell>
          <cell r="AV1784" t="str">
            <v>WMWL</v>
          </cell>
          <cell r="AW1784" t="str">
            <v>Clothes Washer</v>
          </cell>
          <cell r="AX1784" t="str">
            <v>WMWLCC</v>
          </cell>
          <cell r="AY1784" t="str">
            <v>Clothes Washer_Laundry Center</v>
          </cell>
          <cell r="AZ1784" t="str">
            <v>WMWLCCLC</v>
          </cell>
          <cell r="BA1784" t="str">
            <v>Clothes Stacked Washer Dryer</v>
          </cell>
        </row>
        <row r="1785">
          <cell r="E1785" t="str">
            <v>WT2517NHEG.ABGPEVN</v>
          </cell>
          <cell r="F1785">
            <v>0</v>
          </cell>
          <cell r="G1785">
            <v>0</v>
          </cell>
          <cell r="H1785">
            <v>0</v>
          </cell>
          <cell r="I1785">
            <v>1</v>
          </cell>
          <cell r="J1785">
            <v>1</v>
          </cell>
          <cell r="K1785">
            <v>2</v>
          </cell>
          <cell r="L1785">
            <v>0</v>
          </cell>
          <cell r="M1785">
            <v>0</v>
          </cell>
          <cell r="N1785">
            <v>1</v>
          </cell>
          <cell r="O1785">
            <v>0</v>
          </cell>
          <cell r="P1785">
            <v>1</v>
          </cell>
          <cell r="Q1785">
            <v>0</v>
          </cell>
          <cell r="R1785">
            <v>0</v>
          </cell>
          <cell r="S1785">
            <v>2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 t="str">
            <v>WMPREPLUS</v>
          </cell>
          <cell r="AH1785" t="str">
            <v>WM_Premium_Plus</v>
          </cell>
          <cell r="AI1785" t="str">
            <v/>
          </cell>
          <cell r="AJ1785" t="str">
            <v/>
          </cell>
          <cell r="AK1785" t="str">
            <v>1.276866</v>
          </cell>
          <cell r="AL1785" t="str">
            <v>0</v>
          </cell>
          <cell r="AM1785" t="str">
            <v>Q</v>
          </cell>
          <cell r="AN1785" t="str">
            <v>M0</v>
          </cell>
          <cell r="AO1785" t="str">
            <v>Active(Model)</v>
          </cell>
          <cell r="AP1785" t="str">
            <v/>
          </cell>
          <cell r="AQ1785" t="str">
            <v/>
          </cell>
          <cell r="AR1785" t="str">
            <v>Y</v>
          </cell>
          <cell r="AS1785" t="str">
            <v/>
          </cell>
          <cell r="AT1785" t="str">
            <v>WM</v>
          </cell>
          <cell r="AU1785" t="str">
            <v>Washing Machine</v>
          </cell>
          <cell r="AV1785" t="str">
            <v>WMWL</v>
          </cell>
          <cell r="AW1785" t="str">
            <v>Clothes Washer</v>
          </cell>
          <cell r="AX1785" t="str">
            <v>WMWLCC</v>
          </cell>
          <cell r="AY1785" t="str">
            <v>Clothes Washer_Laundry Center</v>
          </cell>
          <cell r="AZ1785" t="str">
            <v>WMWLCCLC</v>
          </cell>
          <cell r="BA1785" t="str">
            <v>Clothes Stacked Washer Dryer</v>
          </cell>
        </row>
        <row r="1786">
          <cell r="E1786" t="str">
            <v>Z2UQ18GFD0.EWGHASA</v>
          </cell>
          <cell r="F1786">
            <v>0</v>
          </cell>
          <cell r="G1786">
            <v>0</v>
          </cell>
          <cell r="H1786">
            <v>0</v>
          </cell>
          <cell r="I1786">
            <v>6</v>
          </cell>
          <cell r="J1786">
            <v>0</v>
          </cell>
          <cell r="K1786">
            <v>49</v>
          </cell>
          <cell r="L1786">
            <v>6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 t="str">
            <v/>
          </cell>
          <cell r="AH1786" t="str">
            <v/>
          </cell>
          <cell r="AI1786" t="str">
            <v/>
          </cell>
          <cell r="AJ1786" t="str">
            <v/>
          </cell>
          <cell r="AK1786" t="str">
            <v>0.209892</v>
          </cell>
          <cell r="AL1786" t="str">
            <v>0</v>
          </cell>
          <cell r="AM1786" t="str">
            <v>Q</v>
          </cell>
          <cell r="AN1786" t="str">
            <v>M0</v>
          </cell>
          <cell r="AO1786" t="str">
            <v>Active(Model)</v>
          </cell>
          <cell r="AP1786" t="str">
            <v/>
          </cell>
          <cell r="AQ1786" t="str">
            <v/>
          </cell>
          <cell r="AR1786" t="str">
            <v>Y</v>
          </cell>
          <cell r="AS1786" t="str">
            <v/>
          </cell>
          <cell r="AT1786" t="str">
            <v>AC</v>
          </cell>
          <cell r="AU1786" t="str">
            <v>Airconditioner</v>
          </cell>
          <cell r="AV1786" t="str">
            <v>ACMT</v>
          </cell>
          <cell r="AW1786" t="str">
            <v>Multi</v>
          </cell>
          <cell r="AX1786" t="str">
            <v>ACMTOD</v>
          </cell>
          <cell r="AY1786" t="str">
            <v>Flexible Multi-O/D(Inv.)</v>
          </cell>
          <cell r="AZ1786" t="str">
            <v>ACMTODMF</v>
          </cell>
          <cell r="BA1786" t="str">
            <v>Flexible Multi_O/D_Multi F</v>
          </cell>
        </row>
        <row r="1787">
          <cell r="E1787" t="str">
            <v>Z3UQ24GFD0.EWGHASA</v>
          </cell>
          <cell r="F1787">
            <v>0</v>
          </cell>
          <cell r="G1787">
            <v>0</v>
          </cell>
          <cell r="H1787">
            <v>0</v>
          </cell>
          <cell r="I1787">
            <v>5</v>
          </cell>
          <cell r="J1787">
            <v>0</v>
          </cell>
          <cell r="K1787">
            <v>67</v>
          </cell>
          <cell r="L1787">
            <v>5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 t="str">
            <v/>
          </cell>
          <cell r="AH1787" t="str">
            <v/>
          </cell>
          <cell r="AI1787" t="str">
            <v/>
          </cell>
          <cell r="AJ1787" t="str">
            <v/>
          </cell>
          <cell r="AK1787" t="str">
            <v>0.209892</v>
          </cell>
          <cell r="AL1787" t="str">
            <v>0</v>
          </cell>
          <cell r="AM1787" t="str">
            <v>Q</v>
          </cell>
          <cell r="AN1787" t="str">
            <v>M0</v>
          </cell>
          <cell r="AO1787" t="str">
            <v>Active(Model)</v>
          </cell>
          <cell r="AP1787" t="str">
            <v/>
          </cell>
          <cell r="AQ1787" t="str">
            <v/>
          </cell>
          <cell r="AR1787" t="str">
            <v>Y</v>
          </cell>
          <cell r="AS1787" t="str">
            <v/>
          </cell>
          <cell r="AT1787" t="str">
            <v>AC</v>
          </cell>
          <cell r="AU1787" t="str">
            <v>Airconditioner</v>
          </cell>
          <cell r="AV1787" t="str">
            <v>ACMT</v>
          </cell>
          <cell r="AW1787" t="str">
            <v>Multi</v>
          </cell>
          <cell r="AX1787" t="str">
            <v>ACMTOD</v>
          </cell>
          <cell r="AY1787" t="str">
            <v>Flexible Multi-O/D(Inv.)</v>
          </cell>
          <cell r="AZ1787" t="str">
            <v>ACMTODMF</v>
          </cell>
          <cell r="BA1787" t="str">
            <v>Flexible Multi_O/D_Multi F</v>
          </cell>
        </row>
        <row r="1788">
          <cell r="E1788" t="str">
            <v>Z3UQ30GFD0.EWGHASA</v>
          </cell>
          <cell r="F1788">
            <v>4</v>
          </cell>
          <cell r="G1788">
            <v>0</v>
          </cell>
          <cell r="H1788">
            <v>0</v>
          </cell>
          <cell r="I1788">
            <v>6</v>
          </cell>
          <cell r="J1788">
            <v>0</v>
          </cell>
          <cell r="K1788">
            <v>0</v>
          </cell>
          <cell r="L1788">
            <v>2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 t="str">
            <v/>
          </cell>
          <cell r="AH1788" t="str">
            <v/>
          </cell>
          <cell r="AI1788" t="str">
            <v/>
          </cell>
          <cell r="AJ1788" t="str">
            <v/>
          </cell>
          <cell r="AK1788" t="str">
            <v>0.343813</v>
          </cell>
          <cell r="AL1788" t="str">
            <v>0</v>
          </cell>
          <cell r="AM1788" t="str">
            <v>Q</v>
          </cell>
          <cell r="AN1788" t="str">
            <v>M0</v>
          </cell>
          <cell r="AO1788" t="str">
            <v>Active(Model)</v>
          </cell>
          <cell r="AP1788" t="str">
            <v/>
          </cell>
          <cell r="AQ1788" t="str">
            <v/>
          </cell>
          <cell r="AR1788" t="str">
            <v>Y</v>
          </cell>
          <cell r="AS1788" t="str">
            <v/>
          </cell>
          <cell r="AT1788" t="str">
            <v>AC</v>
          </cell>
          <cell r="AU1788" t="str">
            <v>Airconditioner</v>
          </cell>
          <cell r="AV1788" t="str">
            <v>ACMT</v>
          </cell>
          <cell r="AW1788" t="str">
            <v>Multi</v>
          </cell>
          <cell r="AX1788" t="str">
            <v>ACMTOD</v>
          </cell>
          <cell r="AY1788" t="str">
            <v>Flexible Multi-O/D(Inv.)</v>
          </cell>
          <cell r="AZ1788" t="str">
            <v>ACMTODMF</v>
          </cell>
          <cell r="BA1788" t="str">
            <v>Flexible Multi_O/D_Multi F</v>
          </cell>
        </row>
        <row r="1789">
          <cell r="E1789" t="str">
            <v>Z4UQ36GFD0.EWGHASA</v>
          </cell>
          <cell r="F1789">
            <v>1</v>
          </cell>
          <cell r="G1789">
            <v>0</v>
          </cell>
          <cell r="H1789">
            <v>0</v>
          </cell>
          <cell r="I1789">
            <v>1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 t="str">
            <v/>
          </cell>
          <cell r="AH1789" t="str">
            <v/>
          </cell>
          <cell r="AI1789" t="str">
            <v/>
          </cell>
          <cell r="AJ1789" t="str">
            <v/>
          </cell>
          <cell r="AK1789" t="str">
            <v>0.343813</v>
          </cell>
          <cell r="AL1789" t="str">
            <v>0</v>
          </cell>
          <cell r="AM1789" t="str">
            <v>Q</v>
          </cell>
          <cell r="AN1789" t="str">
            <v>M0</v>
          </cell>
          <cell r="AO1789" t="str">
            <v>Active(Model)</v>
          </cell>
          <cell r="AP1789" t="str">
            <v/>
          </cell>
          <cell r="AQ1789" t="str">
            <v/>
          </cell>
          <cell r="AR1789" t="str">
            <v>Y</v>
          </cell>
          <cell r="AS1789" t="str">
            <v/>
          </cell>
          <cell r="AT1789" t="str">
            <v>AC</v>
          </cell>
          <cell r="AU1789" t="str">
            <v>Airconditioner</v>
          </cell>
          <cell r="AV1789" t="str">
            <v>ACMT</v>
          </cell>
          <cell r="AW1789" t="str">
            <v>Multi</v>
          </cell>
          <cell r="AX1789" t="str">
            <v>ACMTOD</v>
          </cell>
          <cell r="AY1789" t="str">
            <v>Flexible Multi-O/D(Inv.)</v>
          </cell>
          <cell r="AZ1789" t="str">
            <v>ACMTODMF</v>
          </cell>
          <cell r="BA1789" t="str">
            <v>Flexible Multi_O/D_Multi F</v>
          </cell>
        </row>
        <row r="1790">
          <cell r="E1790" t="str">
            <v>Z5UQ48GFD0.EWGHASA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 t="str">
            <v/>
          </cell>
          <cell r="AH1790" t="str">
            <v/>
          </cell>
          <cell r="AI1790" t="str">
            <v/>
          </cell>
          <cell r="AJ1790" t="str">
            <v/>
          </cell>
          <cell r="AK1790" t="str">
            <v>0.482446</v>
          </cell>
          <cell r="AL1790" t="str">
            <v>0</v>
          </cell>
          <cell r="AM1790" t="str">
            <v>Q</v>
          </cell>
          <cell r="AN1790" t="str">
            <v>M0</v>
          </cell>
          <cell r="AO1790" t="str">
            <v>Active(Model)</v>
          </cell>
          <cell r="AP1790" t="str">
            <v/>
          </cell>
          <cell r="AQ1790" t="str">
            <v/>
          </cell>
          <cell r="AR1790" t="str">
            <v>Y</v>
          </cell>
          <cell r="AS1790" t="str">
            <v/>
          </cell>
          <cell r="AT1790" t="str">
            <v>AC</v>
          </cell>
          <cell r="AU1790" t="str">
            <v>Airconditioner</v>
          </cell>
          <cell r="AV1790" t="str">
            <v>ACMT</v>
          </cell>
          <cell r="AW1790" t="str">
            <v>Multi</v>
          </cell>
          <cell r="AX1790" t="str">
            <v>ACMTOD</v>
          </cell>
          <cell r="AY1790" t="str">
            <v>Flexible Multi-O/D(Inv.)</v>
          </cell>
          <cell r="AZ1790" t="str">
            <v>ACMTODMF</v>
          </cell>
          <cell r="BA1790" t="str">
            <v>Flexible Multi_O/D_Multi F</v>
          </cell>
        </row>
        <row r="1791">
          <cell r="E1791" t="str">
            <v>ZBNQ18GL2D1.ENCHEVH</v>
          </cell>
          <cell r="F1791">
            <v>3</v>
          </cell>
          <cell r="G1791">
            <v>0</v>
          </cell>
          <cell r="H1791">
            <v>0</v>
          </cell>
          <cell r="I1791">
            <v>3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  <cell r="AF1791">
            <v>0</v>
          </cell>
          <cell r="AG1791" t="str">
            <v/>
          </cell>
          <cell r="AH1791" t="str">
            <v/>
          </cell>
          <cell r="AI1791" t="str">
            <v/>
          </cell>
          <cell r="AJ1791" t="str">
            <v/>
          </cell>
          <cell r="AK1791" t="str">
            <v>0.211503</v>
          </cell>
          <cell r="AL1791" t="str">
            <v>0</v>
          </cell>
          <cell r="AM1791" t="str">
            <v>Q</v>
          </cell>
          <cell r="AN1791" t="str">
            <v>M0</v>
          </cell>
          <cell r="AO1791" t="str">
            <v>Active(Model)</v>
          </cell>
          <cell r="AP1791" t="str">
            <v/>
          </cell>
          <cell r="AQ1791" t="str">
            <v/>
          </cell>
          <cell r="AR1791" t="str">
            <v>Y</v>
          </cell>
          <cell r="AS1791" t="str">
            <v/>
          </cell>
          <cell r="AT1791" t="str">
            <v>AC</v>
          </cell>
          <cell r="AU1791" t="str">
            <v>Airconditioner</v>
          </cell>
          <cell r="AV1791" t="str">
            <v>ACFS</v>
          </cell>
          <cell r="AW1791" t="str">
            <v>Fixed Single CAC</v>
          </cell>
          <cell r="AX1791" t="str">
            <v>ACFSCD</v>
          </cell>
          <cell r="AY1791" t="str">
            <v>Ceiling Concealed Duct</v>
          </cell>
          <cell r="AZ1791" t="str">
            <v>ACFSCDCO</v>
          </cell>
          <cell r="BA1791" t="str">
            <v>Duct_I/D_Inverter_C/O</v>
          </cell>
        </row>
        <row r="1792">
          <cell r="E1792" t="str">
            <v>ZBNQ24GL3D1.ENCHEVH</v>
          </cell>
          <cell r="F1792">
            <v>5</v>
          </cell>
          <cell r="G1792">
            <v>0</v>
          </cell>
          <cell r="H1792">
            <v>0</v>
          </cell>
          <cell r="I1792">
            <v>5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  <cell r="AF1792">
            <v>0</v>
          </cell>
          <cell r="AG1792" t="str">
            <v/>
          </cell>
          <cell r="AH1792" t="str">
            <v/>
          </cell>
          <cell r="AI1792" t="str">
            <v/>
          </cell>
          <cell r="AJ1792" t="str">
            <v/>
          </cell>
          <cell r="AK1792" t="str">
            <v>0.251334</v>
          </cell>
          <cell r="AL1792" t="str">
            <v>0</v>
          </cell>
          <cell r="AM1792" t="str">
            <v>Q</v>
          </cell>
          <cell r="AN1792" t="str">
            <v>M0</v>
          </cell>
          <cell r="AO1792" t="str">
            <v>Active(Model)</v>
          </cell>
          <cell r="AP1792" t="str">
            <v/>
          </cell>
          <cell r="AQ1792" t="str">
            <v/>
          </cell>
          <cell r="AR1792" t="str">
            <v>Y</v>
          </cell>
          <cell r="AS1792" t="str">
            <v/>
          </cell>
          <cell r="AT1792" t="str">
            <v>AC</v>
          </cell>
          <cell r="AU1792" t="str">
            <v>Airconditioner</v>
          </cell>
          <cell r="AV1792" t="str">
            <v>ACFS</v>
          </cell>
          <cell r="AW1792" t="str">
            <v>Fixed Single CAC</v>
          </cell>
          <cell r="AX1792" t="str">
            <v>ACFSCD</v>
          </cell>
          <cell r="AY1792" t="str">
            <v>Ceiling Concealed Duct</v>
          </cell>
          <cell r="AZ1792" t="str">
            <v>ACFSCDCO</v>
          </cell>
          <cell r="BA1792" t="str">
            <v>Duct_I/D_Inverter_C/O</v>
          </cell>
        </row>
        <row r="1793">
          <cell r="E1793" t="str">
            <v>ZBNQ24GM1D1.ENCTEVH</v>
          </cell>
          <cell r="F1793">
            <v>0</v>
          </cell>
          <cell r="G1793">
            <v>0</v>
          </cell>
          <cell r="H1793">
            <v>0</v>
          </cell>
          <cell r="I1793">
            <v>7</v>
          </cell>
          <cell r="J1793">
            <v>0</v>
          </cell>
          <cell r="K1793">
            <v>253</v>
          </cell>
          <cell r="L1793">
            <v>7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  <cell r="AF1793">
            <v>0</v>
          </cell>
          <cell r="AG1793" t="str">
            <v/>
          </cell>
          <cell r="AH1793" t="str">
            <v/>
          </cell>
          <cell r="AI1793" t="str">
            <v/>
          </cell>
          <cell r="AJ1793" t="str">
            <v/>
          </cell>
          <cell r="AK1793" t="str">
            <v>0.287401</v>
          </cell>
          <cell r="AL1793" t="str">
            <v>0</v>
          </cell>
          <cell r="AM1793" t="str">
            <v>Q</v>
          </cell>
          <cell r="AN1793" t="str">
            <v>M0</v>
          </cell>
          <cell r="AO1793" t="str">
            <v>Active(Model)</v>
          </cell>
          <cell r="AP1793" t="str">
            <v/>
          </cell>
          <cell r="AQ1793" t="str">
            <v/>
          </cell>
          <cell r="AR1793" t="str">
            <v>Y</v>
          </cell>
          <cell r="AS1793" t="str">
            <v/>
          </cell>
          <cell r="AT1793" t="str">
            <v>AC</v>
          </cell>
          <cell r="AU1793" t="str">
            <v>Airconditioner</v>
          </cell>
          <cell r="AV1793" t="str">
            <v>ACFS</v>
          </cell>
          <cell r="AW1793" t="str">
            <v>Fixed Single CAC</v>
          </cell>
          <cell r="AX1793" t="str">
            <v>ACFSCD</v>
          </cell>
          <cell r="AY1793" t="str">
            <v>Ceiling Concealed Duct</v>
          </cell>
          <cell r="AZ1793" t="str">
            <v>ACFSCDCO</v>
          </cell>
          <cell r="BA1793" t="str">
            <v>Duct_I/D_Inverter_C/O</v>
          </cell>
        </row>
        <row r="1794">
          <cell r="E1794" t="str">
            <v>ZBNQ30GM3D1.ENCTEVH</v>
          </cell>
          <cell r="F1794">
            <v>1</v>
          </cell>
          <cell r="G1794">
            <v>0</v>
          </cell>
          <cell r="H1794">
            <v>0</v>
          </cell>
          <cell r="I1794">
            <v>1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0</v>
          </cell>
          <cell r="AF1794">
            <v>0</v>
          </cell>
          <cell r="AG1794" t="str">
            <v/>
          </cell>
          <cell r="AH1794" t="str">
            <v/>
          </cell>
          <cell r="AI1794" t="str">
            <v/>
          </cell>
          <cell r="AJ1794" t="str">
            <v/>
          </cell>
          <cell r="AK1794" t="str">
            <v>0.479724</v>
          </cell>
          <cell r="AL1794" t="str">
            <v>0</v>
          </cell>
          <cell r="AM1794" t="str">
            <v>Q</v>
          </cell>
          <cell r="AN1794" t="str">
            <v>M0</v>
          </cell>
          <cell r="AO1794" t="str">
            <v>Active(Model)</v>
          </cell>
          <cell r="AP1794" t="str">
            <v/>
          </cell>
          <cell r="AQ1794" t="str">
            <v/>
          </cell>
          <cell r="AR1794" t="str">
            <v>Y</v>
          </cell>
          <cell r="AS1794" t="str">
            <v/>
          </cell>
          <cell r="AT1794" t="str">
            <v>AC</v>
          </cell>
          <cell r="AU1794" t="str">
            <v>Airconditioner</v>
          </cell>
          <cell r="AV1794" t="str">
            <v>ACFS</v>
          </cell>
          <cell r="AW1794" t="str">
            <v>Fixed Single CAC</v>
          </cell>
          <cell r="AX1794" t="str">
            <v>ACFSCD</v>
          </cell>
          <cell r="AY1794" t="str">
            <v>Ceiling Concealed Duct</v>
          </cell>
          <cell r="AZ1794" t="str">
            <v>ACFSCDCO</v>
          </cell>
          <cell r="BA1794" t="str">
            <v>Duct_I/D_Inverter_C/O</v>
          </cell>
        </row>
        <row r="1795">
          <cell r="E1795" t="str">
            <v>ZBNQ36GM3D1.ENCTEVH</v>
          </cell>
          <cell r="F1795">
            <v>5</v>
          </cell>
          <cell r="G1795">
            <v>0</v>
          </cell>
          <cell r="H1795">
            <v>0</v>
          </cell>
          <cell r="I1795">
            <v>5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  <cell r="AF1795">
            <v>0</v>
          </cell>
          <cell r="AG1795" t="str">
            <v/>
          </cell>
          <cell r="AH1795" t="str">
            <v/>
          </cell>
          <cell r="AI1795" t="str">
            <v/>
          </cell>
          <cell r="AJ1795" t="str">
            <v/>
          </cell>
          <cell r="AK1795" t="str">
            <v>0.479724</v>
          </cell>
          <cell r="AL1795" t="str">
            <v>0</v>
          </cell>
          <cell r="AM1795" t="str">
            <v>Q</v>
          </cell>
          <cell r="AN1795" t="str">
            <v>M0</v>
          </cell>
          <cell r="AO1795" t="str">
            <v>Active(Model)</v>
          </cell>
          <cell r="AP1795" t="str">
            <v/>
          </cell>
          <cell r="AQ1795" t="str">
            <v/>
          </cell>
          <cell r="AR1795" t="str">
            <v>Y</v>
          </cell>
          <cell r="AS1795" t="str">
            <v/>
          </cell>
          <cell r="AT1795" t="str">
            <v>AC</v>
          </cell>
          <cell r="AU1795" t="str">
            <v>Airconditioner</v>
          </cell>
          <cell r="AV1795" t="str">
            <v>ACFS</v>
          </cell>
          <cell r="AW1795" t="str">
            <v>Fixed Single CAC</v>
          </cell>
          <cell r="AX1795" t="str">
            <v>ACFSCD</v>
          </cell>
          <cell r="AY1795" t="str">
            <v>Ceiling Concealed Duct</v>
          </cell>
          <cell r="AZ1795" t="str">
            <v>ACFSCDCO</v>
          </cell>
          <cell r="BA1795" t="str">
            <v>Duct_I/D_Inverter_C/O</v>
          </cell>
        </row>
        <row r="1796">
          <cell r="E1796" t="str">
            <v>ZBNQ48GM3D1.ENCTEVH</v>
          </cell>
          <cell r="F1796">
            <v>5</v>
          </cell>
          <cell r="G1796">
            <v>0</v>
          </cell>
          <cell r="H1796">
            <v>0</v>
          </cell>
          <cell r="I1796">
            <v>5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  <cell r="AF1796">
            <v>0</v>
          </cell>
          <cell r="AG1796" t="str">
            <v/>
          </cell>
          <cell r="AH1796" t="str">
            <v/>
          </cell>
          <cell r="AI1796" t="str">
            <v/>
          </cell>
          <cell r="AJ1796" t="str">
            <v/>
          </cell>
          <cell r="AK1796" t="str">
            <v>0.479724</v>
          </cell>
          <cell r="AL1796" t="str">
            <v>0</v>
          </cell>
          <cell r="AM1796" t="str">
            <v>Q</v>
          </cell>
          <cell r="AN1796" t="str">
            <v>M0</v>
          </cell>
          <cell r="AO1796" t="str">
            <v>Active(Model)</v>
          </cell>
          <cell r="AP1796" t="str">
            <v/>
          </cell>
          <cell r="AQ1796" t="str">
            <v/>
          </cell>
          <cell r="AR1796" t="str">
            <v>Y</v>
          </cell>
          <cell r="AS1796" t="str">
            <v/>
          </cell>
          <cell r="AT1796" t="str">
            <v>AC</v>
          </cell>
          <cell r="AU1796" t="str">
            <v>Airconditioner</v>
          </cell>
          <cell r="AV1796" t="str">
            <v>ACFS</v>
          </cell>
          <cell r="AW1796" t="str">
            <v>Fixed Single CAC</v>
          </cell>
          <cell r="AX1796" t="str">
            <v>ACFSCD</v>
          </cell>
          <cell r="AY1796" t="str">
            <v>Ceiling Concealed Duct</v>
          </cell>
          <cell r="AZ1796" t="str">
            <v>ACFSCDCO</v>
          </cell>
          <cell r="BA1796" t="str">
            <v>Duct_I/D_Inverter_C/O</v>
          </cell>
        </row>
        <row r="1797">
          <cell r="E1797" t="str">
            <v>ZE050GUCCA0.ENWSLEU</v>
          </cell>
          <cell r="F1797">
            <v>2</v>
          </cell>
          <cell r="G1797">
            <v>0</v>
          </cell>
          <cell r="H1797">
            <v>0</v>
          </cell>
          <cell r="I1797">
            <v>2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0</v>
          </cell>
          <cell r="AF1797">
            <v>0</v>
          </cell>
          <cell r="AG1797" t="str">
            <v/>
          </cell>
          <cell r="AH1797" t="str">
            <v/>
          </cell>
          <cell r="AI1797" t="str">
            <v/>
          </cell>
          <cell r="AJ1797" t="str">
            <v/>
          </cell>
          <cell r="AK1797" t="str">
            <v>0.548960</v>
          </cell>
          <cell r="AL1797" t="str">
            <v>0</v>
          </cell>
          <cell r="AM1797" t="str">
            <v>Q</v>
          </cell>
          <cell r="AN1797" t="str">
            <v>M0</v>
          </cell>
          <cell r="AO1797" t="str">
            <v>Active(Model)</v>
          </cell>
          <cell r="AP1797" t="str">
            <v/>
          </cell>
          <cell r="AQ1797" t="str">
            <v/>
          </cell>
          <cell r="AR1797" t="str">
            <v>Y</v>
          </cell>
          <cell r="AS1797" t="str">
            <v/>
          </cell>
          <cell r="AT1797" t="str">
            <v>AC</v>
          </cell>
          <cell r="AU1797" t="str">
            <v>Airconditioner</v>
          </cell>
          <cell r="AV1797" t="str">
            <v>ACVT</v>
          </cell>
          <cell r="AW1797" t="str">
            <v>Ventilation</v>
          </cell>
          <cell r="AX1797" t="str">
            <v>ACVTVT</v>
          </cell>
          <cell r="AY1797" t="str">
            <v>Ventilation</v>
          </cell>
          <cell r="AZ1797" t="str">
            <v>ACVTVTZJ</v>
          </cell>
          <cell r="BA1797" t="str">
            <v>Ventilation</v>
          </cell>
        </row>
        <row r="1798">
          <cell r="E1798" t="str">
            <v>ZE080GUCDA0.ENWSLEU</v>
          </cell>
          <cell r="F1798">
            <v>1</v>
          </cell>
          <cell r="G1798">
            <v>0</v>
          </cell>
          <cell r="H1798">
            <v>0</v>
          </cell>
          <cell r="I1798">
            <v>1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0</v>
          </cell>
          <cell r="AF1798">
            <v>0</v>
          </cell>
          <cell r="AG1798" t="str">
            <v/>
          </cell>
          <cell r="AH1798" t="str">
            <v/>
          </cell>
          <cell r="AI1798" t="str">
            <v/>
          </cell>
          <cell r="AJ1798" t="str">
            <v/>
          </cell>
          <cell r="AK1798" t="str">
            <v>0.870382</v>
          </cell>
          <cell r="AL1798" t="str">
            <v>0</v>
          </cell>
          <cell r="AM1798" t="str">
            <v>Q</v>
          </cell>
          <cell r="AN1798" t="str">
            <v>M0</v>
          </cell>
          <cell r="AO1798" t="str">
            <v>Active(Model)</v>
          </cell>
          <cell r="AP1798" t="str">
            <v/>
          </cell>
          <cell r="AQ1798" t="str">
            <v/>
          </cell>
          <cell r="AR1798" t="str">
            <v>Y</v>
          </cell>
          <cell r="AS1798" t="str">
            <v/>
          </cell>
          <cell r="AT1798" t="str">
            <v>AC</v>
          </cell>
          <cell r="AU1798" t="str">
            <v>Airconditioner</v>
          </cell>
          <cell r="AV1798" t="str">
            <v>ACVT</v>
          </cell>
          <cell r="AW1798" t="str">
            <v>Ventilation</v>
          </cell>
          <cell r="AX1798" t="str">
            <v>ACVTVT</v>
          </cell>
          <cell r="AY1798" t="str">
            <v>Ventilation</v>
          </cell>
          <cell r="AZ1798" t="str">
            <v>ACVTVTZJ</v>
          </cell>
          <cell r="BA1798" t="str">
            <v>Ventilation</v>
          </cell>
        </row>
        <row r="1799">
          <cell r="E1799" t="str">
            <v>ZE100GUCDA0.ENWSLEU</v>
          </cell>
          <cell r="F1799">
            <v>2</v>
          </cell>
          <cell r="G1799">
            <v>0</v>
          </cell>
          <cell r="H1799">
            <v>0</v>
          </cell>
          <cell r="I1799">
            <v>2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 t="str">
            <v/>
          </cell>
          <cell r="AH1799" t="str">
            <v/>
          </cell>
          <cell r="AI1799" t="str">
            <v/>
          </cell>
          <cell r="AJ1799" t="str">
            <v/>
          </cell>
          <cell r="AK1799" t="str">
            <v>0.870382</v>
          </cell>
          <cell r="AL1799" t="str">
            <v>0</v>
          </cell>
          <cell r="AM1799" t="str">
            <v>Q</v>
          </cell>
          <cell r="AN1799" t="str">
            <v>M0</v>
          </cell>
          <cell r="AO1799" t="str">
            <v>Active(Model)</v>
          </cell>
          <cell r="AP1799" t="str">
            <v/>
          </cell>
          <cell r="AQ1799" t="str">
            <v/>
          </cell>
          <cell r="AR1799" t="str">
            <v>Y</v>
          </cell>
          <cell r="AS1799" t="str">
            <v/>
          </cell>
          <cell r="AT1799" t="str">
            <v>AC</v>
          </cell>
          <cell r="AU1799" t="str">
            <v>Airconditioner</v>
          </cell>
          <cell r="AV1799" t="str">
            <v>ACVT</v>
          </cell>
          <cell r="AW1799" t="str">
            <v>Ventilation</v>
          </cell>
          <cell r="AX1799" t="str">
            <v>ACVTVT</v>
          </cell>
          <cell r="AY1799" t="str">
            <v>Ventilation</v>
          </cell>
          <cell r="AZ1799" t="str">
            <v>ACVTVTZJ</v>
          </cell>
          <cell r="BA1799" t="str">
            <v>Ventilation</v>
          </cell>
        </row>
        <row r="1800">
          <cell r="E1800" t="str">
            <v>ZPNQ30GT3A1.EWGHEVH</v>
          </cell>
          <cell r="F1800">
            <v>0</v>
          </cell>
          <cell r="G1800">
            <v>0</v>
          </cell>
          <cell r="H1800">
            <v>0</v>
          </cell>
          <cell r="I1800">
            <v>2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 t="str">
            <v/>
          </cell>
          <cell r="AH1800" t="str">
            <v/>
          </cell>
          <cell r="AI1800" t="str">
            <v/>
          </cell>
          <cell r="AJ1800" t="str">
            <v/>
          </cell>
          <cell r="AK1800" t="str">
            <v>0.683702</v>
          </cell>
          <cell r="AL1800" t="str">
            <v>0</v>
          </cell>
          <cell r="AM1800" t="str">
            <v>Q</v>
          </cell>
          <cell r="AN1800" t="str">
            <v>M0</v>
          </cell>
          <cell r="AO1800" t="str">
            <v>Active(Model)</v>
          </cell>
          <cell r="AP1800" t="str">
            <v/>
          </cell>
          <cell r="AQ1800" t="str">
            <v/>
          </cell>
          <cell r="AR1800" t="str">
            <v>Y</v>
          </cell>
          <cell r="AS1800" t="str">
            <v/>
          </cell>
          <cell r="AT1800" t="str">
            <v>AC</v>
          </cell>
          <cell r="AU1800" t="str">
            <v>Airconditioner</v>
          </cell>
          <cell r="AV1800" t="str">
            <v>ACPC</v>
          </cell>
          <cell r="AW1800" t="str">
            <v>PAC</v>
          </cell>
          <cell r="AX1800" t="str">
            <v>ACPCDH</v>
          </cell>
          <cell r="AY1800" t="str">
            <v>PAC_Inverter Cooling</v>
          </cell>
          <cell r="AZ1800" t="str">
            <v>ACPCDHAA</v>
          </cell>
          <cell r="BA1800" t="str">
            <v>PAC_Inverter C/O_I/D</v>
          </cell>
        </row>
        <row r="1801">
          <cell r="E1801" t="str">
            <v>ZPNQ36GT3A1.EWGHEVH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3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 t="str">
            <v/>
          </cell>
          <cell r="AH1801" t="str">
            <v/>
          </cell>
          <cell r="AI1801" t="str">
            <v/>
          </cell>
          <cell r="AJ1801" t="str">
            <v/>
          </cell>
          <cell r="AK1801" t="str">
            <v>0.683702</v>
          </cell>
          <cell r="AL1801" t="str">
            <v>0</v>
          </cell>
          <cell r="AM1801" t="str">
            <v>Q</v>
          </cell>
          <cell r="AN1801" t="str">
            <v>M0</v>
          </cell>
          <cell r="AO1801" t="str">
            <v>Active(Model)</v>
          </cell>
          <cell r="AP1801" t="str">
            <v/>
          </cell>
          <cell r="AQ1801" t="str">
            <v/>
          </cell>
          <cell r="AR1801" t="str">
            <v>Y</v>
          </cell>
          <cell r="AS1801" t="str">
            <v/>
          </cell>
          <cell r="AT1801" t="str">
            <v>AC</v>
          </cell>
          <cell r="AU1801" t="str">
            <v>Airconditioner</v>
          </cell>
          <cell r="AV1801" t="str">
            <v>ACPC</v>
          </cell>
          <cell r="AW1801" t="str">
            <v>PAC</v>
          </cell>
          <cell r="AX1801" t="str">
            <v>ACPCDH</v>
          </cell>
          <cell r="AY1801" t="str">
            <v>PAC_Inverter Cooling</v>
          </cell>
          <cell r="AZ1801" t="str">
            <v>ACPCDHAA</v>
          </cell>
          <cell r="BA1801" t="str">
            <v>PAC_Inverter C/O_I/D</v>
          </cell>
        </row>
        <row r="1802">
          <cell r="E1802" t="str">
            <v>ZPNQ36LR5A0.EWGBEVH</v>
          </cell>
          <cell r="F1802">
            <v>1</v>
          </cell>
          <cell r="G1802">
            <v>0</v>
          </cell>
          <cell r="H1802">
            <v>0</v>
          </cell>
          <cell r="I1802">
            <v>1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 t="str">
            <v/>
          </cell>
          <cell r="AH1802" t="str">
            <v/>
          </cell>
          <cell r="AI1802" t="str">
            <v/>
          </cell>
          <cell r="AJ1802" t="str">
            <v/>
          </cell>
          <cell r="AK1802" t="str">
            <v>0.517055</v>
          </cell>
          <cell r="AL1802" t="str">
            <v>0</v>
          </cell>
          <cell r="AM1802" t="str">
            <v>Q</v>
          </cell>
          <cell r="AN1802" t="str">
            <v>M5</v>
          </cell>
          <cell r="AO1802" t="str">
            <v>To Be Obsolete(Model)</v>
          </cell>
          <cell r="AP1802" t="str">
            <v/>
          </cell>
          <cell r="AQ1802" t="str">
            <v/>
          </cell>
          <cell r="AR1802" t="str">
            <v>Y</v>
          </cell>
          <cell r="AS1802" t="str">
            <v/>
          </cell>
          <cell r="AT1802" t="str">
            <v>AC</v>
          </cell>
          <cell r="AU1802" t="str">
            <v>Airconditioner</v>
          </cell>
          <cell r="AV1802" t="str">
            <v>ACPC</v>
          </cell>
          <cell r="AW1802" t="str">
            <v>PAC</v>
          </cell>
          <cell r="AX1802" t="str">
            <v>ACPCDH</v>
          </cell>
          <cell r="AY1802" t="str">
            <v>PAC_Inverter Cooling</v>
          </cell>
          <cell r="AZ1802" t="str">
            <v>ACPCDHAA</v>
          </cell>
          <cell r="BA1802" t="str">
            <v>PAC_Inverter C/O_I/D</v>
          </cell>
        </row>
        <row r="1803">
          <cell r="E1803" t="str">
            <v>ZPNQ36LR5A0.EWGSEVH</v>
          </cell>
          <cell r="F1803">
            <v>1</v>
          </cell>
          <cell r="G1803">
            <v>0</v>
          </cell>
          <cell r="H1803">
            <v>0</v>
          </cell>
          <cell r="I1803">
            <v>1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 t="str">
            <v/>
          </cell>
          <cell r="AH1803" t="str">
            <v/>
          </cell>
          <cell r="AI1803" t="str">
            <v/>
          </cell>
          <cell r="AJ1803" t="str">
            <v/>
          </cell>
          <cell r="AK1803" t="str">
            <v>0.517055</v>
          </cell>
          <cell r="AL1803" t="str">
            <v>0</v>
          </cell>
          <cell r="AM1803" t="str">
            <v>Q</v>
          </cell>
          <cell r="AN1803" t="str">
            <v>M0</v>
          </cell>
          <cell r="AO1803" t="str">
            <v>Active(Model)</v>
          </cell>
          <cell r="AP1803" t="str">
            <v/>
          </cell>
          <cell r="AQ1803" t="str">
            <v/>
          </cell>
          <cell r="AR1803" t="str">
            <v>Y</v>
          </cell>
          <cell r="AS1803" t="str">
            <v/>
          </cell>
          <cell r="AT1803" t="str">
            <v>AC</v>
          </cell>
          <cell r="AU1803" t="str">
            <v>Airconditioner</v>
          </cell>
          <cell r="AV1803" t="str">
            <v>ACPC</v>
          </cell>
          <cell r="AW1803" t="str">
            <v>PAC</v>
          </cell>
          <cell r="AX1803" t="str">
            <v>ACPCDH</v>
          </cell>
          <cell r="AY1803" t="str">
            <v>PAC_Inverter Cooling</v>
          </cell>
          <cell r="AZ1803" t="str">
            <v>ACPCDHAA</v>
          </cell>
          <cell r="BA1803" t="str">
            <v>PAC_Inverter C/O_I/D</v>
          </cell>
        </row>
        <row r="1804">
          <cell r="E1804" t="str">
            <v>ZPNQ48GT3A1.EWGHEVH</v>
          </cell>
          <cell r="F1804">
            <v>0</v>
          </cell>
          <cell r="G1804">
            <v>0</v>
          </cell>
          <cell r="H1804">
            <v>0</v>
          </cell>
          <cell r="I1804">
            <v>13</v>
          </cell>
          <cell r="J1804">
            <v>0</v>
          </cell>
          <cell r="K1804">
            <v>18</v>
          </cell>
          <cell r="L1804">
            <v>11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  <cell r="AF1804">
            <v>0</v>
          </cell>
          <cell r="AG1804" t="str">
            <v/>
          </cell>
          <cell r="AH1804" t="str">
            <v/>
          </cell>
          <cell r="AI1804" t="str">
            <v/>
          </cell>
          <cell r="AJ1804" t="str">
            <v/>
          </cell>
          <cell r="AK1804" t="str">
            <v>0.683702</v>
          </cell>
          <cell r="AL1804" t="str">
            <v>0</v>
          </cell>
          <cell r="AM1804" t="str">
            <v>Q</v>
          </cell>
          <cell r="AN1804" t="str">
            <v>M0</v>
          </cell>
          <cell r="AO1804" t="str">
            <v>Active(Model)</v>
          </cell>
          <cell r="AP1804" t="str">
            <v/>
          </cell>
          <cell r="AQ1804" t="str">
            <v/>
          </cell>
          <cell r="AR1804" t="str">
            <v>Y</v>
          </cell>
          <cell r="AS1804" t="str">
            <v/>
          </cell>
          <cell r="AT1804" t="str">
            <v>AC</v>
          </cell>
          <cell r="AU1804" t="str">
            <v>Airconditioner</v>
          </cell>
          <cell r="AV1804" t="str">
            <v>ACPC</v>
          </cell>
          <cell r="AW1804" t="str">
            <v>PAC</v>
          </cell>
          <cell r="AX1804" t="str">
            <v>ACPCDH</v>
          </cell>
          <cell r="AY1804" t="str">
            <v>PAC_Inverter Cooling</v>
          </cell>
          <cell r="AZ1804" t="str">
            <v>ACPCDHAA</v>
          </cell>
          <cell r="BA1804" t="str">
            <v>PAC_Inverter C/O_I/D</v>
          </cell>
        </row>
        <row r="1805">
          <cell r="E1805" t="str">
            <v>ZTNQ09GULA1.ENWHEVH</v>
          </cell>
          <cell r="F1805">
            <v>14</v>
          </cell>
          <cell r="G1805">
            <v>0</v>
          </cell>
          <cell r="H1805">
            <v>0</v>
          </cell>
          <cell r="I1805">
            <v>31</v>
          </cell>
          <cell r="J1805">
            <v>0</v>
          </cell>
          <cell r="K1805">
            <v>0</v>
          </cell>
          <cell r="L1805">
            <v>15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0</v>
          </cell>
          <cell r="AE1805">
            <v>0</v>
          </cell>
          <cell r="AF1805">
            <v>0</v>
          </cell>
          <cell r="AG1805" t="str">
            <v/>
          </cell>
          <cell r="AH1805" t="str">
            <v/>
          </cell>
          <cell r="AI1805" t="str">
            <v/>
          </cell>
          <cell r="AJ1805" t="str">
            <v/>
          </cell>
          <cell r="AK1805" t="str">
            <v>0.152523</v>
          </cell>
          <cell r="AL1805" t="str">
            <v>0</v>
          </cell>
          <cell r="AM1805" t="str">
            <v>Q</v>
          </cell>
          <cell r="AN1805" t="str">
            <v>M0</v>
          </cell>
          <cell r="AO1805" t="str">
            <v>Active(Model)</v>
          </cell>
          <cell r="AP1805" t="str">
            <v/>
          </cell>
          <cell r="AQ1805" t="str">
            <v/>
          </cell>
          <cell r="AR1805" t="str">
            <v>Y</v>
          </cell>
          <cell r="AS1805" t="str">
            <v/>
          </cell>
          <cell r="AT1805" t="str">
            <v>AC</v>
          </cell>
          <cell r="AU1805" t="str">
            <v>Airconditioner</v>
          </cell>
          <cell r="AV1805" t="str">
            <v>ACFS</v>
          </cell>
          <cell r="AW1805" t="str">
            <v>Fixed Single CAC</v>
          </cell>
          <cell r="AX1805" t="str">
            <v>ACFSCC</v>
          </cell>
          <cell r="AY1805" t="str">
            <v>Ceiling Cassette</v>
          </cell>
          <cell r="AZ1805" t="str">
            <v>ACFSCCCX</v>
          </cell>
          <cell r="BA1805" t="str">
            <v>Cassette_I/D_Inverter_C/O</v>
          </cell>
        </row>
        <row r="1806">
          <cell r="E1806" t="str">
            <v>ZTNQ12GULA1.ENWHEVH</v>
          </cell>
          <cell r="F1806">
            <v>3</v>
          </cell>
          <cell r="G1806">
            <v>0</v>
          </cell>
          <cell r="H1806">
            <v>0</v>
          </cell>
          <cell r="I1806">
            <v>13</v>
          </cell>
          <cell r="J1806">
            <v>0</v>
          </cell>
          <cell r="K1806">
            <v>10</v>
          </cell>
          <cell r="L1806">
            <v>10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 t="str">
            <v/>
          </cell>
          <cell r="AH1806" t="str">
            <v/>
          </cell>
          <cell r="AI1806" t="str">
            <v/>
          </cell>
          <cell r="AJ1806" t="str">
            <v/>
          </cell>
          <cell r="AK1806" t="str">
            <v>0.152523</v>
          </cell>
          <cell r="AL1806" t="str">
            <v>0</v>
          </cell>
          <cell r="AM1806" t="str">
            <v>Q</v>
          </cell>
          <cell r="AN1806" t="str">
            <v>M0</v>
          </cell>
          <cell r="AO1806" t="str">
            <v>Active(Model)</v>
          </cell>
          <cell r="AP1806" t="str">
            <v/>
          </cell>
          <cell r="AQ1806" t="str">
            <v/>
          </cell>
          <cell r="AR1806" t="str">
            <v>Y</v>
          </cell>
          <cell r="AS1806" t="str">
            <v/>
          </cell>
          <cell r="AT1806" t="str">
            <v>AC</v>
          </cell>
          <cell r="AU1806" t="str">
            <v>Airconditioner</v>
          </cell>
          <cell r="AV1806" t="str">
            <v>ACFS</v>
          </cell>
          <cell r="AW1806" t="str">
            <v>Fixed Single CAC</v>
          </cell>
          <cell r="AX1806" t="str">
            <v>ACFSCC</v>
          </cell>
          <cell r="AY1806" t="str">
            <v>Ceiling Cassette</v>
          </cell>
          <cell r="AZ1806" t="str">
            <v>ACFSCCCX</v>
          </cell>
          <cell r="BA1806" t="str">
            <v>Cassette_I/D_Inverter_C/O</v>
          </cell>
        </row>
        <row r="1807">
          <cell r="E1807" t="str">
            <v>ZTNQ18GPLA1.ENWHEVH</v>
          </cell>
          <cell r="F1807">
            <v>0</v>
          </cell>
          <cell r="G1807">
            <v>0</v>
          </cell>
          <cell r="H1807">
            <v>0</v>
          </cell>
          <cell r="I1807">
            <v>3</v>
          </cell>
          <cell r="J1807">
            <v>0</v>
          </cell>
          <cell r="K1807">
            <v>5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 t="str">
            <v/>
          </cell>
          <cell r="AH1807" t="str">
            <v/>
          </cell>
          <cell r="AI1807" t="str">
            <v/>
          </cell>
          <cell r="AJ1807" t="str">
            <v/>
          </cell>
          <cell r="AK1807" t="str">
            <v>0.233351</v>
          </cell>
          <cell r="AL1807" t="str">
            <v>0</v>
          </cell>
          <cell r="AM1807" t="str">
            <v>Q</v>
          </cell>
          <cell r="AN1807" t="str">
            <v>M0</v>
          </cell>
          <cell r="AO1807" t="str">
            <v>Active(Model)</v>
          </cell>
          <cell r="AP1807" t="str">
            <v/>
          </cell>
          <cell r="AQ1807" t="str">
            <v/>
          </cell>
          <cell r="AR1807" t="str">
            <v>Y</v>
          </cell>
          <cell r="AS1807" t="str">
            <v/>
          </cell>
          <cell r="AT1807" t="str">
            <v>AC</v>
          </cell>
          <cell r="AU1807" t="str">
            <v>Airconditioner</v>
          </cell>
          <cell r="AV1807" t="str">
            <v>ACFS</v>
          </cell>
          <cell r="AW1807" t="str">
            <v>Fixed Single CAC</v>
          </cell>
          <cell r="AX1807" t="str">
            <v>ACFSCC</v>
          </cell>
          <cell r="AY1807" t="str">
            <v>Ceiling Cassette</v>
          </cell>
          <cell r="AZ1807" t="str">
            <v>ACFSCCCX</v>
          </cell>
          <cell r="BA1807" t="str">
            <v>Cassette_I/D_Inverter_C/O</v>
          </cell>
        </row>
        <row r="1808">
          <cell r="E1808" t="str">
            <v>ZTNQ18GTLA1.ENWHEVH</v>
          </cell>
          <cell r="F1808">
            <v>0</v>
          </cell>
          <cell r="G1808">
            <v>0</v>
          </cell>
          <cell r="H1808">
            <v>0</v>
          </cell>
          <cell r="I1808">
            <v>2</v>
          </cell>
          <cell r="J1808">
            <v>0</v>
          </cell>
          <cell r="K1808">
            <v>5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 t="str">
            <v/>
          </cell>
          <cell r="AH1808" t="str">
            <v/>
          </cell>
          <cell r="AI1808" t="str">
            <v/>
          </cell>
          <cell r="AJ1808" t="str">
            <v/>
          </cell>
          <cell r="AK1808" t="str">
            <v>0.195907</v>
          </cell>
          <cell r="AL1808" t="str">
            <v>0</v>
          </cell>
          <cell r="AM1808" t="str">
            <v>Q</v>
          </cell>
          <cell r="AN1808" t="str">
            <v>M0</v>
          </cell>
          <cell r="AO1808" t="str">
            <v>Active(Model)</v>
          </cell>
          <cell r="AP1808" t="str">
            <v/>
          </cell>
          <cell r="AQ1808" t="str">
            <v/>
          </cell>
          <cell r="AR1808" t="str">
            <v>Y</v>
          </cell>
          <cell r="AS1808" t="str">
            <v/>
          </cell>
          <cell r="AT1808" t="str">
            <v>AC</v>
          </cell>
          <cell r="AU1808" t="str">
            <v>Airconditioner</v>
          </cell>
          <cell r="AV1808" t="str">
            <v>ACFS</v>
          </cell>
          <cell r="AW1808" t="str">
            <v>Fixed Single CAC</v>
          </cell>
          <cell r="AX1808" t="str">
            <v>ACFSCC</v>
          </cell>
          <cell r="AY1808" t="str">
            <v>Ceiling Cassette</v>
          </cell>
          <cell r="AZ1808" t="str">
            <v>ACFSCCCX</v>
          </cell>
          <cell r="BA1808" t="str">
            <v>Cassette_I/D_Inverter_C/O</v>
          </cell>
        </row>
        <row r="1809">
          <cell r="E1809" t="str">
            <v>ZTNQ24GPLA1.ENWHEVH</v>
          </cell>
          <cell r="F1809">
            <v>0</v>
          </cell>
          <cell r="G1809">
            <v>0</v>
          </cell>
          <cell r="H1809">
            <v>0</v>
          </cell>
          <cell r="I1809">
            <v>9</v>
          </cell>
          <cell r="J1809">
            <v>0</v>
          </cell>
          <cell r="K1809">
            <v>0</v>
          </cell>
          <cell r="L1809">
            <v>5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 t="str">
            <v/>
          </cell>
          <cell r="AH1809" t="str">
            <v/>
          </cell>
          <cell r="AI1809" t="str">
            <v/>
          </cell>
          <cell r="AJ1809" t="str">
            <v/>
          </cell>
          <cell r="AK1809" t="str">
            <v>0.233351</v>
          </cell>
          <cell r="AL1809" t="str">
            <v>0</v>
          </cell>
          <cell r="AM1809" t="str">
            <v>Q</v>
          </cell>
          <cell r="AN1809" t="str">
            <v>M0</v>
          </cell>
          <cell r="AO1809" t="str">
            <v>Active(Model)</v>
          </cell>
          <cell r="AP1809" t="str">
            <v/>
          </cell>
          <cell r="AQ1809" t="str">
            <v/>
          </cell>
          <cell r="AR1809" t="str">
            <v>Y</v>
          </cell>
          <cell r="AS1809" t="str">
            <v/>
          </cell>
          <cell r="AT1809" t="str">
            <v>AC</v>
          </cell>
          <cell r="AU1809" t="str">
            <v>Airconditioner</v>
          </cell>
          <cell r="AV1809" t="str">
            <v>ACFS</v>
          </cell>
          <cell r="AW1809" t="str">
            <v>Fixed Single CAC</v>
          </cell>
          <cell r="AX1809" t="str">
            <v>ACFSCC</v>
          </cell>
          <cell r="AY1809" t="str">
            <v>Ceiling Cassette</v>
          </cell>
          <cell r="AZ1809" t="str">
            <v>ACFSCCCX</v>
          </cell>
          <cell r="BA1809" t="str">
            <v>Cassette_I/D_Inverter_C/O</v>
          </cell>
        </row>
        <row r="1810">
          <cell r="E1810" t="str">
            <v>ZTNQ24GTLA1.ENWHEVH</v>
          </cell>
          <cell r="F1810">
            <v>5</v>
          </cell>
          <cell r="G1810">
            <v>0</v>
          </cell>
          <cell r="H1810">
            <v>0</v>
          </cell>
          <cell r="I1810">
            <v>5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  <cell r="AF1810">
            <v>0</v>
          </cell>
          <cell r="AG1810" t="str">
            <v/>
          </cell>
          <cell r="AH1810" t="str">
            <v/>
          </cell>
          <cell r="AI1810" t="str">
            <v/>
          </cell>
          <cell r="AJ1810" t="str">
            <v/>
          </cell>
          <cell r="AK1810" t="str">
            <v>0.195907</v>
          </cell>
          <cell r="AL1810" t="str">
            <v>0</v>
          </cell>
          <cell r="AM1810" t="str">
            <v>Q</v>
          </cell>
          <cell r="AN1810" t="str">
            <v>M0</v>
          </cell>
          <cell r="AO1810" t="str">
            <v>Active(Model)</v>
          </cell>
          <cell r="AP1810" t="str">
            <v/>
          </cell>
          <cell r="AQ1810" t="str">
            <v/>
          </cell>
          <cell r="AR1810" t="str">
            <v>Y</v>
          </cell>
          <cell r="AS1810" t="str">
            <v/>
          </cell>
          <cell r="AT1810" t="str">
            <v>AC</v>
          </cell>
          <cell r="AU1810" t="str">
            <v>Airconditioner</v>
          </cell>
          <cell r="AV1810" t="str">
            <v>ACFS</v>
          </cell>
          <cell r="AW1810" t="str">
            <v>Fixed Single CAC</v>
          </cell>
          <cell r="AX1810" t="str">
            <v>ACFSCC</v>
          </cell>
          <cell r="AY1810" t="str">
            <v>Ceiling Cassette</v>
          </cell>
          <cell r="AZ1810" t="str">
            <v>ACFSCCCX</v>
          </cell>
          <cell r="BA1810" t="str">
            <v>Cassette_I/D_Inverter_C/O</v>
          </cell>
        </row>
        <row r="1811">
          <cell r="E1811" t="str">
            <v>ZTNQ30GNLA1.ENWHEVH</v>
          </cell>
          <cell r="F1811">
            <v>2</v>
          </cell>
          <cell r="G1811">
            <v>0</v>
          </cell>
          <cell r="H1811">
            <v>0</v>
          </cell>
          <cell r="I1811">
            <v>9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0</v>
          </cell>
          <cell r="AD1811">
            <v>0</v>
          </cell>
          <cell r="AE1811">
            <v>0</v>
          </cell>
          <cell r="AF1811">
            <v>0</v>
          </cell>
          <cell r="AG1811" t="str">
            <v/>
          </cell>
          <cell r="AH1811" t="str">
            <v/>
          </cell>
          <cell r="AI1811" t="str">
            <v/>
          </cell>
          <cell r="AJ1811" t="str">
            <v/>
          </cell>
          <cell r="AK1811" t="str">
            <v>0.268861</v>
          </cell>
          <cell r="AL1811" t="str">
            <v>0</v>
          </cell>
          <cell r="AM1811" t="str">
            <v>Q</v>
          </cell>
          <cell r="AN1811" t="str">
            <v>M0</v>
          </cell>
          <cell r="AO1811" t="str">
            <v>Active(Model)</v>
          </cell>
          <cell r="AP1811" t="str">
            <v/>
          </cell>
          <cell r="AQ1811" t="str">
            <v/>
          </cell>
          <cell r="AR1811" t="str">
            <v>Y</v>
          </cell>
          <cell r="AS1811" t="str">
            <v/>
          </cell>
          <cell r="AT1811" t="str">
            <v>AC</v>
          </cell>
          <cell r="AU1811" t="str">
            <v>Airconditioner</v>
          </cell>
          <cell r="AV1811" t="str">
            <v>ACFS</v>
          </cell>
          <cell r="AW1811" t="str">
            <v>Fixed Single CAC</v>
          </cell>
          <cell r="AX1811" t="str">
            <v>ACFSCC</v>
          </cell>
          <cell r="AY1811" t="str">
            <v>Ceiling Cassette</v>
          </cell>
          <cell r="AZ1811" t="str">
            <v>ACFSCCCX</v>
          </cell>
          <cell r="BA1811" t="str">
            <v>Cassette_I/D_Inverter_C/O</v>
          </cell>
        </row>
        <row r="1812">
          <cell r="E1812" t="str">
            <v>ZTNQ36GNLA1.ENWHEVH</v>
          </cell>
          <cell r="F1812">
            <v>13</v>
          </cell>
          <cell r="G1812">
            <v>0</v>
          </cell>
          <cell r="H1812">
            <v>0</v>
          </cell>
          <cell r="I1812">
            <v>21</v>
          </cell>
          <cell r="J1812">
            <v>0</v>
          </cell>
          <cell r="K1812">
            <v>10</v>
          </cell>
          <cell r="L1812">
            <v>5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  <cell r="AF1812">
            <v>0</v>
          </cell>
          <cell r="AG1812" t="str">
            <v/>
          </cell>
          <cell r="AH1812" t="str">
            <v/>
          </cell>
          <cell r="AI1812" t="str">
            <v/>
          </cell>
          <cell r="AJ1812" t="str">
            <v/>
          </cell>
          <cell r="AK1812" t="str">
            <v>0.268861</v>
          </cell>
          <cell r="AL1812" t="str">
            <v>0</v>
          </cell>
          <cell r="AM1812" t="str">
            <v>Q</v>
          </cell>
          <cell r="AN1812" t="str">
            <v>M0</v>
          </cell>
          <cell r="AO1812" t="str">
            <v>Active(Model)</v>
          </cell>
          <cell r="AP1812" t="str">
            <v/>
          </cell>
          <cell r="AQ1812" t="str">
            <v/>
          </cell>
          <cell r="AR1812" t="str">
            <v>Y</v>
          </cell>
          <cell r="AS1812" t="str">
            <v/>
          </cell>
          <cell r="AT1812" t="str">
            <v>AC</v>
          </cell>
          <cell r="AU1812" t="str">
            <v>Airconditioner</v>
          </cell>
          <cell r="AV1812" t="str">
            <v>ACFS</v>
          </cell>
          <cell r="AW1812" t="str">
            <v>Fixed Single CAC</v>
          </cell>
          <cell r="AX1812" t="str">
            <v>ACFSCC</v>
          </cell>
          <cell r="AY1812" t="str">
            <v>Ceiling Cassette</v>
          </cell>
          <cell r="AZ1812" t="str">
            <v>ACFSCCCX</v>
          </cell>
          <cell r="BA1812" t="str">
            <v>Cassette_I/D_Inverter_C/O</v>
          </cell>
        </row>
        <row r="1813">
          <cell r="E1813" t="str">
            <v>ZTNQ48GMLA1.ENWHEVH</v>
          </cell>
          <cell r="F1813">
            <v>1</v>
          </cell>
          <cell r="G1813">
            <v>0</v>
          </cell>
          <cell r="H1813">
            <v>0</v>
          </cell>
          <cell r="I1813">
            <v>28</v>
          </cell>
          <cell r="J1813">
            <v>0</v>
          </cell>
          <cell r="K1813">
            <v>5</v>
          </cell>
          <cell r="L1813">
            <v>23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0</v>
          </cell>
          <cell r="AF1813">
            <v>0</v>
          </cell>
          <cell r="AG1813" t="str">
            <v/>
          </cell>
          <cell r="AH1813" t="str">
            <v/>
          </cell>
          <cell r="AI1813" t="str">
            <v/>
          </cell>
          <cell r="AJ1813" t="str">
            <v/>
          </cell>
          <cell r="AK1813" t="str">
            <v>0.304371</v>
          </cell>
          <cell r="AL1813" t="str">
            <v>0</v>
          </cell>
          <cell r="AM1813" t="str">
            <v>Q</v>
          </cell>
          <cell r="AN1813" t="str">
            <v>M0</v>
          </cell>
          <cell r="AO1813" t="str">
            <v>Active(Model)</v>
          </cell>
          <cell r="AP1813" t="str">
            <v/>
          </cell>
          <cell r="AQ1813" t="str">
            <v/>
          </cell>
          <cell r="AR1813" t="str">
            <v>Y</v>
          </cell>
          <cell r="AS1813" t="str">
            <v/>
          </cell>
          <cell r="AT1813" t="str">
            <v>AC</v>
          </cell>
          <cell r="AU1813" t="str">
            <v>Airconditioner</v>
          </cell>
          <cell r="AV1813" t="str">
            <v>ACFS</v>
          </cell>
          <cell r="AW1813" t="str">
            <v>Fixed Single CAC</v>
          </cell>
          <cell r="AX1813" t="str">
            <v>ACFSCC</v>
          </cell>
          <cell r="AY1813" t="str">
            <v>Ceiling Cassette</v>
          </cell>
          <cell r="AZ1813" t="str">
            <v>ACFSCCCX</v>
          </cell>
          <cell r="BA1813" t="str">
            <v>Cassette_I/D_Inverter_C/O</v>
          </cell>
        </row>
        <row r="1814">
          <cell r="E1814" t="str">
            <v>ZTNQ60GMLA1.ENWHEVH</v>
          </cell>
          <cell r="F1814">
            <v>4</v>
          </cell>
          <cell r="G1814">
            <v>0</v>
          </cell>
          <cell r="H1814">
            <v>0</v>
          </cell>
          <cell r="I1814">
            <v>5</v>
          </cell>
          <cell r="J1814">
            <v>0</v>
          </cell>
          <cell r="K1814">
            <v>3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0</v>
          </cell>
          <cell r="AF1814">
            <v>0</v>
          </cell>
          <cell r="AG1814" t="str">
            <v/>
          </cell>
          <cell r="AH1814" t="str">
            <v/>
          </cell>
          <cell r="AI1814" t="str">
            <v/>
          </cell>
          <cell r="AJ1814" t="str">
            <v/>
          </cell>
          <cell r="AK1814" t="str">
            <v>0.304371</v>
          </cell>
          <cell r="AL1814" t="str">
            <v>0</v>
          </cell>
          <cell r="AM1814" t="str">
            <v>Q</v>
          </cell>
          <cell r="AN1814" t="str">
            <v>M0</v>
          </cell>
          <cell r="AO1814" t="str">
            <v>Active(Model)</v>
          </cell>
          <cell r="AP1814" t="str">
            <v/>
          </cell>
          <cell r="AQ1814" t="str">
            <v/>
          </cell>
          <cell r="AR1814" t="str">
            <v>Y</v>
          </cell>
          <cell r="AS1814" t="str">
            <v/>
          </cell>
          <cell r="AT1814" t="str">
            <v>AC</v>
          </cell>
          <cell r="AU1814" t="str">
            <v>Airconditioner</v>
          </cell>
          <cell r="AV1814" t="str">
            <v>ACFS</v>
          </cell>
          <cell r="AW1814" t="str">
            <v>Fixed Single CAC</v>
          </cell>
          <cell r="AX1814" t="str">
            <v>ACFSCC</v>
          </cell>
          <cell r="AY1814" t="str">
            <v>Ceiling Cassette</v>
          </cell>
          <cell r="AZ1814" t="str">
            <v>ACFSCCCX</v>
          </cell>
          <cell r="BA1814" t="str">
            <v>Cassette_I/D_Inverter_C/O</v>
          </cell>
        </row>
        <row r="1815">
          <cell r="E1815" t="str">
            <v>ZUAA1.EWGHASA</v>
          </cell>
          <cell r="F1815">
            <v>2</v>
          </cell>
          <cell r="G1815">
            <v>0</v>
          </cell>
          <cell r="H1815">
            <v>0</v>
          </cell>
          <cell r="I1815">
            <v>2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0</v>
          </cell>
          <cell r="AF1815">
            <v>0</v>
          </cell>
          <cell r="AG1815" t="str">
            <v/>
          </cell>
          <cell r="AH1815" t="str">
            <v/>
          </cell>
          <cell r="AI1815" t="str">
            <v/>
          </cell>
          <cell r="AJ1815" t="str">
            <v/>
          </cell>
          <cell r="AK1815" t="str">
            <v>0.143696</v>
          </cell>
          <cell r="AL1815" t="str">
            <v>0</v>
          </cell>
          <cell r="AM1815" t="str">
            <v>Q</v>
          </cell>
          <cell r="AN1815" t="str">
            <v>M0</v>
          </cell>
          <cell r="AO1815" t="str">
            <v>Active(Model)</v>
          </cell>
          <cell r="AP1815" t="str">
            <v/>
          </cell>
          <cell r="AQ1815" t="str">
            <v/>
          </cell>
          <cell r="AR1815" t="str">
            <v>Y</v>
          </cell>
          <cell r="AS1815" t="str">
            <v/>
          </cell>
          <cell r="AT1815" t="str">
            <v>AC</v>
          </cell>
          <cell r="AU1815" t="str">
            <v>Airconditioner</v>
          </cell>
          <cell r="AV1815" t="str">
            <v>ACFS</v>
          </cell>
          <cell r="AW1815" t="str">
            <v>Fixed Single CAC</v>
          </cell>
          <cell r="AX1815" t="str">
            <v>ACFSCU</v>
          </cell>
          <cell r="AY1815" t="str">
            <v>Universal_O/D</v>
          </cell>
          <cell r="AZ1815" t="str">
            <v>ACFSCUCO</v>
          </cell>
          <cell r="BA1815" t="str">
            <v>Universal O/D_Inverter_C/O</v>
          </cell>
        </row>
        <row r="1816">
          <cell r="E1816" t="str">
            <v>ZUAD1.EWGHASA</v>
          </cell>
          <cell r="F1816">
            <v>19</v>
          </cell>
          <cell r="G1816">
            <v>0</v>
          </cell>
          <cell r="H1816">
            <v>0</v>
          </cell>
          <cell r="I1816">
            <v>19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 t="str">
            <v/>
          </cell>
          <cell r="AH1816" t="str">
            <v/>
          </cell>
          <cell r="AI1816" t="str">
            <v/>
          </cell>
          <cell r="AJ1816" t="str">
            <v/>
          </cell>
          <cell r="AK1816" t="str">
            <v>0.450706</v>
          </cell>
          <cell r="AL1816" t="str">
            <v>0</v>
          </cell>
          <cell r="AM1816" t="str">
            <v>Q</v>
          </cell>
          <cell r="AN1816" t="str">
            <v>M0</v>
          </cell>
          <cell r="AO1816" t="str">
            <v>Active(Model)</v>
          </cell>
          <cell r="AP1816" t="str">
            <v/>
          </cell>
          <cell r="AQ1816" t="str">
            <v/>
          </cell>
          <cell r="AR1816" t="str">
            <v>Y</v>
          </cell>
          <cell r="AS1816" t="str">
            <v/>
          </cell>
          <cell r="AT1816" t="str">
            <v>AC</v>
          </cell>
          <cell r="AU1816" t="str">
            <v>Airconditioner</v>
          </cell>
          <cell r="AV1816" t="str">
            <v>ACFS</v>
          </cell>
          <cell r="AW1816" t="str">
            <v>Fixed Single CAC</v>
          </cell>
          <cell r="AX1816" t="str">
            <v>ACFSCU</v>
          </cell>
          <cell r="AY1816" t="str">
            <v>Universal_O/D</v>
          </cell>
          <cell r="AZ1816" t="str">
            <v>ACFSCUCO</v>
          </cell>
          <cell r="BA1816" t="str">
            <v>Universal O/D_Inverter_C/O</v>
          </cell>
        </row>
        <row r="1817">
          <cell r="E1817" t="str">
            <v>ZUUQ09GV1.EWGHEVH</v>
          </cell>
          <cell r="F1817">
            <v>22</v>
          </cell>
          <cell r="G1817">
            <v>0</v>
          </cell>
          <cell r="H1817">
            <v>0</v>
          </cell>
          <cell r="I1817">
            <v>39</v>
          </cell>
          <cell r="J1817">
            <v>0</v>
          </cell>
          <cell r="K1817">
            <v>0</v>
          </cell>
          <cell r="L1817">
            <v>15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0</v>
          </cell>
          <cell r="AF1817">
            <v>0</v>
          </cell>
          <cell r="AG1817" t="str">
            <v/>
          </cell>
          <cell r="AH1817" t="str">
            <v/>
          </cell>
          <cell r="AI1817" t="str">
            <v/>
          </cell>
          <cell r="AJ1817" t="str">
            <v/>
          </cell>
          <cell r="AK1817" t="str">
            <v>0.143967</v>
          </cell>
          <cell r="AL1817" t="str">
            <v>0</v>
          </cell>
          <cell r="AM1817" t="str">
            <v>Q</v>
          </cell>
          <cell r="AN1817" t="str">
            <v>M0</v>
          </cell>
          <cell r="AO1817" t="str">
            <v>Active(Model)</v>
          </cell>
          <cell r="AP1817" t="str">
            <v/>
          </cell>
          <cell r="AQ1817" t="str">
            <v/>
          </cell>
          <cell r="AR1817" t="str">
            <v>Y</v>
          </cell>
          <cell r="AS1817" t="str">
            <v/>
          </cell>
          <cell r="AT1817" t="str">
            <v>AC</v>
          </cell>
          <cell r="AU1817" t="str">
            <v>Airconditioner</v>
          </cell>
          <cell r="AV1817" t="str">
            <v>ACFS</v>
          </cell>
          <cell r="AW1817" t="str">
            <v>Fixed Single CAC</v>
          </cell>
          <cell r="AX1817" t="str">
            <v>ACFSCU</v>
          </cell>
          <cell r="AY1817" t="str">
            <v>Universal_O/D</v>
          </cell>
          <cell r="AZ1817" t="str">
            <v>ACFSCUCO</v>
          </cell>
          <cell r="BA1817" t="str">
            <v>Universal O/D_Inverter_C/O</v>
          </cell>
        </row>
        <row r="1818">
          <cell r="E1818" t="str">
            <v>ZUUQ12GV1.EWGHEVH</v>
          </cell>
          <cell r="F1818">
            <v>3</v>
          </cell>
          <cell r="G1818">
            <v>0</v>
          </cell>
          <cell r="H1818">
            <v>0</v>
          </cell>
          <cell r="I1818">
            <v>13</v>
          </cell>
          <cell r="J1818">
            <v>0</v>
          </cell>
          <cell r="K1818">
            <v>10</v>
          </cell>
          <cell r="L1818">
            <v>10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  <cell r="AF1818">
            <v>0</v>
          </cell>
          <cell r="AG1818" t="str">
            <v/>
          </cell>
          <cell r="AH1818" t="str">
            <v/>
          </cell>
          <cell r="AI1818" t="str">
            <v/>
          </cell>
          <cell r="AJ1818" t="str">
            <v/>
          </cell>
          <cell r="AK1818" t="str">
            <v>0.143967</v>
          </cell>
          <cell r="AL1818" t="str">
            <v>0</v>
          </cell>
          <cell r="AM1818" t="str">
            <v>Q</v>
          </cell>
          <cell r="AN1818" t="str">
            <v>M0</v>
          </cell>
          <cell r="AO1818" t="str">
            <v>Active(Model)</v>
          </cell>
          <cell r="AP1818" t="str">
            <v/>
          </cell>
          <cell r="AQ1818" t="str">
            <v/>
          </cell>
          <cell r="AR1818" t="str">
            <v>Y</v>
          </cell>
          <cell r="AS1818" t="str">
            <v/>
          </cell>
          <cell r="AT1818" t="str">
            <v>AC</v>
          </cell>
          <cell r="AU1818" t="str">
            <v>Airconditioner</v>
          </cell>
          <cell r="AV1818" t="str">
            <v>ACFS</v>
          </cell>
          <cell r="AW1818" t="str">
            <v>Fixed Single CAC</v>
          </cell>
          <cell r="AX1818" t="str">
            <v>ACFSCU</v>
          </cell>
          <cell r="AY1818" t="str">
            <v>Universal_O/D</v>
          </cell>
          <cell r="AZ1818" t="str">
            <v>ACFSCUCO</v>
          </cell>
          <cell r="BA1818" t="str">
            <v>Universal O/D_Inverter_C/O</v>
          </cell>
        </row>
        <row r="1819">
          <cell r="E1819" t="str">
            <v>ZUUQ18GV1.EWGHEVH</v>
          </cell>
          <cell r="F1819">
            <v>0</v>
          </cell>
          <cell r="G1819">
            <v>0</v>
          </cell>
          <cell r="H1819">
            <v>0</v>
          </cell>
          <cell r="I1819">
            <v>15</v>
          </cell>
          <cell r="J1819">
            <v>0</v>
          </cell>
          <cell r="K1819">
            <v>10</v>
          </cell>
          <cell r="L1819">
            <v>10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  <cell r="AF1819">
            <v>0</v>
          </cell>
          <cell r="AG1819" t="str">
            <v/>
          </cell>
          <cell r="AH1819" t="str">
            <v/>
          </cell>
          <cell r="AI1819" t="str">
            <v/>
          </cell>
          <cell r="AJ1819" t="str">
            <v/>
          </cell>
          <cell r="AK1819" t="str">
            <v>0.212597</v>
          </cell>
          <cell r="AL1819" t="str">
            <v>0</v>
          </cell>
          <cell r="AM1819" t="str">
            <v>Q</v>
          </cell>
          <cell r="AN1819" t="str">
            <v>M0</v>
          </cell>
          <cell r="AO1819" t="str">
            <v>Active(Model)</v>
          </cell>
          <cell r="AP1819" t="str">
            <v/>
          </cell>
          <cell r="AQ1819" t="str">
            <v/>
          </cell>
          <cell r="AR1819" t="str">
            <v>Y</v>
          </cell>
          <cell r="AS1819" t="str">
            <v/>
          </cell>
          <cell r="AT1819" t="str">
            <v>AC</v>
          </cell>
          <cell r="AU1819" t="str">
            <v>Airconditioner</v>
          </cell>
          <cell r="AV1819" t="str">
            <v>ACFS</v>
          </cell>
          <cell r="AW1819" t="str">
            <v>Fixed Single CAC</v>
          </cell>
          <cell r="AX1819" t="str">
            <v>ACFSCU</v>
          </cell>
          <cell r="AY1819" t="str">
            <v>Universal_O/D</v>
          </cell>
          <cell r="AZ1819" t="str">
            <v>ACFSCUCO</v>
          </cell>
          <cell r="BA1819" t="str">
            <v>Universal O/D_Inverter_C/O</v>
          </cell>
        </row>
        <row r="1820">
          <cell r="E1820" t="str">
            <v>ZUUQ24GV1.EWGHEVH</v>
          </cell>
          <cell r="F1820">
            <v>149</v>
          </cell>
          <cell r="G1820">
            <v>0</v>
          </cell>
          <cell r="H1820">
            <v>0</v>
          </cell>
          <cell r="I1820">
            <v>166</v>
          </cell>
          <cell r="J1820">
            <v>0</v>
          </cell>
          <cell r="K1820">
            <v>0</v>
          </cell>
          <cell r="L1820">
            <v>12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 t="str">
            <v/>
          </cell>
          <cell r="AH1820" t="str">
            <v/>
          </cell>
          <cell r="AI1820" t="str">
            <v/>
          </cell>
          <cell r="AJ1820" t="str">
            <v/>
          </cell>
          <cell r="AK1820" t="str">
            <v>0.335972</v>
          </cell>
          <cell r="AL1820" t="str">
            <v>0</v>
          </cell>
          <cell r="AM1820" t="str">
            <v>Q</v>
          </cell>
          <cell r="AN1820" t="str">
            <v>M0</v>
          </cell>
          <cell r="AO1820" t="str">
            <v>Active(Model)</v>
          </cell>
          <cell r="AP1820" t="str">
            <v/>
          </cell>
          <cell r="AQ1820" t="str">
            <v/>
          </cell>
          <cell r="AR1820" t="str">
            <v>Y</v>
          </cell>
          <cell r="AS1820" t="str">
            <v/>
          </cell>
          <cell r="AT1820" t="str">
            <v>AC</v>
          </cell>
          <cell r="AU1820" t="str">
            <v>Airconditioner</v>
          </cell>
          <cell r="AV1820" t="str">
            <v>ACFS</v>
          </cell>
          <cell r="AW1820" t="str">
            <v>Fixed Single CAC</v>
          </cell>
          <cell r="AX1820" t="str">
            <v>ACFSCU</v>
          </cell>
          <cell r="AY1820" t="str">
            <v>Universal_O/D</v>
          </cell>
          <cell r="AZ1820" t="str">
            <v>ACFSCUCO</v>
          </cell>
          <cell r="BA1820" t="str">
            <v>Universal O/D_Inverter_C/O</v>
          </cell>
        </row>
        <row r="1821">
          <cell r="E1821" t="str">
            <v>ZUUQ30GV1.EWGHEVH</v>
          </cell>
          <cell r="F1821">
            <v>0</v>
          </cell>
          <cell r="G1821">
            <v>0</v>
          </cell>
          <cell r="H1821">
            <v>0</v>
          </cell>
          <cell r="I1821">
            <v>9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0</v>
          </cell>
          <cell r="AG1821" t="str">
            <v/>
          </cell>
          <cell r="AH1821" t="str">
            <v/>
          </cell>
          <cell r="AI1821" t="str">
            <v/>
          </cell>
          <cell r="AJ1821" t="str">
            <v/>
          </cell>
          <cell r="AK1821" t="str">
            <v>0.335972</v>
          </cell>
          <cell r="AL1821" t="str">
            <v>0</v>
          </cell>
          <cell r="AM1821" t="str">
            <v>Q</v>
          </cell>
          <cell r="AN1821" t="str">
            <v>M0</v>
          </cell>
          <cell r="AO1821" t="str">
            <v>Active(Model)</v>
          </cell>
          <cell r="AP1821" t="str">
            <v/>
          </cell>
          <cell r="AQ1821" t="str">
            <v/>
          </cell>
          <cell r="AR1821" t="str">
            <v>Y</v>
          </cell>
          <cell r="AS1821" t="str">
            <v/>
          </cell>
          <cell r="AT1821" t="str">
            <v>AC</v>
          </cell>
          <cell r="AU1821" t="str">
            <v>Airconditioner</v>
          </cell>
          <cell r="AV1821" t="str">
            <v>ACFS</v>
          </cell>
          <cell r="AW1821" t="str">
            <v>Fixed Single CAC</v>
          </cell>
          <cell r="AX1821" t="str">
            <v>ACFSCU</v>
          </cell>
          <cell r="AY1821" t="str">
            <v>Universal_O/D</v>
          </cell>
          <cell r="AZ1821" t="str">
            <v>ACFSCUCO</v>
          </cell>
          <cell r="BA1821" t="str">
            <v>Universal O/D_Inverter_C/O</v>
          </cell>
        </row>
        <row r="1822">
          <cell r="E1822" t="str">
            <v>ZUUQ36GV1.EWGHEVH</v>
          </cell>
          <cell r="F1822">
            <v>12</v>
          </cell>
          <cell r="G1822">
            <v>0</v>
          </cell>
          <cell r="H1822">
            <v>0</v>
          </cell>
          <cell r="I1822">
            <v>14</v>
          </cell>
          <cell r="J1822">
            <v>0</v>
          </cell>
          <cell r="K1822">
            <v>10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0</v>
          </cell>
          <cell r="AF1822">
            <v>0</v>
          </cell>
          <cell r="AG1822" t="str">
            <v/>
          </cell>
          <cell r="AH1822" t="str">
            <v/>
          </cell>
          <cell r="AI1822" t="str">
            <v/>
          </cell>
          <cell r="AJ1822" t="str">
            <v/>
          </cell>
          <cell r="AK1822" t="str">
            <v>0.482446</v>
          </cell>
          <cell r="AL1822" t="str">
            <v>0</v>
          </cell>
          <cell r="AM1822" t="str">
            <v>Q</v>
          </cell>
          <cell r="AN1822" t="str">
            <v>M0</v>
          </cell>
          <cell r="AO1822" t="str">
            <v>Active(Model)</v>
          </cell>
          <cell r="AP1822" t="str">
            <v/>
          </cell>
          <cell r="AQ1822" t="str">
            <v/>
          </cell>
          <cell r="AR1822" t="str">
            <v>Y</v>
          </cell>
          <cell r="AS1822" t="str">
            <v/>
          </cell>
          <cell r="AT1822" t="str">
            <v>AC</v>
          </cell>
          <cell r="AU1822" t="str">
            <v>Airconditioner</v>
          </cell>
          <cell r="AV1822" t="str">
            <v>ACFS</v>
          </cell>
          <cell r="AW1822" t="str">
            <v>Fixed Single CAC</v>
          </cell>
          <cell r="AX1822" t="str">
            <v>ACFSCU</v>
          </cell>
          <cell r="AY1822" t="str">
            <v>Universal_O/D</v>
          </cell>
          <cell r="AZ1822" t="str">
            <v>ACFSCUCO</v>
          </cell>
          <cell r="BA1822" t="str">
            <v>Universal O/D_Inverter_C/O</v>
          </cell>
        </row>
        <row r="1823">
          <cell r="E1823" t="str">
            <v>ZUUQ36LV1.EWGHEVH</v>
          </cell>
          <cell r="F1823">
            <v>0</v>
          </cell>
          <cell r="G1823">
            <v>0</v>
          </cell>
          <cell r="H1823">
            <v>0</v>
          </cell>
          <cell r="I1823">
            <v>6</v>
          </cell>
          <cell r="J1823">
            <v>0</v>
          </cell>
          <cell r="K1823">
            <v>9</v>
          </cell>
          <cell r="L1823">
            <v>4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  <cell r="AF1823">
            <v>0</v>
          </cell>
          <cell r="AG1823" t="str">
            <v/>
          </cell>
          <cell r="AH1823" t="str">
            <v/>
          </cell>
          <cell r="AI1823" t="str">
            <v/>
          </cell>
          <cell r="AJ1823" t="str">
            <v/>
          </cell>
          <cell r="AK1823" t="str">
            <v>0.482446</v>
          </cell>
          <cell r="AL1823" t="str">
            <v>0</v>
          </cell>
          <cell r="AM1823" t="str">
            <v>Q</v>
          </cell>
          <cell r="AN1823" t="str">
            <v>M0</v>
          </cell>
          <cell r="AO1823" t="str">
            <v>Active(Model)</v>
          </cell>
          <cell r="AP1823" t="str">
            <v/>
          </cell>
          <cell r="AQ1823" t="str">
            <v/>
          </cell>
          <cell r="AR1823" t="str">
            <v>Y</v>
          </cell>
          <cell r="AS1823" t="str">
            <v/>
          </cell>
          <cell r="AT1823" t="str">
            <v>AC</v>
          </cell>
          <cell r="AU1823" t="str">
            <v>Airconditioner</v>
          </cell>
          <cell r="AV1823" t="str">
            <v>ACFS</v>
          </cell>
          <cell r="AW1823" t="str">
            <v>Fixed Single CAC</v>
          </cell>
          <cell r="AX1823" t="str">
            <v>ACFSCU</v>
          </cell>
          <cell r="AY1823" t="str">
            <v>Universal_O/D</v>
          </cell>
          <cell r="AZ1823" t="str">
            <v>ACFSCUCO</v>
          </cell>
          <cell r="BA1823" t="str">
            <v>Universal O/D_Inverter_C/O</v>
          </cell>
        </row>
        <row r="1824">
          <cell r="E1824" t="str">
            <v>ZUUQ48GV1.EWGHEVH</v>
          </cell>
          <cell r="F1824">
            <v>5</v>
          </cell>
          <cell r="G1824">
            <v>0</v>
          </cell>
          <cell r="H1824">
            <v>0</v>
          </cell>
          <cell r="I1824">
            <v>12</v>
          </cell>
          <cell r="J1824">
            <v>0</v>
          </cell>
          <cell r="K1824">
            <v>5</v>
          </cell>
          <cell r="L1824">
            <v>5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 t="str">
            <v/>
          </cell>
          <cell r="AH1824" t="str">
            <v/>
          </cell>
          <cell r="AI1824" t="str">
            <v/>
          </cell>
          <cell r="AJ1824" t="str">
            <v/>
          </cell>
          <cell r="AK1824" t="str">
            <v>0.482446</v>
          </cell>
          <cell r="AL1824" t="str">
            <v>0</v>
          </cell>
          <cell r="AM1824" t="str">
            <v>Q</v>
          </cell>
          <cell r="AN1824" t="str">
            <v>M0</v>
          </cell>
          <cell r="AO1824" t="str">
            <v>Active(Model)</v>
          </cell>
          <cell r="AP1824" t="str">
            <v/>
          </cell>
          <cell r="AQ1824" t="str">
            <v/>
          </cell>
          <cell r="AR1824" t="str">
            <v>Y</v>
          </cell>
          <cell r="AS1824" t="str">
            <v/>
          </cell>
          <cell r="AT1824" t="str">
            <v>AC</v>
          </cell>
          <cell r="AU1824" t="str">
            <v>Airconditioner</v>
          </cell>
          <cell r="AV1824" t="str">
            <v>ACFS</v>
          </cell>
          <cell r="AW1824" t="str">
            <v>Fixed Single CAC</v>
          </cell>
          <cell r="AX1824" t="str">
            <v>ACFSCU</v>
          </cell>
          <cell r="AY1824" t="str">
            <v>Universal_O/D</v>
          </cell>
          <cell r="AZ1824" t="str">
            <v>ACFSCUCO</v>
          </cell>
          <cell r="BA1824" t="str">
            <v>Universal O/D_Inverter_C/O</v>
          </cell>
        </row>
        <row r="1825">
          <cell r="E1825" t="str">
            <v>ZUUQ48LV1.EWGHEVH</v>
          </cell>
          <cell r="F1825">
            <v>0</v>
          </cell>
          <cell r="G1825">
            <v>0</v>
          </cell>
          <cell r="H1825">
            <v>0</v>
          </cell>
          <cell r="I1825">
            <v>37</v>
          </cell>
          <cell r="J1825">
            <v>0</v>
          </cell>
          <cell r="K1825">
            <v>27</v>
          </cell>
          <cell r="L1825">
            <v>37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 t="str">
            <v/>
          </cell>
          <cell r="AH1825" t="str">
            <v/>
          </cell>
          <cell r="AI1825" t="str">
            <v/>
          </cell>
          <cell r="AJ1825" t="str">
            <v/>
          </cell>
          <cell r="AK1825" t="str">
            <v>0.482446</v>
          </cell>
          <cell r="AL1825" t="str">
            <v>0</v>
          </cell>
          <cell r="AM1825" t="str">
            <v>Q</v>
          </cell>
          <cell r="AN1825" t="str">
            <v>M0</v>
          </cell>
          <cell r="AO1825" t="str">
            <v>Active(Model)</v>
          </cell>
          <cell r="AP1825" t="str">
            <v/>
          </cell>
          <cell r="AQ1825" t="str">
            <v/>
          </cell>
          <cell r="AR1825" t="str">
            <v>Y</v>
          </cell>
          <cell r="AS1825" t="str">
            <v/>
          </cell>
          <cell r="AT1825" t="str">
            <v>AC</v>
          </cell>
          <cell r="AU1825" t="str">
            <v>Airconditioner</v>
          </cell>
          <cell r="AV1825" t="str">
            <v>ACFS</v>
          </cell>
          <cell r="AW1825" t="str">
            <v>Fixed Single CAC</v>
          </cell>
          <cell r="AX1825" t="str">
            <v>ACFSCU</v>
          </cell>
          <cell r="AY1825" t="str">
            <v>Universal_O/D</v>
          </cell>
          <cell r="AZ1825" t="str">
            <v>ACFSCUCO</v>
          </cell>
          <cell r="BA1825" t="str">
            <v>Universal O/D_Inverter_C/O</v>
          </cell>
        </row>
        <row r="1826">
          <cell r="E1826" t="str">
            <v>ZUUQ60LV1.EWGHEVH</v>
          </cell>
          <cell r="F1826">
            <v>4</v>
          </cell>
          <cell r="G1826">
            <v>0</v>
          </cell>
          <cell r="H1826">
            <v>0</v>
          </cell>
          <cell r="I1826">
            <v>4</v>
          </cell>
          <cell r="J1826">
            <v>0</v>
          </cell>
          <cell r="K1826">
            <v>3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  <cell r="AF1826">
            <v>0</v>
          </cell>
          <cell r="AG1826" t="str">
            <v/>
          </cell>
          <cell r="AH1826" t="str">
            <v/>
          </cell>
          <cell r="AI1826" t="str">
            <v/>
          </cell>
          <cell r="AJ1826" t="str">
            <v/>
          </cell>
          <cell r="AK1826" t="str">
            <v>0.482446</v>
          </cell>
          <cell r="AL1826" t="str">
            <v>0</v>
          </cell>
          <cell r="AM1826" t="str">
            <v>Q</v>
          </cell>
          <cell r="AN1826" t="str">
            <v>M0</v>
          </cell>
          <cell r="AO1826" t="str">
            <v>Active(Model)</v>
          </cell>
          <cell r="AP1826" t="str">
            <v/>
          </cell>
          <cell r="AQ1826" t="str">
            <v/>
          </cell>
          <cell r="AR1826" t="str">
            <v>Y</v>
          </cell>
          <cell r="AS1826" t="str">
            <v/>
          </cell>
          <cell r="AT1826" t="str">
            <v>AC</v>
          </cell>
          <cell r="AU1826" t="str">
            <v>Airconditioner</v>
          </cell>
          <cell r="AV1826" t="str">
            <v>ACFS</v>
          </cell>
          <cell r="AW1826" t="str">
            <v>Fixed Single CAC</v>
          </cell>
          <cell r="AX1826" t="str">
            <v>ACFSCU</v>
          </cell>
          <cell r="AY1826" t="str">
            <v>Universal_O/D</v>
          </cell>
          <cell r="AZ1826" t="str">
            <v>ACFSCUCO</v>
          </cell>
          <cell r="BA1826" t="str">
            <v>Universal O/D_Inverter_C/O</v>
          </cell>
        </row>
        <row r="1827">
          <cell r="E1827" t="str">
            <v>100MRGB96BS.ATV</v>
          </cell>
          <cell r="F1827">
            <v>2</v>
          </cell>
          <cell r="G1827">
            <v>0</v>
          </cell>
          <cell r="H1827">
            <v>0</v>
          </cell>
          <cell r="I1827">
            <v>3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0</v>
          </cell>
          <cell r="AF1827">
            <v>0</v>
          </cell>
          <cell r="AG1827" t="str">
            <v>LCDPREPLUS</v>
          </cell>
          <cell r="AH1827" t="str">
            <v>LCD_Premium Plus</v>
          </cell>
          <cell r="AI1827" t="str">
            <v/>
          </cell>
          <cell r="AJ1827" t="str">
            <v/>
          </cell>
          <cell r="AK1827" t="str">
            <v>1.103463</v>
          </cell>
          <cell r="AL1827" t="str">
            <v>2</v>
          </cell>
          <cell r="AM1827" t="str">
            <v>Q</v>
          </cell>
          <cell r="AN1827" t="str">
            <v>M0</v>
          </cell>
          <cell r="AO1827" t="str">
            <v>Active(Model)</v>
          </cell>
          <cell r="AP1827" t="str">
            <v/>
          </cell>
          <cell r="AQ1827" t="str">
            <v/>
          </cell>
          <cell r="AR1827" t="str">
            <v>Y</v>
          </cell>
          <cell r="AS1827" t="str">
            <v/>
          </cell>
          <cell r="AT1827" t="str">
            <v>TV</v>
          </cell>
          <cell r="AU1827" t="str">
            <v>TV</v>
          </cell>
          <cell r="AV1827" t="str">
            <v>TVLE</v>
          </cell>
          <cell r="AW1827" t="str">
            <v>LED LCD TV</v>
          </cell>
          <cell r="AX1827" t="str">
            <v>TVLEA0</v>
          </cell>
          <cell r="AY1827" t="str">
            <v>LED LCD TV 100</v>
          </cell>
          <cell r="AZ1827" t="str">
            <v>TVLEA0NU</v>
          </cell>
          <cell r="BA1827" t="str">
            <v>LED LCD TV 100 (UD)</v>
          </cell>
        </row>
        <row r="1828">
          <cell r="E1828" t="str">
            <v>100QNED86BS.ATV</v>
          </cell>
          <cell r="F1828">
            <v>18</v>
          </cell>
          <cell r="G1828">
            <v>0</v>
          </cell>
          <cell r="H1828">
            <v>0</v>
          </cell>
          <cell r="I1828">
            <v>22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2</v>
          </cell>
          <cell r="O1828">
            <v>0</v>
          </cell>
          <cell r="P1828">
            <v>2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0</v>
          </cell>
          <cell r="AF1828">
            <v>0</v>
          </cell>
          <cell r="AG1828" t="str">
            <v>LCDPREPLUS</v>
          </cell>
          <cell r="AH1828" t="str">
            <v>LCD_Premium Plus</v>
          </cell>
          <cell r="AI1828" t="str">
            <v/>
          </cell>
          <cell r="AJ1828" t="str">
            <v/>
          </cell>
          <cell r="AK1828" t="str">
            <v>1.103463</v>
          </cell>
          <cell r="AL1828" t="str">
            <v>2</v>
          </cell>
          <cell r="AM1828" t="str">
            <v>Q</v>
          </cell>
          <cell r="AN1828" t="str">
            <v>M0</v>
          </cell>
          <cell r="AO1828" t="str">
            <v>Active(Model)</v>
          </cell>
          <cell r="AP1828" t="str">
            <v/>
          </cell>
          <cell r="AQ1828" t="str">
            <v/>
          </cell>
          <cell r="AR1828" t="str">
            <v>Y</v>
          </cell>
          <cell r="AS1828" t="str">
            <v/>
          </cell>
          <cell r="AT1828" t="str">
            <v>TV</v>
          </cell>
          <cell r="AU1828" t="str">
            <v>TV</v>
          </cell>
          <cell r="AV1828" t="str">
            <v>TVLE</v>
          </cell>
          <cell r="AW1828" t="str">
            <v>LED LCD TV</v>
          </cell>
          <cell r="AX1828" t="str">
            <v>TVLEA0</v>
          </cell>
          <cell r="AY1828" t="str">
            <v>LED LCD TV 100</v>
          </cell>
          <cell r="AZ1828" t="str">
            <v>TVLEA0NU</v>
          </cell>
          <cell r="BA1828" t="str">
            <v>LED LCD TV 100 (UD)</v>
          </cell>
        </row>
        <row r="1829">
          <cell r="E1829" t="str">
            <v>110UH5Q-H.ATVQ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  <cell r="AF1829">
            <v>0</v>
          </cell>
          <cell r="AG1829" t="str">
            <v/>
          </cell>
          <cell r="AH1829" t="str">
            <v/>
          </cell>
          <cell r="AI1829" t="str">
            <v/>
          </cell>
          <cell r="AJ1829" t="str">
            <v/>
          </cell>
          <cell r="AK1829" t="str">
            <v>1.191680</v>
          </cell>
          <cell r="AL1829" t="str">
            <v>2</v>
          </cell>
          <cell r="AM1829" t="str">
            <v>Q</v>
          </cell>
          <cell r="AN1829" t="str">
            <v>M0</v>
          </cell>
          <cell r="AO1829" t="str">
            <v>Active(Model)</v>
          </cell>
          <cell r="AP1829" t="str">
            <v/>
          </cell>
          <cell r="AQ1829" t="str">
            <v/>
          </cell>
          <cell r="AR1829" t="str">
            <v>Y</v>
          </cell>
          <cell r="AS1829" t="str">
            <v/>
          </cell>
          <cell r="AT1829" t="str">
            <v>CS</v>
          </cell>
          <cell r="AU1829" t="str">
            <v>Commercial Display_Signage</v>
          </cell>
          <cell r="AV1829" t="str">
            <v>CSME</v>
          </cell>
          <cell r="AW1829" t="str">
            <v>Commercial_LED LCD Monitor</v>
          </cell>
          <cell r="AX1829" t="str">
            <v>CSME11</v>
          </cell>
          <cell r="AY1829" t="str">
            <v>Commercial_LED LCD Monitor 110</v>
          </cell>
          <cell r="AZ1829" t="str">
            <v>CSME11NN</v>
          </cell>
          <cell r="BA1829" t="str">
            <v>Commercial_LED LCD Monitor 110 (MFT WIDE)</v>
          </cell>
        </row>
        <row r="1830">
          <cell r="E1830" t="str">
            <v>110UM5K-B.AAUQ</v>
          </cell>
          <cell r="F1830">
            <v>1</v>
          </cell>
          <cell r="G1830">
            <v>0</v>
          </cell>
          <cell r="H1830">
            <v>0</v>
          </cell>
          <cell r="I1830">
            <v>1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0</v>
          </cell>
          <cell r="AE1830">
            <v>0</v>
          </cell>
          <cell r="AF1830">
            <v>0</v>
          </cell>
          <cell r="AG1830" t="str">
            <v/>
          </cell>
          <cell r="AH1830" t="str">
            <v/>
          </cell>
          <cell r="AI1830" t="str">
            <v/>
          </cell>
          <cell r="AJ1830" t="str">
            <v/>
          </cell>
          <cell r="AK1830" t="str">
            <v>1.633615</v>
          </cell>
          <cell r="AL1830" t="str">
            <v>2</v>
          </cell>
          <cell r="AM1830" t="str">
            <v>Q</v>
          </cell>
          <cell r="AN1830" t="str">
            <v>M0</v>
          </cell>
          <cell r="AO1830" t="str">
            <v>Active(Model)</v>
          </cell>
          <cell r="AP1830" t="str">
            <v/>
          </cell>
          <cell r="AQ1830" t="str">
            <v/>
          </cell>
          <cell r="AR1830" t="str">
            <v>Y</v>
          </cell>
          <cell r="AS1830" t="str">
            <v/>
          </cell>
          <cell r="AT1830" t="str">
            <v>CS</v>
          </cell>
          <cell r="AU1830" t="str">
            <v>Commercial Display_Signage</v>
          </cell>
          <cell r="AV1830" t="str">
            <v>CSME</v>
          </cell>
          <cell r="AW1830" t="str">
            <v>Commercial_LED LCD Monitor</v>
          </cell>
          <cell r="AX1830" t="str">
            <v>CSME11</v>
          </cell>
          <cell r="AY1830" t="str">
            <v>Commercial_LED LCD Monitor 110</v>
          </cell>
          <cell r="AZ1830" t="str">
            <v>CSME11NN</v>
          </cell>
          <cell r="BA1830" t="str">
            <v>Commercial_LED LCD Monitor 110 (MFT WIDE)</v>
          </cell>
        </row>
        <row r="1831">
          <cell r="E1831" t="str">
            <v>14Z90U-G.AN55A5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35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0</v>
          </cell>
          <cell r="AF1831">
            <v>0</v>
          </cell>
          <cell r="AG1831" t="str">
            <v/>
          </cell>
          <cell r="AH1831" t="str">
            <v/>
          </cell>
          <cell r="AI1831" t="str">
            <v/>
          </cell>
          <cell r="AJ1831" t="str">
            <v/>
          </cell>
          <cell r="AK1831" t="str">
            <v>0.011018</v>
          </cell>
          <cell r="AL1831" t="str">
            <v>2</v>
          </cell>
          <cell r="AM1831" t="str">
            <v>Q</v>
          </cell>
          <cell r="AN1831" t="str">
            <v>M0</v>
          </cell>
          <cell r="AO1831" t="str">
            <v>Active(Model)</v>
          </cell>
          <cell r="AP1831" t="str">
            <v/>
          </cell>
          <cell r="AQ1831" t="str">
            <v/>
          </cell>
          <cell r="AR1831" t="str">
            <v>Y</v>
          </cell>
          <cell r="AS1831" t="str">
            <v/>
          </cell>
          <cell r="AT1831" t="str">
            <v>PC</v>
          </cell>
          <cell r="AU1831" t="str">
            <v>PC</v>
          </cell>
          <cell r="AV1831" t="str">
            <v>PCNT</v>
          </cell>
          <cell r="AW1831" t="str">
            <v>Notebook PC</v>
          </cell>
          <cell r="AX1831" t="str">
            <v>PCNTNN</v>
          </cell>
          <cell r="AY1831" t="str">
            <v>New Notebook</v>
          </cell>
          <cell r="AZ1831" t="str">
            <v>PCNTNNBC</v>
          </cell>
          <cell r="BA1831" t="str">
            <v>B2C</v>
          </cell>
        </row>
        <row r="1832">
          <cell r="E1832" t="str">
            <v>15U50U-G.AV55A5</v>
          </cell>
          <cell r="F1832">
            <v>8</v>
          </cell>
          <cell r="G1832">
            <v>0</v>
          </cell>
          <cell r="H1832">
            <v>0</v>
          </cell>
          <cell r="I1832">
            <v>11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1</v>
          </cell>
          <cell r="AF1832">
            <v>0</v>
          </cell>
          <cell r="AG1832" t="str">
            <v/>
          </cell>
          <cell r="AH1832" t="str">
            <v/>
          </cell>
          <cell r="AI1832" t="str">
            <v/>
          </cell>
          <cell r="AJ1832" t="str">
            <v/>
          </cell>
          <cell r="AK1832" t="str">
            <v>0.013140</v>
          </cell>
          <cell r="AL1832" t="str">
            <v>2</v>
          </cell>
          <cell r="AM1832" t="str">
            <v>Q</v>
          </cell>
          <cell r="AN1832" t="str">
            <v>M0</v>
          </cell>
          <cell r="AO1832" t="str">
            <v>Active(Model)</v>
          </cell>
          <cell r="AP1832" t="str">
            <v/>
          </cell>
          <cell r="AQ1832" t="str">
            <v/>
          </cell>
          <cell r="AR1832" t="str">
            <v>Y</v>
          </cell>
          <cell r="AS1832" t="str">
            <v/>
          </cell>
          <cell r="AT1832" t="str">
            <v>PC</v>
          </cell>
          <cell r="AU1832" t="str">
            <v>PC</v>
          </cell>
          <cell r="AV1832" t="str">
            <v>PCNT</v>
          </cell>
          <cell r="AW1832" t="str">
            <v>Notebook PC</v>
          </cell>
          <cell r="AX1832" t="str">
            <v>PCNTNN</v>
          </cell>
          <cell r="AY1832" t="str">
            <v>New Notebook</v>
          </cell>
          <cell r="AZ1832" t="str">
            <v>PCNTNNBC</v>
          </cell>
          <cell r="BA1832" t="str">
            <v>B2C</v>
          </cell>
        </row>
        <row r="1833">
          <cell r="E1833" t="str">
            <v>16Z90S-G.AH76A5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3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  <cell r="AF1833">
            <v>0</v>
          </cell>
          <cell r="AG1833" t="str">
            <v/>
          </cell>
          <cell r="AH1833" t="str">
            <v/>
          </cell>
          <cell r="AI1833" t="str">
            <v/>
          </cell>
          <cell r="AJ1833" t="str">
            <v/>
          </cell>
          <cell r="AK1833" t="str">
            <v>0.009458</v>
          </cell>
          <cell r="AL1833" t="str">
            <v>2</v>
          </cell>
          <cell r="AM1833" t="str">
            <v>Q</v>
          </cell>
          <cell r="AN1833" t="str">
            <v>M0</v>
          </cell>
          <cell r="AO1833" t="str">
            <v>Active(Model)</v>
          </cell>
          <cell r="AP1833" t="str">
            <v/>
          </cell>
          <cell r="AQ1833" t="str">
            <v/>
          </cell>
          <cell r="AR1833" t="str">
            <v>Y</v>
          </cell>
          <cell r="AS1833" t="str">
            <v/>
          </cell>
          <cell r="AT1833" t="str">
            <v>PC</v>
          </cell>
          <cell r="AU1833" t="str">
            <v>PC</v>
          </cell>
          <cell r="AV1833" t="str">
            <v>PCNT</v>
          </cell>
          <cell r="AW1833" t="str">
            <v>Notebook PC</v>
          </cell>
          <cell r="AX1833" t="str">
            <v>PCNTCN</v>
          </cell>
          <cell r="AY1833" t="str">
            <v>Notebook</v>
          </cell>
          <cell r="AZ1833" t="str">
            <v>PCNTCNQE</v>
          </cell>
          <cell r="BA1833" t="str">
            <v>Sugar 16(16Z90S)</v>
          </cell>
        </row>
        <row r="1834">
          <cell r="E1834" t="str">
            <v>16Z90U-G.AN55A5</v>
          </cell>
          <cell r="F1834">
            <v>28</v>
          </cell>
          <cell r="G1834">
            <v>0</v>
          </cell>
          <cell r="H1834">
            <v>0</v>
          </cell>
          <cell r="I1834">
            <v>30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  <cell r="AF1834">
            <v>0</v>
          </cell>
          <cell r="AG1834" t="str">
            <v/>
          </cell>
          <cell r="AH1834" t="str">
            <v/>
          </cell>
          <cell r="AI1834" t="str">
            <v/>
          </cell>
          <cell r="AJ1834" t="str">
            <v/>
          </cell>
          <cell r="AK1834" t="str">
            <v>0.009458</v>
          </cell>
          <cell r="AL1834" t="str">
            <v>2</v>
          </cell>
          <cell r="AM1834" t="str">
            <v>Q</v>
          </cell>
          <cell r="AN1834" t="str">
            <v>M0</v>
          </cell>
          <cell r="AO1834" t="str">
            <v>Active(Model)</v>
          </cell>
          <cell r="AP1834" t="str">
            <v/>
          </cell>
          <cell r="AQ1834" t="str">
            <v/>
          </cell>
          <cell r="AR1834" t="str">
            <v>Y</v>
          </cell>
          <cell r="AS1834" t="str">
            <v/>
          </cell>
          <cell r="AT1834" t="str">
            <v>PC</v>
          </cell>
          <cell r="AU1834" t="str">
            <v>PC</v>
          </cell>
          <cell r="AV1834" t="str">
            <v>PCNT</v>
          </cell>
          <cell r="AW1834" t="str">
            <v>Notebook PC</v>
          </cell>
          <cell r="AX1834" t="str">
            <v>PCNTNN</v>
          </cell>
          <cell r="AY1834" t="str">
            <v>New Notebook</v>
          </cell>
          <cell r="AZ1834" t="str">
            <v>PCNTNNBC</v>
          </cell>
          <cell r="BA1834" t="str">
            <v>B2C</v>
          </cell>
        </row>
        <row r="1835">
          <cell r="E1835" t="str">
            <v>16Z95U-G.AV85A5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1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  <cell r="AF1835">
            <v>0</v>
          </cell>
          <cell r="AG1835" t="str">
            <v/>
          </cell>
          <cell r="AH1835" t="str">
            <v/>
          </cell>
          <cell r="AI1835" t="str">
            <v/>
          </cell>
          <cell r="AJ1835" t="str">
            <v/>
          </cell>
          <cell r="AK1835" t="str">
            <v>0.009458</v>
          </cell>
          <cell r="AL1835" t="str">
            <v>2</v>
          </cell>
          <cell r="AM1835" t="str">
            <v>Q</v>
          </cell>
          <cell r="AN1835" t="str">
            <v>M0</v>
          </cell>
          <cell r="AO1835" t="str">
            <v>Active(Model)</v>
          </cell>
          <cell r="AP1835" t="str">
            <v/>
          </cell>
          <cell r="AQ1835" t="str">
            <v/>
          </cell>
          <cell r="AR1835" t="str">
            <v>Y</v>
          </cell>
          <cell r="AS1835" t="str">
            <v/>
          </cell>
          <cell r="AT1835" t="str">
            <v>PC</v>
          </cell>
          <cell r="AU1835" t="str">
            <v>PC</v>
          </cell>
          <cell r="AV1835" t="str">
            <v>PCNT</v>
          </cell>
          <cell r="AW1835" t="str">
            <v>Notebook PC</v>
          </cell>
          <cell r="AX1835" t="str">
            <v>PCNTNN</v>
          </cell>
          <cell r="AY1835" t="str">
            <v>New Notebook</v>
          </cell>
          <cell r="AZ1835" t="str">
            <v>PCNTNNBC</v>
          </cell>
          <cell r="BA1835" t="str">
            <v>B2C</v>
          </cell>
        </row>
        <row r="1836">
          <cell r="E1836" t="str">
            <v>17HK700G-WP.ATV</v>
          </cell>
          <cell r="F1836">
            <v>5</v>
          </cell>
          <cell r="G1836">
            <v>0</v>
          </cell>
          <cell r="H1836">
            <v>0</v>
          </cell>
          <cell r="I1836">
            <v>6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1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1</v>
          </cell>
          <cell r="AE1836">
            <v>0</v>
          </cell>
          <cell r="AF1836">
            <v>1</v>
          </cell>
          <cell r="AG1836" t="str">
            <v>MNTPREPLUS</v>
          </cell>
          <cell r="AH1836" t="str">
            <v>MNT_Premium_Plus</v>
          </cell>
          <cell r="AI1836" t="str">
            <v/>
          </cell>
          <cell r="AJ1836" t="str">
            <v/>
          </cell>
          <cell r="AK1836" t="str">
            <v>0.140117</v>
          </cell>
          <cell r="AL1836" t="str">
            <v>2</v>
          </cell>
          <cell r="AM1836" t="str">
            <v>Q</v>
          </cell>
          <cell r="AN1836" t="str">
            <v>M0</v>
          </cell>
          <cell r="AO1836" t="str">
            <v>Active(Model)</v>
          </cell>
          <cell r="AP1836" t="str">
            <v/>
          </cell>
          <cell r="AQ1836" t="str">
            <v/>
          </cell>
          <cell r="AR1836" t="str">
            <v>Y</v>
          </cell>
          <cell r="AS1836" t="str">
            <v/>
          </cell>
          <cell r="AT1836" t="str">
            <v>MN</v>
          </cell>
          <cell r="AU1836" t="str">
            <v>Monitor</v>
          </cell>
          <cell r="AV1836" t="str">
            <v>MNME</v>
          </cell>
          <cell r="AW1836" t="str">
            <v>Medical Equipment</v>
          </cell>
          <cell r="AX1836" t="str">
            <v>MNMEDX</v>
          </cell>
          <cell r="AY1836" t="str">
            <v>Digital X-ray Detector</v>
          </cell>
          <cell r="AZ1836" t="str">
            <v>MNMEDX24</v>
          </cell>
          <cell r="BA1836" t="str">
            <v>DXD 17x17</v>
          </cell>
        </row>
        <row r="1837">
          <cell r="E1837" t="str">
            <v>17HQ701G-BP.ATV</v>
          </cell>
          <cell r="F1837">
            <v>16</v>
          </cell>
          <cell r="G1837">
            <v>0</v>
          </cell>
          <cell r="H1837">
            <v>0</v>
          </cell>
          <cell r="I1837">
            <v>16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4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  <cell r="AF1837">
            <v>0</v>
          </cell>
          <cell r="AG1837" t="str">
            <v>MNTPREPLUS</v>
          </cell>
          <cell r="AH1837" t="str">
            <v>MNT_Premium_Plus</v>
          </cell>
          <cell r="AI1837" t="str">
            <v/>
          </cell>
          <cell r="AJ1837" t="str">
            <v/>
          </cell>
          <cell r="AK1837" t="str">
            <v>0.140117</v>
          </cell>
          <cell r="AL1837" t="str">
            <v>2</v>
          </cell>
          <cell r="AM1837" t="str">
            <v>Q</v>
          </cell>
          <cell r="AN1837" t="str">
            <v>M0</v>
          </cell>
          <cell r="AO1837" t="str">
            <v>Active(Model)</v>
          </cell>
          <cell r="AP1837" t="str">
            <v/>
          </cell>
          <cell r="AQ1837" t="str">
            <v/>
          </cell>
          <cell r="AR1837" t="str">
            <v>Y</v>
          </cell>
          <cell r="AS1837" t="str">
            <v/>
          </cell>
          <cell r="AT1837" t="str">
            <v>MN</v>
          </cell>
          <cell r="AU1837" t="str">
            <v>Monitor</v>
          </cell>
          <cell r="AV1837" t="str">
            <v>MNME</v>
          </cell>
          <cell r="AW1837" t="str">
            <v>Medical Equipment</v>
          </cell>
          <cell r="AX1837" t="str">
            <v>MNMEDX</v>
          </cell>
          <cell r="AY1837" t="str">
            <v>Digital X-ray Detector</v>
          </cell>
          <cell r="AZ1837" t="str">
            <v>MNMEDX24</v>
          </cell>
          <cell r="BA1837" t="str">
            <v>DXD 17x17</v>
          </cell>
        </row>
        <row r="1838">
          <cell r="E1838" t="str">
            <v>21HQ513D-S.ATV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 t="str">
            <v/>
          </cell>
          <cell r="AH1838" t="str">
            <v/>
          </cell>
          <cell r="AI1838" t="str">
            <v/>
          </cell>
          <cell r="AJ1838" t="str">
            <v/>
          </cell>
          <cell r="AK1838" t="str">
            <v>0.069131</v>
          </cell>
          <cell r="AL1838" t="str">
            <v>2</v>
          </cell>
          <cell r="AM1838" t="str">
            <v>Q</v>
          </cell>
          <cell r="AN1838" t="str">
            <v>M0</v>
          </cell>
          <cell r="AO1838" t="str">
            <v>Active(Model)</v>
          </cell>
          <cell r="AP1838" t="str">
            <v/>
          </cell>
          <cell r="AQ1838" t="str">
            <v/>
          </cell>
          <cell r="AR1838" t="str">
            <v>Y</v>
          </cell>
          <cell r="AS1838" t="str">
            <v/>
          </cell>
          <cell r="AT1838" t="str">
            <v>MN</v>
          </cell>
          <cell r="AU1838" t="str">
            <v>Monitor</v>
          </cell>
          <cell r="AV1838" t="str">
            <v>MNME</v>
          </cell>
          <cell r="AW1838" t="str">
            <v>Medical Equipment</v>
          </cell>
          <cell r="AX1838" t="str">
            <v>MNMEDD</v>
          </cell>
          <cell r="AY1838" t="str">
            <v>Diagnostic Display</v>
          </cell>
          <cell r="AZ1838" t="str">
            <v>MNMEDD21</v>
          </cell>
          <cell r="BA1838" t="str">
            <v>Diagnostic Display 21</v>
          </cell>
        </row>
        <row r="1839">
          <cell r="E1839" t="str">
            <v>22U401A-B.ATVQ</v>
          </cell>
          <cell r="F1839">
            <v>1132</v>
          </cell>
          <cell r="G1839">
            <v>0</v>
          </cell>
          <cell r="H1839">
            <v>0</v>
          </cell>
          <cell r="I1839">
            <v>1331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151</v>
          </cell>
          <cell r="AE1839">
            <v>0</v>
          </cell>
          <cell r="AF1839">
            <v>151</v>
          </cell>
          <cell r="AG1839" t="str">
            <v/>
          </cell>
          <cell r="AH1839" t="str">
            <v/>
          </cell>
          <cell r="AI1839" t="str">
            <v/>
          </cell>
          <cell r="AJ1839" t="str">
            <v/>
          </cell>
          <cell r="AK1839" t="str">
            <v>0.026855</v>
          </cell>
          <cell r="AL1839" t="str">
            <v>2</v>
          </cell>
          <cell r="AM1839" t="str">
            <v>Q</v>
          </cell>
          <cell r="AN1839" t="str">
            <v>M0</v>
          </cell>
          <cell r="AO1839" t="str">
            <v>Active(Model)</v>
          </cell>
          <cell r="AP1839" t="str">
            <v/>
          </cell>
          <cell r="AQ1839" t="str">
            <v/>
          </cell>
          <cell r="AR1839" t="str">
            <v>Y</v>
          </cell>
          <cell r="AS1839" t="str">
            <v/>
          </cell>
          <cell r="AT1839" t="str">
            <v>MN</v>
          </cell>
          <cell r="AU1839" t="str">
            <v>Monitor</v>
          </cell>
          <cell r="AV1839" t="str">
            <v>MNLC</v>
          </cell>
          <cell r="AW1839" t="str">
            <v>LCD Monitor</v>
          </cell>
          <cell r="AX1839" t="str">
            <v>MNLC22</v>
          </cell>
          <cell r="AY1839" t="str">
            <v>LCD Monitor 22</v>
          </cell>
          <cell r="AZ1839" t="str">
            <v>MNLC22NO</v>
          </cell>
          <cell r="BA1839" t="str">
            <v>LCD Monitor 22 (OS, Wide)</v>
          </cell>
        </row>
        <row r="1840">
          <cell r="E1840" t="str">
            <v>24BA400-B.ATV</v>
          </cell>
          <cell r="F1840">
            <v>0</v>
          </cell>
          <cell r="G1840">
            <v>0</v>
          </cell>
          <cell r="H1840">
            <v>0</v>
          </cell>
          <cell r="I1840">
            <v>1</v>
          </cell>
          <cell r="J1840">
            <v>1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1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  <cell r="AC1840">
            <v>0</v>
          </cell>
          <cell r="AD1840">
            <v>0</v>
          </cell>
          <cell r="AE1840">
            <v>3</v>
          </cell>
          <cell r="AF1840">
            <v>0</v>
          </cell>
          <cell r="AG1840" t="str">
            <v/>
          </cell>
          <cell r="AH1840" t="str">
            <v/>
          </cell>
          <cell r="AI1840" t="str">
            <v/>
          </cell>
          <cell r="AJ1840" t="str">
            <v/>
          </cell>
          <cell r="AK1840" t="str">
            <v>0.036836</v>
          </cell>
          <cell r="AL1840" t="str">
            <v>2</v>
          </cell>
          <cell r="AM1840" t="str">
            <v>Q</v>
          </cell>
          <cell r="AN1840" t="str">
            <v>M0</v>
          </cell>
          <cell r="AO1840" t="str">
            <v>Active(Model)</v>
          </cell>
          <cell r="AP1840" t="str">
            <v/>
          </cell>
          <cell r="AQ1840" t="str">
            <v/>
          </cell>
          <cell r="AR1840" t="str">
            <v>Y</v>
          </cell>
          <cell r="AS1840" t="str">
            <v/>
          </cell>
          <cell r="AT1840" t="str">
            <v>MN</v>
          </cell>
          <cell r="AU1840" t="str">
            <v>Monitor</v>
          </cell>
          <cell r="AV1840" t="str">
            <v>MNLC</v>
          </cell>
          <cell r="AW1840" t="str">
            <v>LCD Monitor</v>
          </cell>
          <cell r="AX1840" t="str">
            <v>MNLC24</v>
          </cell>
          <cell r="AY1840" t="str">
            <v>LCD Monitor 24</v>
          </cell>
          <cell r="AZ1840" t="str">
            <v>MNLC24BI</v>
          </cell>
          <cell r="BA1840" t="str">
            <v>LCD Monitor 24 (B2B Inhouse)</v>
          </cell>
        </row>
        <row r="1841">
          <cell r="E1841" t="str">
            <v>24G411A-B.ATV</v>
          </cell>
          <cell r="F1841">
            <v>5</v>
          </cell>
          <cell r="G1841">
            <v>0</v>
          </cell>
          <cell r="H1841">
            <v>0</v>
          </cell>
          <cell r="I1841">
            <v>7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  <cell r="AF1841">
            <v>0</v>
          </cell>
          <cell r="AG1841" t="str">
            <v/>
          </cell>
          <cell r="AH1841" t="str">
            <v/>
          </cell>
          <cell r="AI1841" t="str">
            <v/>
          </cell>
          <cell r="AJ1841" t="str">
            <v/>
          </cell>
          <cell r="AK1841" t="str">
            <v>0.031986</v>
          </cell>
          <cell r="AL1841" t="str">
            <v>2</v>
          </cell>
          <cell r="AM1841" t="str">
            <v>Q</v>
          </cell>
          <cell r="AN1841" t="str">
            <v>M0</v>
          </cell>
          <cell r="AO1841" t="str">
            <v>Active(Model)</v>
          </cell>
          <cell r="AP1841" t="str">
            <v/>
          </cell>
          <cell r="AQ1841" t="str">
            <v/>
          </cell>
          <cell r="AR1841" t="str">
            <v>Y</v>
          </cell>
          <cell r="AS1841" t="str">
            <v/>
          </cell>
          <cell r="AT1841" t="str">
            <v>MN</v>
          </cell>
          <cell r="AU1841" t="str">
            <v>Monitor</v>
          </cell>
          <cell r="AV1841" t="str">
            <v>MNLC</v>
          </cell>
          <cell r="AW1841" t="str">
            <v>LCD Monitor</v>
          </cell>
          <cell r="AX1841" t="str">
            <v>MNLC24</v>
          </cell>
          <cell r="AY1841" t="str">
            <v>LCD Monitor 24</v>
          </cell>
          <cell r="AZ1841" t="str">
            <v>MNLC24NW</v>
          </cell>
          <cell r="BA1841" t="str">
            <v>LCD Monitor 24  (WIDE)</v>
          </cell>
        </row>
        <row r="1842">
          <cell r="E1842" t="str">
            <v>24G411B-B.ATV</v>
          </cell>
          <cell r="F1842">
            <v>5</v>
          </cell>
          <cell r="G1842">
            <v>0</v>
          </cell>
          <cell r="H1842">
            <v>0</v>
          </cell>
          <cell r="I1842">
            <v>40</v>
          </cell>
          <cell r="J1842">
            <v>4</v>
          </cell>
          <cell r="K1842">
            <v>0</v>
          </cell>
          <cell r="L1842">
            <v>0</v>
          </cell>
          <cell r="M1842">
            <v>3</v>
          </cell>
          <cell r="N1842">
            <v>1</v>
          </cell>
          <cell r="O1842">
            <v>14</v>
          </cell>
          <cell r="P1842">
            <v>4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0</v>
          </cell>
          <cell r="AC1842">
            <v>0</v>
          </cell>
          <cell r="AD1842">
            <v>10</v>
          </cell>
          <cell r="AE1842">
            <v>2</v>
          </cell>
          <cell r="AF1842">
            <v>10</v>
          </cell>
          <cell r="AG1842" t="str">
            <v/>
          </cell>
          <cell r="AH1842" t="str">
            <v/>
          </cell>
          <cell r="AI1842" t="str">
            <v/>
          </cell>
          <cell r="AJ1842" t="str">
            <v/>
          </cell>
          <cell r="AK1842" t="str">
            <v>0.031986</v>
          </cell>
          <cell r="AL1842" t="str">
            <v>2</v>
          </cell>
          <cell r="AM1842" t="str">
            <v>Q</v>
          </cell>
          <cell r="AN1842" t="str">
            <v>M0</v>
          </cell>
          <cell r="AO1842" t="str">
            <v>Active(Model)</v>
          </cell>
          <cell r="AP1842" t="str">
            <v/>
          </cell>
          <cell r="AQ1842" t="str">
            <v/>
          </cell>
          <cell r="AR1842" t="str">
            <v>Y</v>
          </cell>
          <cell r="AS1842" t="str">
            <v/>
          </cell>
          <cell r="AT1842" t="str">
            <v>MN</v>
          </cell>
          <cell r="AU1842" t="str">
            <v>Monitor</v>
          </cell>
          <cell r="AV1842" t="str">
            <v>MNLC</v>
          </cell>
          <cell r="AW1842" t="str">
            <v>LCD Monitor</v>
          </cell>
          <cell r="AX1842" t="str">
            <v>MNLC24</v>
          </cell>
          <cell r="AY1842" t="str">
            <v>LCD Monitor 24</v>
          </cell>
          <cell r="AZ1842" t="str">
            <v>MNLC24NW</v>
          </cell>
          <cell r="BA1842" t="str">
            <v>LCD Monitor 24  (WIDE)</v>
          </cell>
        </row>
        <row r="1843">
          <cell r="E1843" t="str">
            <v>24U631A-B.ATVQ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  <cell r="AF1843">
            <v>0</v>
          </cell>
          <cell r="AG1843" t="str">
            <v>MNTBASIC</v>
          </cell>
          <cell r="AH1843" t="str">
            <v>MNT_Basic</v>
          </cell>
          <cell r="AI1843" t="str">
            <v/>
          </cell>
          <cell r="AJ1843" t="str">
            <v/>
          </cell>
          <cell r="AK1843" t="str">
            <v>0.030895</v>
          </cell>
          <cell r="AL1843" t="str">
            <v>2</v>
          </cell>
          <cell r="AM1843" t="str">
            <v>Q</v>
          </cell>
          <cell r="AN1843" t="str">
            <v>M0</v>
          </cell>
          <cell r="AO1843" t="str">
            <v>Active(Model)</v>
          </cell>
          <cell r="AP1843" t="str">
            <v/>
          </cell>
          <cell r="AQ1843" t="str">
            <v/>
          </cell>
          <cell r="AR1843" t="str">
            <v>Y</v>
          </cell>
          <cell r="AS1843" t="str">
            <v/>
          </cell>
          <cell r="AT1843" t="str">
            <v>MN</v>
          </cell>
          <cell r="AU1843" t="str">
            <v>Monitor</v>
          </cell>
          <cell r="AV1843" t="str">
            <v>MNLC</v>
          </cell>
          <cell r="AW1843" t="str">
            <v>LCD Monitor</v>
          </cell>
          <cell r="AX1843" t="str">
            <v>MNLC24</v>
          </cell>
          <cell r="AY1843" t="str">
            <v>LCD Monitor 24</v>
          </cell>
          <cell r="AZ1843" t="str">
            <v>MNLC24NO</v>
          </cell>
          <cell r="BA1843" t="str">
            <v>LCD Monitor 24 (OS, Wide)</v>
          </cell>
        </row>
        <row r="1844">
          <cell r="E1844" t="str">
            <v>25G523B-B.ATV</v>
          </cell>
          <cell r="F1844">
            <v>52</v>
          </cell>
          <cell r="G1844">
            <v>0</v>
          </cell>
          <cell r="H1844">
            <v>0</v>
          </cell>
          <cell r="I1844">
            <v>70</v>
          </cell>
          <cell r="J1844">
            <v>1</v>
          </cell>
          <cell r="K1844">
            <v>0</v>
          </cell>
          <cell r="L1844">
            <v>0</v>
          </cell>
          <cell r="M1844">
            <v>1</v>
          </cell>
          <cell r="N1844">
            <v>1</v>
          </cell>
          <cell r="O1844">
            <v>1</v>
          </cell>
          <cell r="P1844">
            <v>2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  <cell r="AF1844">
            <v>0</v>
          </cell>
          <cell r="AG1844" t="str">
            <v/>
          </cell>
          <cell r="AH1844" t="str">
            <v/>
          </cell>
          <cell r="AI1844" t="str">
            <v/>
          </cell>
          <cell r="AJ1844" t="str">
            <v/>
          </cell>
          <cell r="AK1844" t="str">
            <v>0.033791</v>
          </cell>
          <cell r="AL1844" t="str">
            <v>2</v>
          </cell>
          <cell r="AM1844" t="str">
            <v>Q</v>
          </cell>
          <cell r="AN1844" t="str">
            <v>M0</v>
          </cell>
          <cell r="AO1844" t="str">
            <v>Active(Model)</v>
          </cell>
          <cell r="AP1844" t="str">
            <v/>
          </cell>
          <cell r="AQ1844" t="str">
            <v/>
          </cell>
          <cell r="AR1844" t="str">
            <v>Y</v>
          </cell>
          <cell r="AS1844" t="str">
            <v/>
          </cell>
          <cell r="AT1844" t="str">
            <v>MN</v>
          </cell>
          <cell r="AU1844" t="str">
            <v>Monitor</v>
          </cell>
          <cell r="AV1844" t="str">
            <v>MNLC</v>
          </cell>
          <cell r="AW1844" t="str">
            <v>LCD Monitor</v>
          </cell>
          <cell r="AX1844" t="str">
            <v>MNLC25</v>
          </cell>
          <cell r="AY1844" t="str">
            <v>LCD Monitor 25</v>
          </cell>
          <cell r="AZ1844" t="str">
            <v>MNLC25NW</v>
          </cell>
          <cell r="BA1844" t="str">
            <v>LCD Monitor 25 (WIDE)</v>
          </cell>
        </row>
        <row r="1845">
          <cell r="E1845" t="str">
            <v>25G550B-B.ATV</v>
          </cell>
          <cell r="F1845">
            <v>176</v>
          </cell>
          <cell r="G1845">
            <v>0</v>
          </cell>
          <cell r="H1845">
            <v>0</v>
          </cell>
          <cell r="I1845">
            <v>194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1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 t="str">
            <v/>
          </cell>
          <cell r="AH1845" t="str">
            <v/>
          </cell>
          <cell r="AI1845" t="str">
            <v/>
          </cell>
          <cell r="AJ1845" t="str">
            <v/>
          </cell>
          <cell r="AK1845" t="str">
            <v>0.057797</v>
          </cell>
          <cell r="AL1845" t="str">
            <v>2</v>
          </cell>
          <cell r="AM1845" t="str">
            <v>Q</v>
          </cell>
          <cell r="AN1845" t="str">
            <v>M0</v>
          </cell>
          <cell r="AO1845" t="str">
            <v>Active(Model)</v>
          </cell>
          <cell r="AP1845" t="str">
            <v/>
          </cell>
          <cell r="AQ1845" t="str">
            <v/>
          </cell>
          <cell r="AR1845" t="str">
            <v>Y</v>
          </cell>
          <cell r="AS1845" t="str">
            <v/>
          </cell>
          <cell r="AT1845" t="str">
            <v>MN</v>
          </cell>
          <cell r="AU1845" t="str">
            <v>Monitor</v>
          </cell>
          <cell r="AV1845" t="str">
            <v>MNLC</v>
          </cell>
          <cell r="AW1845" t="str">
            <v>LCD Monitor</v>
          </cell>
          <cell r="AX1845" t="str">
            <v>MNLC25</v>
          </cell>
          <cell r="AY1845" t="str">
            <v>LCD Monitor 25</v>
          </cell>
          <cell r="AZ1845" t="str">
            <v>MNLC25NW</v>
          </cell>
          <cell r="BA1845" t="str">
            <v>LCD Monitor 25 (WIDE)</v>
          </cell>
        </row>
        <row r="1846">
          <cell r="E1846" t="str">
            <v>27BA400-B.ATV</v>
          </cell>
          <cell r="F1846">
            <v>1</v>
          </cell>
          <cell r="G1846">
            <v>0</v>
          </cell>
          <cell r="H1846">
            <v>0</v>
          </cell>
          <cell r="I1846">
            <v>34</v>
          </cell>
          <cell r="J1846">
            <v>2</v>
          </cell>
          <cell r="K1846">
            <v>0</v>
          </cell>
          <cell r="L1846">
            <v>0</v>
          </cell>
          <cell r="M1846">
            <v>7</v>
          </cell>
          <cell r="N1846">
            <v>0</v>
          </cell>
          <cell r="O1846">
            <v>7</v>
          </cell>
          <cell r="P1846">
            <v>7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  <cell r="AF1846">
            <v>0</v>
          </cell>
          <cell r="AG1846" t="str">
            <v/>
          </cell>
          <cell r="AH1846" t="str">
            <v/>
          </cell>
          <cell r="AI1846" t="str">
            <v/>
          </cell>
          <cell r="AJ1846" t="str">
            <v/>
          </cell>
          <cell r="AK1846" t="str">
            <v>0.044522</v>
          </cell>
          <cell r="AL1846" t="str">
            <v>2</v>
          </cell>
          <cell r="AM1846" t="str">
            <v>Q</v>
          </cell>
          <cell r="AN1846" t="str">
            <v>M0</v>
          </cell>
          <cell r="AO1846" t="str">
            <v>Active(Model)</v>
          </cell>
          <cell r="AP1846" t="str">
            <v/>
          </cell>
          <cell r="AQ1846" t="str">
            <v/>
          </cell>
          <cell r="AR1846" t="str">
            <v>Y</v>
          </cell>
          <cell r="AS1846" t="str">
            <v/>
          </cell>
          <cell r="AT1846" t="str">
            <v>MN</v>
          </cell>
          <cell r="AU1846" t="str">
            <v>Monitor</v>
          </cell>
          <cell r="AV1846" t="str">
            <v>MNLC</v>
          </cell>
          <cell r="AW1846" t="str">
            <v>LCD Monitor</v>
          </cell>
          <cell r="AX1846" t="str">
            <v>MNLC27</v>
          </cell>
          <cell r="AY1846" t="str">
            <v>LCD Monitor 27</v>
          </cell>
          <cell r="AZ1846" t="str">
            <v>MNLC27BI</v>
          </cell>
          <cell r="BA1846" t="str">
            <v>LCD Monitor 27 (B2B Inhouse)</v>
          </cell>
        </row>
        <row r="1847">
          <cell r="E1847" t="str">
            <v>27G411A-B.ATV</v>
          </cell>
          <cell r="F1847">
            <v>0</v>
          </cell>
          <cell r="G1847">
            <v>0</v>
          </cell>
          <cell r="H1847">
            <v>0</v>
          </cell>
          <cell r="I1847">
            <v>5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 t="str">
            <v/>
          </cell>
          <cell r="AH1847" t="str">
            <v/>
          </cell>
          <cell r="AI1847" t="str">
            <v/>
          </cell>
          <cell r="AJ1847" t="str">
            <v/>
          </cell>
          <cell r="AK1847" t="str">
            <v>0.041835</v>
          </cell>
          <cell r="AL1847" t="str">
            <v>2</v>
          </cell>
          <cell r="AM1847" t="str">
            <v>Q</v>
          </cell>
          <cell r="AN1847" t="str">
            <v>M0</v>
          </cell>
          <cell r="AO1847" t="str">
            <v>Active(Model)</v>
          </cell>
          <cell r="AP1847" t="str">
            <v/>
          </cell>
          <cell r="AQ1847" t="str">
            <v/>
          </cell>
          <cell r="AR1847" t="str">
            <v>Y</v>
          </cell>
          <cell r="AS1847" t="str">
            <v/>
          </cell>
          <cell r="AT1847" t="str">
            <v>MN</v>
          </cell>
          <cell r="AU1847" t="str">
            <v>Monitor</v>
          </cell>
          <cell r="AV1847" t="str">
            <v>MNLC</v>
          </cell>
          <cell r="AW1847" t="str">
            <v>LCD Monitor</v>
          </cell>
          <cell r="AX1847" t="str">
            <v>MNLC27</v>
          </cell>
          <cell r="AY1847" t="str">
            <v>LCD Monitor 27</v>
          </cell>
          <cell r="AZ1847" t="str">
            <v>MNLC27NW</v>
          </cell>
          <cell r="BA1847" t="str">
            <v>LCD Monitor 27 (Wide)</v>
          </cell>
        </row>
        <row r="1848">
          <cell r="E1848" t="str">
            <v>27G411B-B.ATV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2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1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 t="str">
            <v/>
          </cell>
          <cell r="AH1848" t="str">
            <v/>
          </cell>
          <cell r="AI1848" t="str">
            <v/>
          </cell>
          <cell r="AJ1848" t="str">
            <v/>
          </cell>
          <cell r="AK1848" t="str">
            <v>0.041835</v>
          </cell>
          <cell r="AL1848" t="str">
            <v>2</v>
          </cell>
          <cell r="AM1848" t="str">
            <v>Q</v>
          </cell>
          <cell r="AN1848" t="str">
            <v>M0</v>
          </cell>
          <cell r="AO1848" t="str">
            <v>Active(Model)</v>
          </cell>
          <cell r="AP1848" t="str">
            <v/>
          </cell>
          <cell r="AQ1848" t="str">
            <v/>
          </cell>
          <cell r="AR1848" t="str">
            <v>Y</v>
          </cell>
          <cell r="AS1848" t="str">
            <v/>
          </cell>
          <cell r="AT1848" t="str">
            <v>MN</v>
          </cell>
          <cell r="AU1848" t="str">
            <v>Monitor</v>
          </cell>
          <cell r="AV1848" t="str">
            <v>MNLC</v>
          </cell>
          <cell r="AW1848" t="str">
            <v>LCD Monitor</v>
          </cell>
          <cell r="AX1848" t="str">
            <v>MNLC27</v>
          </cell>
          <cell r="AY1848" t="str">
            <v>LCD Monitor 27</v>
          </cell>
          <cell r="AZ1848" t="str">
            <v>MNLC27NW</v>
          </cell>
          <cell r="BA1848" t="str">
            <v>LCD Monitor 27 (Wide)</v>
          </cell>
        </row>
        <row r="1849">
          <cell r="E1849" t="str">
            <v>27G523B-B.ATV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3</v>
          </cell>
          <cell r="L1849">
            <v>0</v>
          </cell>
          <cell r="M1849">
            <v>0</v>
          </cell>
          <cell r="N1849">
            <v>0</v>
          </cell>
          <cell r="O1849">
            <v>1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 t="str">
            <v/>
          </cell>
          <cell r="AH1849" t="str">
            <v/>
          </cell>
          <cell r="AI1849" t="str">
            <v/>
          </cell>
          <cell r="AJ1849" t="str">
            <v/>
          </cell>
          <cell r="AK1849" t="str">
            <v>0.042441</v>
          </cell>
          <cell r="AL1849" t="str">
            <v>2</v>
          </cell>
          <cell r="AM1849" t="str">
            <v>Q</v>
          </cell>
          <cell r="AN1849" t="str">
            <v>M0</v>
          </cell>
          <cell r="AO1849" t="str">
            <v>Active(Model)</v>
          </cell>
          <cell r="AP1849" t="str">
            <v/>
          </cell>
          <cell r="AQ1849" t="str">
            <v/>
          </cell>
          <cell r="AR1849" t="str">
            <v>Y</v>
          </cell>
          <cell r="AS1849" t="str">
            <v/>
          </cell>
          <cell r="AT1849" t="str">
            <v>MN</v>
          </cell>
          <cell r="AU1849" t="str">
            <v>Monitor</v>
          </cell>
          <cell r="AV1849" t="str">
            <v>MNLC</v>
          </cell>
          <cell r="AW1849" t="str">
            <v>LCD Monitor</v>
          </cell>
          <cell r="AX1849" t="str">
            <v>MNLC27</v>
          </cell>
          <cell r="AY1849" t="str">
            <v>LCD Monitor 27</v>
          </cell>
          <cell r="AZ1849" t="str">
            <v>MNLC27NW</v>
          </cell>
          <cell r="BA1849" t="str">
            <v>LCD Monitor 27 (Wide)</v>
          </cell>
        </row>
        <row r="1850">
          <cell r="E1850" t="str">
            <v>27G550B-B.ATV</v>
          </cell>
          <cell r="F1850">
            <v>0</v>
          </cell>
          <cell r="G1850">
            <v>0</v>
          </cell>
          <cell r="H1850">
            <v>0</v>
          </cell>
          <cell r="I1850">
            <v>4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 t="str">
            <v/>
          </cell>
          <cell r="AH1850" t="str">
            <v/>
          </cell>
          <cell r="AI1850" t="str">
            <v/>
          </cell>
          <cell r="AJ1850" t="str">
            <v/>
          </cell>
          <cell r="AK1850" t="str">
            <v>0.062400</v>
          </cell>
          <cell r="AL1850" t="str">
            <v>2</v>
          </cell>
          <cell r="AM1850" t="str">
            <v>Q</v>
          </cell>
          <cell r="AN1850" t="str">
            <v>M0</v>
          </cell>
          <cell r="AO1850" t="str">
            <v>Active(Model)</v>
          </cell>
          <cell r="AP1850" t="str">
            <v/>
          </cell>
          <cell r="AQ1850" t="str">
            <v/>
          </cell>
          <cell r="AR1850" t="str">
            <v>Y</v>
          </cell>
          <cell r="AS1850" t="str">
            <v/>
          </cell>
          <cell r="AT1850" t="str">
            <v>MN</v>
          </cell>
          <cell r="AU1850" t="str">
            <v>Monitor</v>
          </cell>
          <cell r="AV1850" t="str">
            <v>MNLC</v>
          </cell>
          <cell r="AW1850" t="str">
            <v>LCD Monitor</v>
          </cell>
          <cell r="AX1850" t="str">
            <v>MNLC27</v>
          </cell>
          <cell r="AY1850" t="str">
            <v>LCD Monitor 27</v>
          </cell>
          <cell r="AZ1850" t="str">
            <v>MNLC27NW</v>
          </cell>
          <cell r="BA1850" t="str">
            <v>LCD Monitor 27 (Wide)</v>
          </cell>
        </row>
        <row r="1851">
          <cell r="E1851" t="str">
            <v>27G610A-B.ATVQ</v>
          </cell>
          <cell r="F1851">
            <v>13</v>
          </cell>
          <cell r="G1851">
            <v>0</v>
          </cell>
          <cell r="H1851">
            <v>0</v>
          </cell>
          <cell r="I1851">
            <v>13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 t="str">
            <v/>
          </cell>
          <cell r="AH1851" t="str">
            <v/>
          </cell>
          <cell r="AI1851" t="str">
            <v/>
          </cell>
          <cell r="AJ1851" t="str">
            <v/>
          </cell>
          <cell r="AK1851" t="str">
            <v>0.052679</v>
          </cell>
          <cell r="AL1851" t="str">
            <v>2</v>
          </cell>
          <cell r="AM1851" t="str">
            <v>Q</v>
          </cell>
          <cell r="AN1851" t="str">
            <v>M0</v>
          </cell>
          <cell r="AO1851" t="str">
            <v>Active(Model)</v>
          </cell>
          <cell r="AP1851" t="str">
            <v/>
          </cell>
          <cell r="AQ1851" t="str">
            <v/>
          </cell>
          <cell r="AR1851" t="str">
            <v>Y</v>
          </cell>
          <cell r="AS1851" t="str">
            <v/>
          </cell>
          <cell r="AT1851" t="str">
            <v>MN</v>
          </cell>
          <cell r="AU1851" t="str">
            <v>Monitor</v>
          </cell>
          <cell r="AV1851" t="str">
            <v>MNLC</v>
          </cell>
          <cell r="AW1851" t="str">
            <v>LCD Monitor</v>
          </cell>
          <cell r="AX1851" t="str">
            <v>MNLC27</v>
          </cell>
          <cell r="AY1851" t="str">
            <v>LCD Monitor 27</v>
          </cell>
          <cell r="AZ1851" t="str">
            <v>MNLC27NO</v>
          </cell>
          <cell r="BA1851" t="str">
            <v>LCD Monitor 27 (OS, Wide)</v>
          </cell>
        </row>
        <row r="1852">
          <cell r="E1852" t="str">
            <v>27G640A-B.ATVQ</v>
          </cell>
          <cell r="F1852">
            <v>0</v>
          </cell>
          <cell r="G1852">
            <v>0</v>
          </cell>
          <cell r="H1852">
            <v>0</v>
          </cell>
          <cell r="I1852">
            <v>4</v>
          </cell>
          <cell r="J1852">
            <v>1</v>
          </cell>
          <cell r="K1852">
            <v>0</v>
          </cell>
          <cell r="L1852">
            <v>0</v>
          </cell>
          <cell r="M1852">
            <v>1</v>
          </cell>
          <cell r="N1852">
            <v>0</v>
          </cell>
          <cell r="O1852">
            <v>0</v>
          </cell>
          <cell r="P1852">
            <v>1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 t="str">
            <v/>
          </cell>
          <cell r="AH1852" t="str">
            <v/>
          </cell>
          <cell r="AI1852" t="str">
            <v/>
          </cell>
          <cell r="AJ1852" t="str">
            <v/>
          </cell>
          <cell r="AK1852" t="str">
            <v>0.062147</v>
          </cell>
          <cell r="AL1852" t="str">
            <v>2</v>
          </cell>
          <cell r="AM1852" t="str">
            <v>Q</v>
          </cell>
          <cell r="AN1852" t="str">
            <v>M0</v>
          </cell>
          <cell r="AO1852" t="str">
            <v>Active(Model)</v>
          </cell>
          <cell r="AP1852" t="str">
            <v/>
          </cell>
          <cell r="AQ1852" t="str">
            <v/>
          </cell>
          <cell r="AR1852" t="str">
            <v>Y</v>
          </cell>
          <cell r="AS1852" t="str">
            <v/>
          </cell>
          <cell r="AT1852" t="str">
            <v>MN</v>
          </cell>
          <cell r="AU1852" t="str">
            <v>Monitor</v>
          </cell>
          <cell r="AV1852" t="str">
            <v>MNLC</v>
          </cell>
          <cell r="AW1852" t="str">
            <v>LCD Monitor</v>
          </cell>
          <cell r="AX1852" t="str">
            <v>MNLC27</v>
          </cell>
          <cell r="AY1852" t="str">
            <v>LCD Monitor 27</v>
          </cell>
          <cell r="AZ1852" t="str">
            <v>MNLC27NO</v>
          </cell>
          <cell r="BA1852" t="str">
            <v>LCD Monitor 27 (OS, Wide)</v>
          </cell>
        </row>
        <row r="1853">
          <cell r="E1853" t="str">
            <v>27GX704A-B.ATV</v>
          </cell>
          <cell r="F1853">
            <v>151</v>
          </cell>
          <cell r="G1853">
            <v>0</v>
          </cell>
          <cell r="H1853">
            <v>0</v>
          </cell>
          <cell r="I1853">
            <v>159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  <cell r="AF1853">
            <v>0</v>
          </cell>
          <cell r="AG1853" t="str">
            <v/>
          </cell>
          <cell r="AH1853" t="str">
            <v/>
          </cell>
          <cell r="AI1853" t="str">
            <v/>
          </cell>
          <cell r="AJ1853" t="str">
            <v/>
          </cell>
          <cell r="AK1853" t="str">
            <v>0.057250</v>
          </cell>
          <cell r="AL1853" t="str">
            <v>2</v>
          </cell>
          <cell r="AM1853" t="str">
            <v>Q</v>
          </cell>
          <cell r="AN1853" t="str">
            <v>M0</v>
          </cell>
          <cell r="AO1853" t="str">
            <v>Active(Model)</v>
          </cell>
          <cell r="AP1853" t="str">
            <v/>
          </cell>
          <cell r="AQ1853" t="str">
            <v/>
          </cell>
          <cell r="AR1853" t="str">
            <v>Y</v>
          </cell>
          <cell r="AS1853" t="str">
            <v/>
          </cell>
          <cell r="AT1853" t="str">
            <v>MN</v>
          </cell>
          <cell r="AU1853" t="str">
            <v>Monitor</v>
          </cell>
          <cell r="AV1853" t="str">
            <v>MNOL</v>
          </cell>
          <cell r="AW1853" t="str">
            <v>OLED Monitor</v>
          </cell>
          <cell r="AX1853" t="str">
            <v>MNOL27</v>
          </cell>
          <cell r="AY1853" t="str">
            <v>OLED Monitor 27</v>
          </cell>
          <cell r="AZ1853" t="str">
            <v>MNOL27NW</v>
          </cell>
          <cell r="BA1853" t="str">
            <v>OLED Monitor 27 (WIDE)</v>
          </cell>
        </row>
        <row r="1854">
          <cell r="E1854" t="str">
            <v>27GX790B-B.ATV</v>
          </cell>
          <cell r="F1854">
            <v>22</v>
          </cell>
          <cell r="G1854">
            <v>0</v>
          </cell>
          <cell r="H1854">
            <v>0</v>
          </cell>
          <cell r="I1854">
            <v>29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 t="str">
            <v/>
          </cell>
          <cell r="AH1854" t="str">
            <v/>
          </cell>
          <cell r="AI1854" t="str">
            <v/>
          </cell>
          <cell r="AJ1854" t="str">
            <v/>
          </cell>
          <cell r="AK1854" t="str">
            <v>0.071315</v>
          </cell>
          <cell r="AL1854" t="str">
            <v>2</v>
          </cell>
          <cell r="AM1854" t="str">
            <v>Q</v>
          </cell>
          <cell r="AN1854" t="str">
            <v>M0</v>
          </cell>
          <cell r="AO1854" t="str">
            <v>Active(Model)</v>
          </cell>
          <cell r="AP1854" t="str">
            <v/>
          </cell>
          <cell r="AQ1854" t="str">
            <v/>
          </cell>
          <cell r="AR1854" t="str">
            <v>Y</v>
          </cell>
          <cell r="AS1854" t="str">
            <v/>
          </cell>
          <cell r="AT1854" t="str">
            <v>MN</v>
          </cell>
          <cell r="AU1854" t="str">
            <v>Monitor</v>
          </cell>
          <cell r="AV1854" t="str">
            <v>MNOL</v>
          </cell>
          <cell r="AW1854" t="str">
            <v>OLED Monitor</v>
          </cell>
          <cell r="AX1854" t="str">
            <v>MNOL27</v>
          </cell>
          <cell r="AY1854" t="str">
            <v>OLED Monitor 27</v>
          </cell>
          <cell r="AZ1854" t="str">
            <v>MNOL27NW</v>
          </cell>
          <cell r="BA1854" t="str">
            <v>OLED Monitor 27 (WIDE)</v>
          </cell>
        </row>
        <row r="1855">
          <cell r="E1855" t="str">
            <v>27HK510S-W.ATV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  <cell r="AF1855">
            <v>0</v>
          </cell>
          <cell r="AG1855" t="str">
            <v>MNTPREPLUS</v>
          </cell>
          <cell r="AH1855" t="str">
            <v>MNT_Premium_Plus</v>
          </cell>
          <cell r="AI1855" t="str">
            <v/>
          </cell>
          <cell r="AJ1855" t="str">
            <v/>
          </cell>
          <cell r="AK1855" t="str">
            <v>0.057859</v>
          </cell>
          <cell r="AL1855" t="str">
            <v>2</v>
          </cell>
          <cell r="AM1855" t="str">
            <v>Q</v>
          </cell>
          <cell r="AN1855" t="str">
            <v>M0</v>
          </cell>
          <cell r="AO1855" t="str">
            <v>Active(Model)</v>
          </cell>
          <cell r="AP1855" t="str">
            <v/>
          </cell>
          <cell r="AQ1855" t="str">
            <v/>
          </cell>
          <cell r="AR1855" t="str">
            <v>Y</v>
          </cell>
          <cell r="AS1855" t="str">
            <v/>
          </cell>
          <cell r="AT1855" t="str">
            <v>MN</v>
          </cell>
          <cell r="AU1855" t="str">
            <v>Monitor</v>
          </cell>
          <cell r="AV1855" t="str">
            <v>MNME</v>
          </cell>
          <cell r="AW1855" t="str">
            <v>Medical Equipment</v>
          </cell>
          <cell r="AX1855" t="str">
            <v>MNMESD</v>
          </cell>
          <cell r="AY1855" t="str">
            <v>Surgical Display</v>
          </cell>
          <cell r="AZ1855" t="str">
            <v>MNMESD27</v>
          </cell>
          <cell r="BA1855" t="str">
            <v>Surgical Display 27</v>
          </cell>
        </row>
        <row r="1856">
          <cell r="E1856" t="str">
            <v>27HQ710S-W.ATV</v>
          </cell>
          <cell r="F1856">
            <v>2</v>
          </cell>
          <cell r="G1856">
            <v>0</v>
          </cell>
          <cell r="H1856">
            <v>0</v>
          </cell>
          <cell r="I1856">
            <v>2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  <cell r="AF1856">
            <v>0</v>
          </cell>
          <cell r="AG1856" t="str">
            <v/>
          </cell>
          <cell r="AH1856" t="str">
            <v/>
          </cell>
          <cell r="AI1856" t="str">
            <v/>
          </cell>
          <cell r="AJ1856" t="str">
            <v/>
          </cell>
          <cell r="AK1856" t="str">
            <v>0.074922</v>
          </cell>
          <cell r="AL1856" t="str">
            <v>2</v>
          </cell>
          <cell r="AM1856" t="str">
            <v>Q</v>
          </cell>
          <cell r="AN1856" t="str">
            <v>M0</v>
          </cell>
          <cell r="AO1856" t="str">
            <v>Active(Model)</v>
          </cell>
          <cell r="AP1856" t="str">
            <v/>
          </cell>
          <cell r="AQ1856" t="str">
            <v/>
          </cell>
          <cell r="AR1856" t="str">
            <v>Y</v>
          </cell>
          <cell r="AS1856" t="str">
            <v/>
          </cell>
          <cell r="AT1856" t="str">
            <v>MN</v>
          </cell>
          <cell r="AU1856" t="str">
            <v>Monitor</v>
          </cell>
          <cell r="AV1856" t="str">
            <v>MNME</v>
          </cell>
          <cell r="AW1856" t="str">
            <v>Medical Equipment</v>
          </cell>
          <cell r="AX1856" t="str">
            <v>MNMESD</v>
          </cell>
          <cell r="AY1856" t="str">
            <v>Surgical Display</v>
          </cell>
          <cell r="AZ1856" t="str">
            <v>MNMESD27</v>
          </cell>
          <cell r="BA1856" t="str">
            <v>Surgical Display 27</v>
          </cell>
        </row>
        <row r="1857">
          <cell r="E1857" t="str">
            <v>27HS713C-B.ATV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  <cell r="AF1857">
            <v>0</v>
          </cell>
          <cell r="AG1857" t="str">
            <v/>
          </cell>
          <cell r="AH1857" t="str">
            <v/>
          </cell>
          <cell r="AI1857" t="str">
            <v/>
          </cell>
          <cell r="AJ1857" t="str">
            <v/>
          </cell>
          <cell r="AK1857" t="str">
            <v>0.072080</v>
          </cell>
          <cell r="AL1857" t="str">
            <v>2</v>
          </cell>
          <cell r="AM1857" t="str">
            <v>Q</v>
          </cell>
          <cell r="AN1857" t="str">
            <v>M0</v>
          </cell>
          <cell r="AO1857" t="str">
            <v>Active(Model)</v>
          </cell>
          <cell r="AP1857" t="str">
            <v/>
          </cell>
          <cell r="AQ1857" t="str">
            <v/>
          </cell>
          <cell r="AR1857" t="str">
            <v>Y</v>
          </cell>
          <cell r="AS1857" t="str">
            <v/>
          </cell>
          <cell r="AT1857" t="str">
            <v>MN</v>
          </cell>
          <cell r="AU1857" t="str">
            <v>Monitor</v>
          </cell>
          <cell r="AV1857" t="str">
            <v>MNME</v>
          </cell>
          <cell r="AW1857" t="str">
            <v>Medical Equipment</v>
          </cell>
          <cell r="AX1857" t="str">
            <v>MNMEMD</v>
          </cell>
          <cell r="AY1857" t="str">
            <v>Medical Display</v>
          </cell>
          <cell r="AZ1857" t="str">
            <v>MNMEMD27</v>
          </cell>
          <cell r="BA1857" t="str">
            <v>Medical Display 27</v>
          </cell>
        </row>
        <row r="1858">
          <cell r="E1858" t="str">
            <v>27HS714S-W.ATV</v>
          </cell>
          <cell r="F1858">
            <v>2</v>
          </cell>
          <cell r="G1858">
            <v>0</v>
          </cell>
          <cell r="H1858">
            <v>0</v>
          </cell>
          <cell r="I1858">
            <v>2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  <cell r="AF1858">
            <v>0</v>
          </cell>
          <cell r="AG1858" t="str">
            <v/>
          </cell>
          <cell r="AH1858" t="str">
            <v/>
          </cell>
          <cell r="AI1858" t="str">
            <v/>
          </cell>
          <cell r="AJ1858" t="str">
            <v/>
          </cell>
          <cell r="AK1858" t="str">
            <v>0.074922</v>
          </cell>
          <cell r="AL1858" t="str">
            <v>2</v>
          </cell>
          <cell r="AM1858" t="str">
            <v>Q</v>
          </cell>
          <cell r="AN1858" t="str">
            <v>M0</v>
          </cell>
          <cell r="AO1858" t="str">
            <v>Active(Model)</v>
          </cell>
          <cell r="AP1858" t="str">
            <v/>
          </cell>
          <cell r="AQ1858" t="str">
            <v/>
          </cell>
          <cell r="AR1858" t="str">
            <v>Y</v>
          </cell>
          <cell r="AS1858" t="str">
            <v/>
          </cell>
          <cell r="AT1858" t="str">
            <v>MN</v>
          </cell>
          <cell r="AU1858" t="str">
            <v>Monitor</v>
          </cell>
          <cell r="AV1858" t="str">
            <v>MNME</v>
          </cell>
          <cell r="AW1858" t="str">
            <v>Medical Equipment</v>
          </cell>
          <cell r="AX1858" t="str">
            <v>MNMESD</v>
          </cell>
          <cell r="AY1858" t="str">
            <v>Surgical Display</v>
          </cell>
          <cell r="AZ1858" t="str">
            <v>MNMESD27</v>
          </cell>
          <cell r="BA1858" t="str">
            <v>Surgical Display 27</v>
          </cell>
        </row>
        <row r="1859">
          <cell r="E1859" t="str">
            <v>27LX6TDGA.ATV</v>
          </cell>
          <cell r="F1859">
            <v>0</v>
          </cell>
          <cell r="G1859">
            <v>0</v>
          </cell>
          <cell r="H1859">
            <v>0</v>
          </cell>
          <cell r="I1859">
            <v>2</v>
          </cell>
          <cell r="J1859">
            <v>0</v>
          </cell>
          <cell r="K1859">
            <v>21</v>
          </cell>
          <cell r="L1859">
            <v>0</v>
          </cell>
          <cell r="M1859">
            <v>2</v>
          </cell>
          <cell r="N1859">
            <v>0</v>
          </cell>
          <cell r="O1859">
            <v>0</v>
          </cell>
          <cell r="P1859">
            <v>2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 t="str">
            <v>LCDBASIC</v>
          </cell>
          <cell r="AH1859" t="str">
            <v>LCD_Basic</v>
          </cell>
          <cell r="AI1859" t="str">
            <v/>
          </cell>
          <cell r="AJ1859" t="str">
            <v/>
          </cell>
          <cell r="AK1859" t="str">
            <v>0.151876</v>
          </cell>
          <cell r="AL1859" t="str">
            <v>2</v>
          </cell>
          <cell r="AM1859" t="str">
            <v>Q</v>
          </cell>
          <cell r="AN1859" t="str">
            <v>M0</v>
          </cell>
          <cell r="AO1859" t="str">
            <v>Active(Model)</v>
          </cell>
          <cell r="AP1859" t="str">
            <v/>
          </cell>
          <cell r="AQ1859" t="str">
            <v/>
          </cell>
          <cell r="AR1859" t="str">
            <v>Y</v>
          </cell>
          <cell r="AS1859" t="str">
            <v/>
          </cell>
          <cell r="AT1859" t="str">
            <v>TV</v>
          </cell>
          <cell r="AU1859" t="str">
            <v>TV</v>
          </cell>
          <cell r="AV1859" t="str">
            <v>TVLS</v>
          </cell>
          <cell r="AW1859" t="str">
            <v>TV Life Style</v>
          </cell>
          <cell r="AX1859" t="str">
            <v>TVLS27</v>
          </cell>
          <cell r="AY1859" t="str">
            <v>TV Life Style 27</v>
          </cell>
          <cell r="AZ1859" t="str">
            <v>TVLS27NQ</v>
          </cell>
          <cell r="BA1859" t="str">
            <v>Life Style Display 27 (QHD)</v>
          </cell>
        </row>
        <row r="1860">
          <cell r="E1860" t="str">
            <v>27U411B-B.ATV</v>
          </cell>
          <cell r="F1860">
            <v>744</v>
          </cell>
          <cell r="G1860">
            <v>0</v>
          </cell>
          <cell r="H1860">
            <v>0</v>
          </cell>
          <cell r="I1860">
            <v>744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 t="str">
            <v/>
          </cell>
          <cell r="AH1860" t="str">
            <v/>
          </cell>
          <cell r="AI1860" t="str">
            <v/>
          </cell>
          <cell r="AJ1860" t="str">
            <v/>
          </cell>
          <cell r="AK1860" t="str">
            <v>0.041835</v>
          </cell>
          <cell r="AL1860" t="str">
            <v>2</v>
          </cell>
          <cell r="AM1860" t="str">
            <v>Q</v>
          </cell>
          <cell r="AN1860" t="str">
            <v>M0</v>
          </cell>
          <cell r="AO1860" t="str">
            <v>Active(Model)</v>
          </cell>
          <cell r="AP1860" t="str">
            <v/>
          </cell>
          <cell r="AQ1860" t="str">
            <v/>
          </cell>
          <cell r="AR1860" t="str">
            <v>Y</v>
          </cell>
          <cell r="AS1860" t="str">
            <v/>
          </cell>
          <cell r="AT1860" t="str">
            <v>MN</v>
          </cell>
          <cell r="AU1860" t="str">
            <v>Monitor</v>
          </cell>
          <cell r="AV1860" t="str">
            <v>MNLC</v>
          </cell>
          <cell r="AW1860" t="str">
            <v>LCD Monitor</v>
          </cell>
          <cell r="AX1860" t="str">
            <v>MNLC27</v>
          </cell>
          <cell r="AY1860" t="str">
            <v>LCD Monitor 27</v>
          </cell>
          <cell r="AZ1860" t="str">
            <v>MNLC27NW</v>
          </cell>
          <cell r="BA1860" t="str">
            <v>LCD Monitor 27 (Wide)</v>
          </cell>
        </row>
        <row r="1861">
          <cell r="E1861" t="str">
            <v>27U631A-B.ATVQ</v>
          </cell>
          <cell r="F1861">
            <v>0</v>
          </cell>
          <cell r="G1861">
            <v>0</v>
          </cell>
          <cell r="H1861">
            <v>0</v>
          </cell>
          <cell r="I1861">
            <v>2</v>
          </cell>
          <cell r="J1861">
            <v>0</v>
          </cell>
          <cell r="K1861">
            <v>2</v>
          </cell>
          <cell r="L1861">
            <v>0</v>
          </cell>
          <cell r="M1861">
            <v>0</v>
          </cell>
          <cell r="N1861">
            <v>1</v>
          </cell>
          <cell r="O1861">
            <v>0</v>
          </cell>
          <cell r="P1861">
            <v>1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  <cell r="AF1861">
            <v>0</v>
          </cell>
          <cell r="AG1861" t="str">
            <v/>
          </cell>
          <cell r="AH1861" t="str">
            <v/>
          </cell>
          <cell r="AI1861" t="str">
            <v/>
          </cell>
          <cell r="AJ1861" t="str">
            <v/>
          </cell>
          <cell r="AK1861" t="str">
            <v>0.043470</v>
          </cell>
          <cell r="AL1861" t="str">
            <v>2</v>
          </cell>
          <cell r="AM1861" t="str">
            <v>Q</v>
          </cell>
          <cell r="AN1861" t="str">
            <v>M0</v>
          </cell>
          <cell r="AO1861" t="str">
            <v>Active(Model)</v>
          </cell>
          <cell r="AP1861" t="str">
            <v/>
          </cell>
          <cell r="AQ1861" t="str">
            <v/>
          </cell>
          <cell r="AR1861" t="str">
            <v>Y</v>
          </cell>
          <cell r="AS1861" t="str">
            <v/>
          </cell>
          <cell r="AT1861" t="str">
            <v>MN</v>
          </cell>
          <cell r="AU1861" t="str">
            <v>Monitor</v>
          </cell>
          <cell r="AV1861" t="str">
            <v>MNLC</v>
          </cell>
          <cell r="AW1861" t="str">
            <v>LCD Monitor</v>
          </cell>
          <cell r="AX1861" t="str">
            <v>MNLC27</v>
          </cell>
          <cell r="AY1861" t="str">
            <v>LCD Monitor 27</v>
          </cell>
          <cell r="AZ1861" t="str">
            <v>MNLC27NO</v>
          </cell>
          <cell r="BA1861" t="str">
            <v>LCD Monitor 27 (OS, Wide)</v>
          </cell>
        </row>
        <row r="1862">
          <cell r="E1862" t="str">
            <v>27U711B-B.ATV</v>
          </cell>
          <cell r="F1862">
            <v>67</v>
          </cell>
          <cell r="G1862">
            <v>0</v>
          </cell>
          <cell r="H1862">
            <v>0</v>
          </cell>
          <cell r="I1862">
            <v>97</v>
          </cell>
          <cell r="J1862">
            <v>0</v>
          </cell>
          <cell r="K1862">
            <v>11</v>
          </cell>
          <cell r="L1862">
            <v>0</v>
          </cell>
          <cell r="M1862">
            <v>0</v>
          </cell>
          <cell r="N1862">
            <v>0</v>
          </cell>
          <cell r="O1862">
            <v>1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  <cell r="AF1862">
            <v>0</v>
          </cell>
          <cell r="AG1862" t="str">
            <v/>
          </cell>
          <cell r="AH1862" t="str">
            <v/>
          </cell>
          <cell r="AI1862" t="str">
            <v/>
          </cell>
          <cell r="AJ1862" t="str">
            <v/>
          </cell>
          <cell r="AK1862" t="str">
            <v>0.042131</v>
          </cell>
          <cell r="AL1862" t="str">
            <v>2</v>
          </cell>
          <cell r="AM1862" t="str">
            <v>Q</v>
          </cell>
          <cell r="AN1862" t="str">
            <v>M0</v>
          </cell>
          <cell r="AO1862" t="str">
            <v>Active(Model)</v>
          </cell>
          <cell r="AP1862" t="str">
            <v/>
          </cell>
          <cell r="AQ1862" t="str">
            <v/>
          </cell>
          <cell r="AR1862" t="str">
            <v>Y</v>
          </cell>
          <cell r="AS1862" t="str">
            <v/>
          </cell>
          <cell r="AT1862" t="str">
            <v>MN</v>
          </cell>
          <cell r="AU1862" t="str">
            <v>Monitor</v>
          </cell>
          <cell r="AV1862" t="str">
            <v>MNLC</v>
          </cell>
          <cell r="AW1862" t="str">
            <v>LCD Monitor</v>
          </cell>
          <cell r="AX1862" t="str">
            <v>MNLC27</v>
          </cell>
          <cell r="AY1862" t="str">
            <v>LCD Monitor 27</v>
          </cell>
          <cell r="AZ1862" t="str">
            <v>MNLC27NW</v>
          </cell>
          <cell r="BA1862" t="str">
            <v>LCD Monitor 27 (Wide)</v>
          </cell>
        </row>
        <row r="1863">
          <cell r="E1863" t="str">
            <v>27U730B-B.ATV</v>
          </cell>
          <cell r="F1863">
            <v>120</v>
          </cell>
          <cell r="G1863">
            <v>0</v>
          </cell>
          <cell r="H1863">
            <v>0</v>
          </cell>
          <cell r="I1863">
            <v>135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1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  <cell r="AF1863">
            <v>0</v>
          </cell>
          <cell r="AG1863" t="str">
            <v/>
          </cell>
          <cell r="AH1863" t="str">
            <v/>
          </cell>
          <cell r="AI1863" t="str">
            <v/>
          </cell>
          <cell r="AJ1863" t="str">
            <v/>
          </cell>
          <cell r="AK1863" t="str">
            <v>0.040033</v>
          </cell>
          <cell r="AL1863" t="str">
            <v>2</v>
          </cell>
          <cell r="AM1863" t="str">
            <v>Q</v>
          </cell>
          <cell r="AN1863" t="str">
            <v>M0</v>
          </cell>
          <cell r="AO1863" t="str">
            <v>Active(Model)</v>
          </cell>
          <cell r="AP1863" t="str">
            <v/>
          </cell>
          <cell r="AQ1863" t="str">
            <v/>
          </cell>
          <cell r="AR1863" t="str">
            <v>Y</v>
          </cell>
          <cell r="AS1863" t="str">
            <v/>
          </cell>
          <cell r="AT1863" t="str">
            <v>MN</v>
          </cell>
          <cell r="AU1863" t="str">
            <v>Monitor</v>
          </cell>
          <cell r="AV1863" t="str">
            <v>MNLC</v>
          </cell>
          <cell r="AW1863" t="str">
            <v>LCD Monitor</v>
          </cell>
          <cell r="AX1863" t="str">
            <v>MNLC27</v>
          </cell>
          <cell r="AY1863" t="str">
            <v>LCD Monitor 27</v>
          </cell>
          <cell r="AZ1863" t="str">
            <v>MNLC27NW</v>
          </cell>
          <cell r="BA1863" t="str">
            <v>LCD Monitor 27 (Wide)</v>
          </cell>
        </row>
        <row r="1864">
          <cell r="E1864" t="str">
            <v>27U731SB-W.ATV</v>
          </cell>
          <cell r="F1864">
            <v>0</v>
          </cell>
          <cell r="G1864">
            <v>0</v>
          </cell>
          <cell r="H1864">
            <v>0</v>
          </cell>
          <cell r="I1864">
            <v>10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22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12</v>
          </cell>
          <cell r="AF1864">
            <v>0</v>
          </cell>
          <cell r="AG1864" t="str">
            <v/>
          </cell>
          <cell r="AH1864" t="str">
            <v/>
          </cell>
          <cell r="AI1864" t="str">
            <v/>
          </cell>
          <cell r="AJ1864" t="str">
            <v/>
          </cell>
          <cell r="AK1864" t="str">
            <v>0.043430</v>
          </cell>
          <cell r="AL1864" t="str">
            <v>2</v>
          </cell>
          <cell r="AM1864" t="str">
            <v>Q</v>
          </cell>
          <cell r="AN1864" t="str">
            <v>M0</v>
          </cell>
          <cell r="AO1864" t="str">
            <v>Active(Model)</v>
          </cell>
          <cell r="AP1864" t="str">
            <v/>
          </cell>
          <cell r="AQ1864" t="str">
            <v/>
          </cell>
          <cell r="AR1864" t="str">
            <v>Y</v>
          </cell>
          <cell r="AS1864" t="str">
            <v/>
          </cell>
          <cell r="AT1864" t="str">
            <v>MN</v>
          </cell>
          <cell r="AU1864" t="str">
            <v>Monitor</v>
          </cell>
          <cell r="AV1864" t="str">
            <v>MNLC</v>
          </cell>
          <cell r="AW1864" t="str">
            <v>LCD Monitor</v>
          </cell>
          <cell r="AX1864" t="str">
            <v>MNLC27</v>
          </cell>
          <cell r="AY1864" t="str">
            <v>LCD Monitor 27</v>
          </cell>
          <cell r="AZ1864" t="str">
            <v>MNLC27NW</v>
          </cell>
          <cell r="BA1864" t="str">
            <v>LCD Monitor 27 (Wide)</v>
          </cell>
        </row>
        <row r="1865">
          <cell r="E1865" t="str">
            <v>27UP850K-W.ATV</v>
          </cell>
          <cell r="F1865">
            <v>47</v>
          </cell>
          <cell r="G1865">
            <v>0</v>
          </cell>
          <cell r="H1865">
            <v>0</v>
          </cell>
          <cell r="I1865">
            <v>74</v>
          </cell>
          <cell r="J1865">
            <v>1</v>
          </cell>
          <cell r="K1865">
            <v>0</v>
          </cell>
          <cell r="L1865">
            <v>0</v>
          </cell>
          <cell r="M1865">
            <v>2</v>
          </cell>
          <cell r="N1865">
            <v>1</v>
          </cell>
          <cell r="O1865">
            <v>14</v>
          </cell>
          <cell r="P1865">
            <v>3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 t="str">
            <v/>
          </cell>
          <cell r="AH1865" t="str">
            <v/>
          </cell>
          <cell r="AI1865" t="str">
            <v/>
          </cell>
          <cell r="AJ1865" t="str">
            <v/>
          </cell>
          <cell r="AK1865" t="str">
            <v>0.069189</v>
          </cell>
          <cell r="AL1865" t="str">
            <v>2</v>
          </cell>
          <cell r="AM1865" t="str">
            <v>Q</v>
          </cell>
          <cell r="AN1865" t="str">
            <v>M0</v>
          </cell>
          <cell r="AO1865" t="str">
            <v>Active(Model)</v>
          </cell>
          <cell r="AP1865" t="str">
            <v/>
          </cell>
          <cell r="AQ1865" t="str">
            <v/>
          </cell>
          <cell r="AR1865" t="str">
            <v>Y</v>
          </cell>
          <cell r="AS1865" t="str">
            <v/>
          </cell>
          <cell r="AT1865" t="str">
            <v>MN</v>
          </cell>
          <cell r="AU1865" t="str">
            <v>Monitor</v>
          </cell>
          <cell r="AV1865" t="str">
            <v>MNLC</v>
          </cell>
          <cell r="AW1865" t="str">
            <v>LCD Monitor</v>
          </cell>
          <cell r="AX1865" t="str">
            <v>MNLC27</v>
          </cell>
          <cell r="AY1865" t="str">
            <v>LCD Monitor 27</v>
          </cell>
          <cell r="AZ1865" t="str">
            <v>MNLC27NW</v>
          </cell>
          <cell r="BA1865" t="str">
            <v>LCD Monitor 27 (Wide)</v>
          </cell>
        </row>
        <row r="1866">
          <cell r="E1866" t="str">
            <v>29U511A-B.ATV</v>
          </cell>
          <cell r="F1866">
            <v>107</v>
          </cell>
          <cell r="G1866">
            <v>0</v>
          </cell>
          <cell r="H1866">
            <v>0</v>
          </cell>
          <cell r="I1866">
            <v>143</v>
          </cell>
          <cell r="J1866">
            <v>4</v>
          </cell>
          <cell r="K1866">
            <v>0</v>
          </cell>
          <cell r="L1866">
            <v>0</v>
          </cell>
          <cell r="M1866">
            <v>5</v>
          </cell>
          <cell r="N1866">
            <v>2</v>
          </cell>
          <cell r="O1866">
            <v>3</v>
          </cell>
          <cell r="P1866">
            <v>7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  <cell r="AE1866">
            <v>5</v>
          </cell>
          <cell r="AF1866">
            <v>0</v>
          </cell>
          <cell r="AG1866" t="str">
            <v/>
          </cell>
          <cell r="AH1866" t="str">
            <v/>
          </cell>
          <cell r="AI1866" t="str">
            <v/>
          </cell>
          <cell r="AJ1866" t="str">
            <v/>
          </cell>
          <cell r="AK1866" t="str">
            <v>0.039698</v>
          </cell>
          <cell r="AL1866" t="str">
            <v>2</v>
          </cell>
          <cell r="AM1866" t="str">
            <v>Q</v>
          </cell>
          <cell r="AN1866" t="str">
            <v>M0</v>
          </cell>
          <cell r="AO1866" t="str">
            <v>Active(Model)</v>
          </cell>
          <cell r="AP1866" t="str">
            <v/>
          </cell>
          <cell r="AQ1866" t="str">
            <v/>
          </cell>
          <cell r="AR1866" t="str">
            <v>Y</v>
          </cell>
          <cell r="AS1866" t="str">
            <v/>
          </cell>
          <cell r="AT1866" t="str">
            <v>MN</v>
          </cell>
          <cell r="AU1866" t="str">
            <v>Monitor</v>
          </cell>
          <cell r="AV1866" t="str">
            <v>MNLC</v>
          </cell>
          <cell r="AW1866" t="str">
            <v>LCD Monitor</v>
          </cell>
          <cell r="AX1866" t="str">
            <v>MNLC29</v>
          </cell>
          <cell r="AY1866" t="str">
            <v>LCD Monitor 29</v>
          </cell>
          <cell r="AZ1866" t="str">
            <v>MNLC29NW</v>
          </cell>
          <cell r="BA1866" t="str">
            <v>LCD Monitor 29 (WIDE)</v>
          </cell>
        </row>
        <row r="1867">
          <cell r="E1867" t="str">
            <v>32LB655BPSA.ATV</v>
          </cell>
          <cell r="F1867">
            <v>0</v>
          </cell>
          <cell r="G1867">
            <v>0</v>
          </cell>
          <cell r="H1867">
            <v>0</v>
          </cell>
          <cell r="I1867">
            <v>106</v>
          </cell>
          <cell r="J1867">
            <v>0</v>
          </cell>
          <cell r="K1867">
            <v>358</v>
          </cell>
          <cell r="L1867">
            <v>0</v>
          </cell>
          <cell r="M1867">
            <v>0</v>
          </cell>
          <cell r="N1867">
            <v>102</v>
          </cell>
          <cell r="O1867">
            <v>41</v>
          </cell>
          <cell r="P1867">
            <v>102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  <cell r="AF1867">
            <v>0</v>
          </cell>
          <cell r="AG1867" t="str">
            <v>LCDBASIC</v>
          </cell>
          <cell r="AH1867" t="str">
            <v>LCD_Basic</v>
          </cell>
          <cell r="AI1867" t="str">
            <v/>
          </cell>
          <cell r="AJ1867" t="str">
            <v/>
          </cell>
          <cell r="AK1867" t="str">
            <v>0.046476</v>
          </cell>
          <cell r="AL1867" t="str">
            <v>2</v>
          </cell>
          <cell r="AM1867" t="str">
            <v>Q</v>
          </cell>
          <cell r="AN1867" t="str">
            <v>M0</v>
          </cell>
          <cell r="AO1867" t="str">
            <v>Active(Model)</v>
          </cell>
          <cell r="AP1867" t="str">
            <v/>
          </cell>
          <cell r="AQ1867" t="str">
            <v/>
          </cell>
          <cell r="AR1867" t="str">
            <v>Y</v>
          </cell>
          <cell r="AS1867" t="str">
            <v/>
          </cell>
          <cell r="AT1867" t="str">
            <v>TV</v>
          </cell>
          <cell r="AU1867" t="str">
            <v>TV</v>
          </cell>
          <cell r="AV1867" t="str">
            <v>TVLE</v>
          </cell>
          <cell r="AW1867" t="str">
            <v>LED LCD TV</v>
          </cell>
          <cell r="AX1867" t="str">
            <v>TVLE32</v>
          </cell>
          <cell r="AY1867" t="str">
            <v>LED LCD TV 32</v>
          </cell>
          <cell r="AZ1867" t="str">
            <v>TVLE32NX</v>
          </cell>
          <cell r="BA1867" t="str">
            <v>LED LCD TV 32 (HD)</v>
          </cell>
        </row>
        <row r="1868">
          <cell r="E1868" t="str">
            <v>32LK660H0SD.ATV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 t="str">
            <v/>
          </cell>
          <cell r="AH1868" t="str">
            <v/>
          </cell>
          <cell r="AI1868" t="str">
            <v/>
          </cell>
          <cell r="AJ1868" t="str">
            <v/>
          </cell>
          <cell r="AK1868" t="str">
            <v>0.058805</v>
          </cell>
          <cell r="AL1868" t="str">
            <v>2</v>
          </cell>
          <cell r="AM1868" t="str">
            <v>Q</v>
          </cell>
          <cell r="AN1868" t="str">
            <v>M0</v>
          </cell>
          <cell r="AO1868" t="str">
            <v>Active(Model)</v>
          </cell>
          <cell r="AP1868" t="str">
            <v/>
          </cell>
          <cell r="AQ1868" t="str">
            <v/>
          </cell>
          <cell r="AR1868" t="str">
            <v>Y</v>
          </cell>
          <cell r="AS1868" t="str">
            <v/>
          </cell>
          <cell r="AT1868" t="str">
            <v>HT</v>
          </cell>
          <cell r="AU1868" t="str">
            <v>Commercial Display_Hotel</v>
          </cell>
          <cell r="AV1868" t="str">
            <v>HTTE</v>
          </cell>
          <cell r="AW1868" t="str">
            <v>Commercial(Hotel)_LED LCD TV</v>
          </cell>
          <cell r="AX1868" t="str">
            <v>HTTE32</v>
          </cell>
          <cell r="AY1868" t="str">
            <v>Commercial(Hotel)_LED LCD TV 32</v>
          </cell>
          <cell r="AZ1868" t="str">
            <v>HTTE32NX</v>
          </cell>
          <cell r="BA1868" t="str">
            <v>Commercial(Hotel)_LED LCD TV 32</v>
          </cell>
        </row>
        <row r="1869">
          <cell r="E1869" t="str">
            <v>32LX6BDGA.ATV</v>
          </cell>
          <cell r="F1869">
            <v>59</v>
          </cell>
          <cell r="G1869">
            <v>0</v>
          </cell>
          <cell r="H1869">
            <v>0</v>
          </cell>
          <cell r="I1869">
            <v>82</v>
          </cell>
          <cell r="J1869">
            <v>3</v>
          </cell>
          <cell r="K1869">
            <v>0</v>
          </cell>
          <cell r="L1869">
            <v>0</v>
          </cell>
          <cell r="M1869">
            <v>4</v>
          </cell>
          <cell r="N1869">
            <v>5</v>
          </cell>
          <cell r="O1869">
            <v>24</v>
          </cell>
          <cell r="P1869">
            <v>9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2</v>
          </cell>
          <cell r="AD1869">
            <v>0</v>
          </cell>
          <cell r="AE1869">
            <v>0</v>
          </cell>
          <cell r="AF1869">
            <v>2</v>
          </cell>
          <cell r="AG1869" t="str">
            <v>LCDBASIC</v>
          </cell>
          <cell r="AH1869" t="str">
            <v>LCD_Basic</v>
          </cell>
          <cell r="AI1869" t="str">
            <v/>
          </cell>
          <cell r="AJ1869" t="str">
            <v/>
          </cell>
          <cell r="AK1869" t="str">
            <v>0.129730</v>
          </cell>
          <cell r="AL1869" t="str">
            <v>2</v>
          </cell>
          <cell r="AM1869" t="str">
            <v>Q</v>
          </cell>
          <cell r="AN1869" t="str">
            <v>M0</v>
          </cell>
          <cell r="AO1869" t="str">
            <v>Active(Model)</v>
          </cell>
          <cell r="AP1869" t="str">
            <v/>
          </cell>
          <cell r="AQ1869" t="str">
            <v/>
          </cell>
          <cell r="AR1869" t="str">
            <v>Y</v>
          </cell>
          <cell r="AS1869" t="str">
            <v/>
          </cell>
          <cell r="AT1869" t="str">
            <v>TV</v>
          </cell>
          <cell r="AU1869" t="str">
            <v>TV</v>
          </cell>
          <cell r="AV1869" t="str">
            <v>TVLS</v>
          </cell>
          <cell r="AW1869" t="str">
            <v>TV Life Style</v>
          </cell>
          <cell r="AX1869" t="str">
            <v>TVLS32</v>
          </cell>
          <cell r="AY1869" t="str">
            <v>TV Life Style 32</v>
          </cell>
          <cell r="AZ1869" t="str">
            <v>TVLS32NU</v>
          </cell>
          <cell r="BA1869" t="str">
            <v>Life Style Display 32 (UD)</v>
          </cell>
        </row>
        <row r="1870">
          <cell r="E1870" t="str">
            <v>32TNF5P-B.ATV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  <cell r="AF1870">
            <v>0</v>
          </cell>
          <cell r="AG1870" t="str">
            <v/>
          </cell>
          <cell r="AH1870" t="str">
            <v/>
          </cell>
          <cell r="AI1870" t="str">
            <v/>
          </cell>
          <cell r="AJ1870" t="str">
            <v/>
          </cell>
          <cell r="AK1870" t="str">
            <v>0.059382</v>
          </cell>
          <cell r="AL1870" t="str">
            <v>2</v>
          </cell>
          <cell r="AM1870" t="str">
            <v>Q</v>
          </cell>
          <cell r="AN1870" t="str">
            <v>M0</v>
          </cell>
          <cell r="AO1870" t="str">
            <v>Active(Model)</v>
          </cell>
          <cell r="AP1870" t="str">
            <v/>
          </cell>
          <cell r="AQ1870" t="str">
            <v/>
          </cell>
          <cell r="AR1870" t="str">
            <v>Y</v>
          </cell>
          <cell r="AS1870" t="str">
            <v/>
          </cell>
          <cell r="AT1870" t="str">
            <v>CS</v>
          </cell>
          <cell r="AU1870" t="str">
            <v>Commercial Display_Signage</v>
          </cell>
          <cell r="AV1870" t="str">
            <v>CSME</v>
          </cell>
          <cell r="AW1870" t="str">
            <v>Commercial_LED LCD Monitor</v>
          </cell>
          <cell r="AX1870" t="str">
            <v>CSME32</v>
          </cell>
          <cell r="AY1870" t="str">
            <v>Commercial_LED LCD Monitor 32</v>
          </cell>
          <cell r="AZ1870" t="str">
            <v>CSME32NN</v>
          </cell>
          <cell r="BA1870" t="str">
            <v>Commercial_LED LCD Monitor 32 (MFT WIDE)</v>
          </cell>
        </row>
        <row r="1871">
          <cell r="E1871" t="str">
            <v>32U631A-B.ATVQ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  <cell r="AF1871">
            <v>0</v>
          </cell>
          <cell r="AG1871" t="str">
            <v/>
          </cell>
          <cell r="AH1871" t="str">
            <v/>
          </cell>
          <cell r="AI1871" t="str">
            <v/>
          </cell>
          <cell r="AJ1871" t="str">
            <v/>
          </cell>
          <cell r="AK1871" t="str">
            <v>0.075430</v>
          </cell>
          <cell r="AL1871" t="str">
            <v>2</v>
          </cell>
          <cell r="AM1871" t="str">
            <v>Q</v>
          </cell>
          <cell r="AN1871" t="str">
            <v>M0</v>
          </cell>
          <cell r="AO1871" t="str">
            <v>Active(Model)</v>
          </cell>
          <cell r="AP1871" t="str">
            <v/>
          </cell>
          <cell r="AQ1871" t="str">
            <v/>
          </cell>
          <cell r="AR1871" t="str">
            <v>Y</v>
          </cell>
          <cell r="AS1871" t="str">
            <v/>
          </cell>
          <cell r="AT1871" t="str">
            <v>MN</v>
          </cell>
          <cell r="AU1871" t="str">
            <v>Monitor</v>
          </cell>
          <cell r="AV1871" t="str">
            <v>MNLC</v>
          </cell>
          <cell r="AW1871" t="str">
            <v>LCD Monitor</v>
          </cell>
          <cell r="AX1871" t="str">
            <v>MNLC32</v>
          </cell>
          <cell r="AY1871" t="str">
            <v>LCD Monitor 32</v>
          </cell>
          <cell r="AZ1871" t="str">
            <v>MNLC32NO</v>
          </cell>
          <cell r="BA1871" t="str">
            <v>LCD Monitor 32 (OS, Wide)</v>
          </cell>
        </row>
        <row r="1872">
          <cell r="E1872" t="str">
            <v>32U889SA-W.ATV</v>
          </cell>
          <cell r="F1872">
            <v>26</v>
          </cell>
          <cell r="G1872">
            <v>0</v>
          </cell>
          <cell r="H1872">
            <v>0</v>
          </cell>
          <cell r="I1872">
            <v>46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  <cell r="AF1872">
            <v>0</v>
          </cell>
          <cell r="AG1872" t="str">
            <v/>
          </cell>
          <cell r="AH1872" t="str">
            <v/>
          </cell>
          <cell r="AI1872" t="str">
            <v/>
          </cell>
          <cell r="AJ1872" t="str">
            <v/>
          </cell>
          <cell r="AK1872" t="str">
            <v>0.255753</v>
          </cell>
          <cell r="AL1872" t="str">
            <v>2</v>
          </cell>
          <cell r="AM1872" t="str">
            <v>Q</v>
          </cell>
          <cell r="AN1872" t="str">
            <v>M0</v>
          </cell>
          <cell r="AO1872" t="str">
            <v>Active(Model)</v>
          </cell>
          <cell r="AP1872" t="str">
            <v/>
          </cell>
          <cell r="AQ1872" t="str">
            <v/>
          </cell>
          <cell r="AR1872" t="str">
            <v>Y</v>
          </cell>
          <cell r="AS1872" t="str">
            <v/>
          </cell>
          <cell r="AT1872" t="str">
            <v>MN</v>
          </cell>
          <cell r="AU1872" t="str">
            <v>Monitor</v>
          </cell>
          <cell r="AV1872" t="str">
            <v>MNLC</v>
          </cell>
          <cell r="AW1872" t="str">
            <v>LCD Monitor</v>
          </cell>
          <cell r="AX1872" t="str">
            <v>MNLC32</v>
          </cell>
          <cell r="AY1872" t="str">
            <v>LCD Monitor 32</v>
          </cell>
          <cell r="AZ1872" t="str">
            <v>MNLC32NW</v>
          </cell>
          <cell r="BA1872" t="str">
            <v>LCD Monitor 32  (WIDE)</v>
          </cell>
        </row>
        <row r="1873">
          <cell r="E1873" t="str">
            <v>32U990A-S.ATV</v>
          </cell>
          <cell r="F1873">
            <v>0</v>
          </cell>
          <cell r="G1873">
            <v>0</v>
          </cell>
          <cell r="H1873">
            <v>0</v>
          </cell>
          <cell r="I1873">
            <v>2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 t="str">
            <v/>
          </cell>
          <cell r="AH1873" t="str">
            <v/>
          </cell>
          <cell r="AI1873" t="str">
            <v/>
          </cell>
          <cell r="AJ1873" t="str">
            <v/>
          </cell>
          <cell r="AK1873" t="str">
            <v>0.084021</v>
          </cell>
          <cell r="AL1873" t="str">
            <v>2</v>
          </cell>
          <cell r="AM1873" t="str">
            <v>Q</v>
          </cell>
          <cell r="AN1873" t="str">
            <v>M0</v>
          </cell>
          <cell r="AO1873" t="str">
            <v>Active(Model)</v>
          </cell>
          <cell r="AP1873" t="str">
            <v/>
          </cell>
          <cell r="AQ1873" t="str">
            <v/>
          </cell>
          <cell r="AR1873" t="str">
            <v>Y</v>
          </cell>
          <cell r="AS1873" t="str">
            <v/>
          </cell>
          <cell r="AT1873" t="str">
            <v>MN</v>
          </cell>
          <cell r="AU1873" t="str">
            <v>Monitor</v>
          </cell>
          <cell r="AV1873" t="str">
            <v>MNLC</v>
          </cell>
          <cell r="AW1873" t="str">
            <v>LCD Monitor</v>
          </cell>
          <cell r="AX1873" t="str">
            <v>MNLC32</v>
          </cell>
          <cell r="AY1873" t="str">
            <v>LCD Monitor 32</v>
          </cell>
          <cell r="AZ1873" t="str">
            <v>MNLC32NW</v>
          </cell>
          <cell r="BA1873" t="str">
            <v>LCD Monitor 32  (WIDE)</v>
          </cell>
        </row>
        <row r="1874">
          <cell r="E1874" t="str">
            <v>32UL5Q-M.ATVQ</v>
          </cell>
          <cell r="F1874">
            <v>9</v>
          </cell>
          <cell r="G1874">
            <v>0</v>
          </cell>
          <cell r="H1874">
            <v>0</v>
          </cell>
          <cell r="I1874">
            <v>11</v>
          </cell>
          <cell r="J1874">
            <v>0</v>
          </cell>
          <cell r="K1874">
            <v>5</v>
          </cell>
          <cell r="L1874">
            <v>2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11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  <cell r="AF1874">
            <v>0</v>
          </cell>
          <cell r="AG1874" t="str">
            <v/>
          </cell>
          <cell r="AH1874" t="str">
            <v/>
          </cell>
          <cell r="AI1874" t="str">
            <v/>
          </cell>
          <cell r="AJ1874" t="str">
            <v/>
          </cell>
          <cell r="AK1874" t="str">
            <v>0.058472</v>
          </cell>
          <cell r="AL1874" t="str">
            <v>2</v>
          </cell>
          <cell r="AM1874" t="str">
            <v>Q</v>
          </cell>
          <cell r="AN1874" t="str">
            <v>M0</v>
          </cell>
          <cell r="AO1874" t="str">
            <v>Active(Model)</v>
          </cell>
          <cell r="AP1874" t="str">
            <v/>
          </cell>
          <cell r="AQ1874" t="str">
            <v/>
          </cell>
          <cell r="AR1874" t="str">
            <v>Y</v>
          </cell>
          <cell r="AS1874" t="str">
            <v/>
          </cell>
          <cell r="AT1874" t="str">
            <v>CS</v>
          </cell>
          <cell r="AU1874" t="str">
            <v>Commercial Display_Signage</v>
          </cell>
          <cell r="AV1874" t="str">
            <v>CSME</v>
          </cell>
          <cell r="AW1874" t="str">
            <v>Commercial_LED LCD Monitor</v>
          </cell>
          <cell r="AX1874" t="str">
            <v>CSME32</v>
          </cell>
          <cell r="AY1874" t="str">
            <v>Commercial_LED LCD Monitor 32</v>
          </cell>
          <cell r="AZ1874" t="str">
            <v>CSME32NN</v>
          </cell>
          <cell r="BA1874" t="str">
            <v>Commercial_LED LCD Monitor 32 (MFT WIDE)</v>
          </cell>
        </row>
        <row r="1875">
          <cell r="E1875" t="str">
            <v>34G600A-B.ATV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1</v>
          </cell>
          <cell r="K1875">
            <v>25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 t="str">
            <v/>
          </cell>
          <cell r="AH1875" t="str">
            <v/>
          </cell>
          <cell r="AI1875" t="str">
            <v/>
          </cell>
          <cell r="AJ1875" t="str">
            <v/>
          </cell>
          <cell r="AK1875" t="str">
            <v>0.129233</v>
          </cell>
          <cell r="AL1875" t="str">
            <v>2</v>
          </cell>
          <cell r="AM1875" t="str">
            <v>Q</v>
          </cell>
          <cell r="AN1875" t="str">
            <v>M0</v>
          </cell>
          <cell r="AO1875" t="str">
            <v>Active(Model)</v>
          </cell>
          <cell r="AP1875" t="str">
            <v/>
          </cell>
          <cell r="AQ1875" t="str">
            <v/>
          </cell>
          <cell r="AR1875" t="str">
            <v>Y</v>
          </cell>
          <cell r="AS1875" t="str">
            <v/>
          </cell>
          <cell r="AT1875" t="str">
            <v>MN</v>
          </cell>
          <cell r="AU1875" t="str">
            <v>Monitor</v>
          </cell>
          <cell r="AV1875" t="str">
            <v>MNLC</v>
          </cell>
          <cell r="AW1875" t="str">
            <v>LCD Monitor</v>
          </cell>
          <cell r="AX1875" t="str">
            <v>MNLC34</v>
          </cell>
          <cell r="AY1875" t="str">
            <v>LCD Monitor 34</v>
          </cell>
          <cell r="AZ1875" t="str">
            <v>MNLC34NW</v>
          </cell>
          <cell r="BA1875" t="str">
            <v>LCD Monitor 34(WIDE)</v>
          </cell>
        </row>
        <row r="1876">
          <cell r="E1876" t="str">
            <v>34GX90SB-W.ATV</v>
          </cell>
          <cell r="F1876">
            <v>0</v>
          </cell>
          <cell r="G1876">
            <v>0</v>
          </cell>
          <cell r="H1876">
            <v>0</v>
          </cell>
          <cell r="I1876">
            <v>9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  <cell r="AE1876">
            <v>0</v>
          </cell>
          <cell r="AF1876">
            <v>0</v>
          </cell>
          <cell r="AG1876" t="str">
            <v/>
          </cell>
          <cell r="AH1876" t="str">
            <v/>
          </cell>
          <cell r="AI1876" t="str">
            <v/>
          </cell>
          <cell r="AJ1876" t="str">
            <v/>
          </cell>
          <cell r="AK1876" t="str">
            <v>0.150406</v>
          </cell>
          <cell r="AL1876" t="str">
            <v>2</v>
          </cell>
          <cell r="AM1876" t="str">
            <v>Q</v>
          </cell>
          <cell r="AN1876" t="str">
            <v>M0</v>
          </cell>
          <cell r="AO1876" t="str">
            <v>Active(Model)</v>
          </cell>
          <cell r="AP1876" t="str">
            <v/>
          </cell>
          <cell r="AQ1876" t="str">
            <v/>
          </cell>
          <cell r="AR1876" t="str">
            <v>Y</v>
          </cell>
          <cell r="AS1876" t="str">
            <v/>
          </cell>
          <cell r="AT1876" t="str">
            <v>MN</v>
          </cell>
          <cell r="AU1876" t="str">
            <v>Monitor</v>
          </cell>
          <cell r="AV1876" t="str">
            <v>MNOL</v>
          </cell>
          <cell r="AW1876" t="str">
            <v>OLED Monitor</v>
          </cell>
          <cell r="AX1876" t="str">
            <v>MNOL34</v>
          </cell>
          <cell r="AY1876" t="str">
            <v>OLED Monitor 34</v>
          </cell>
          <cell r="AZ1876" t="str">
            <v>MNOL34NW</v>
          </cell>
          <cell r="BA1876" t="str">
            <v>OLED Monitor 34 (WIDE)</v>
          </cell>
        </row>
        <row r="1877">
          <cell r="E1877" t="str">
            <v>34U511A-B.ATV</v>
          </cell>
          <cell r="F1877">
            <v>0</v>
          </cell>
          <cell r="G1877">
            <v>0</v>
          </cell>
          <cell r="H1877">
            <v>0</v>
          </cell>
          <cell r="I1877">
            <v>1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1</v>
          </cell>
          <cell r="O1877">
            <v>0</v>
          </cell>
          <cell r="P1877">
            <v>1</v>
          </cell>
          <cell r="Q1877">
            <v>0</v>
          </cell>
          <cell r="R1877">
            <v>0</v>
          </cell>
          <cell r="S1877">
            <v>0</v>
          </cell>
          <cell r="T1877">
            <v>1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 t="str">
            <v/>
          </cell>
          <cell r="AH1877" t="str">
            <v/>
          </cell>
          <cell r="AI1877" t="str">
            <v/>
          </cell>
          <cell r="AJ1877" t="str">
            <v/>
          </cell>
          <cell r="AK1877" t="str">
            <v>0.083902</v>
          </cell>
          <cell r="AL1877" t="str">
            <v>2</v>
          </cell>
          <cell r="AM1877" t="str">
            <v>Q</v>
          </cell>
          <cell r="AN1877" t="str">
            <v>M0</v>
          </cell>
          <cell r="AO1877" t="str">
            <v>Active(Model)</v>
          </cell>
          <cell r="AP1877" t="str">
            <v/>
          </cell>
          <cell r="AQ1877" t="str">
            <v/>
          </cell>
          <cell r="AR1877" t="str">
            <v>Y</v>
          </cell>
          <cell r="AS1877" t="str">
            <v/>
          </cell>
          <cell r="AT1877" t="str">
            <v>MN</v>
          </cell>
          <cell r="AU1877" t="str">
            <v>Monitor</v>
          </cell>
          <cell r="AV1877" t="str">
            <v>MNLC</v>
          </cell>
          <cell r="AW1877" t="str">
            <v>LCD Monitor</v>
          </cell>
          <cell r="AX1877" t="str">
            <v>MNLC34</v>
          </cell>
          <cell r="AY1877" t="str">
            <v>LCD Monitor 34</v>
          </cell>
          <cell r="AZ1877" t="str">
            <v>MNLC34NW</v>
          </cell>
          <cell r="BA1877" t="str">
            <v>LCD Monitor 34(WIDE)</v>
          </cell>
        </row>
        <row r="1878">
          <cell r="E1878" t="str">
            <v>40U990A-W.ATV</v>
          </cell>
          <cell r="F1878">
            <v>0</v>
          </cell>
          <cell r="G1878">
            <v>0</v>
          </cell>
          <cell r="H1878">
            <v>0</v>
          </cell>
          <cell r="I1878">
            <v>5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0</v>
          </cell>
          <cell r="AF1878">
            <v>0</v>
          </cell>
          <cell r="AG1878" t="str">
            <v/>
          </cell>
          <cell r="AH1878" t="str">
            <v/>
          </cell>
          <cell r="AI1878" t="str">
            <v/>
          </cell>
          <cell r="AJ1878" t="str">
            <v/>
          </cell>
          <cell r="AK1878" t="str">
            <v>0.129445</v>
          </cell>
          <cell r="AL1878" t="str">
            <v>2</v>
          </cell>
          <cell r="AM1878" t="str">
            <v>Q</v>
          </cell>
          <cell r="AN1878" t="str">
            <v>M0</v>
          </cell>
          <cell r="AO1878" t="str">
            <v>Active(Model)</v>
          </cell>
          <cell r="AP1878" t="str">
            <v/>
          </cell>
          <cell r="AQ1878" t="str">
            <v/>
          </cell>
          <cell r="AR1878" t="str">
            <v>Y</v>
          </cell>
          <cell r="AS1878" t="str">
            <v/>
          </cell>
          <cell r="AT1878" t="str">
            <v>MN</v>
          </cell>
          <cell r="AU1878" t="str">
            <v>Monitor</v>
          </cell>
          <cell r="AV1878" t="str">
            <v>MNLC</v>
          </cell>
          <cell r="AW1878" t="str">
            <v>LCD Monitor</v>
          </cell>
          <cell r="AX1878" t="str">
            <v>MNLC40</v>
          </cell>
          <cell r="AY1878" t="str">
            <v>LCD Monitor 40</v>
          </cell>
          <cell r="AZ1878" t="str">
            <v>MNLC40NW</v>
          </cell>
          <cell r="BA1878" t="str">
            <v>LCD Monitor 40 (WIDE)</v>
          </cell>
        </row>
        <row r="1879">
          <cell r="E1879" t="str">
            <v>43LB6500PSB.AWZSLHX</v>
          </cell>
          <cell r="F1879">
            <v>1</v>
          </cell>
          <cell r="G1879">
            <v>0</v>
          </cell>
          <cell r="H1879">
            <v>0</v>
          </cell>
          <cell r="I1879">
            <v>1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 t="str">
            <v/>
          </cell>
          <cell r="AH1879" t="str">
            <v/>
          </cell>
          <cell r="AI1879" t="str">
            <v/>
          </cell>
          <cell r="AJ1879" t="str">
            <v/>
          </cell>
          <cell r="AK1879" t="str">
            <v>0.082680</v>
          </cell>
          <cell r="AL1879" t="str">
            <v>2</v>
          </cell>
          <cell r="AM1879" t="str">
            <v>Q</v>
          </cell>
          <cell r="AN1879" t="str">
            <v>M0</v>
          </cell>
          <cell r="AO1879" t="str">
            <v>Active(Model)</v>
          </cell>
          <cell r="AP1879" t="str">
            <v/>
          </cell>
          <cell r="AQ1879" t="str">
            <v/>
          </cell>
          <cell r="AR1879" t="str">
            <v>Y</v>
          </cell>
          <cell r="AS1879" t="str">
            <v/>
          </cell>
          <cell r="AT1879" t="str">
            <v>TV</v>
          </cell>
          <cell r="AU1879" t="str">
            <v>TV</v>
          </cell>
          <cell r="AV1879" t="str">
            <v>TVLE</v>
          </cell>
          <cell r="AW1879" t="str">
            <v>LED LCD TV</v>
          </cell>
          <cell r="AX1879" t="str">
            <v>TVLE43</v>
          </cell>
          <cell r="AY1879" t="str">
            <v>LED LCD TV 43</v>
          </cell>
          <cell r="AZ1879" t="str">
            <v>TVLE43NF</v>
          </cell>
          <cell r="BA1879" t="str">
            <v>LED LCD TV 43 (FHD)</v>
          </cell>
        </row>
        <row r="1880">
          <cell r="E1880" t="str">
            <v>43LB6550PSA.ATV</v>
          </cell>
          <cell r="F1880">
            <v>0</v>
          </cell>
          <cell r="G1880">
            <v>0</v>
          </cell>
          <cell r="H1880">
            <v>0</v>
          </cell>
          <cell r="I1880">
            <v>34</v>
          </cell>
          <cell r="J1880">
            <v>1</v>
          </cell>
          <cell r="K1880">
            <v>795</v>
          </cell>
          <cell r="L1880">
            <v>0</v>
          </cell>
          <cell r="M1880">
            <v>9</v>
          </cell>
          <cell r="N1880">
            <v>21</v>
          </cell>
          <cell r="O1880">
            <v>105</v>
          </cell>
          <cell r="P1880">
            <v>30</v>
          </cell>
          <cell r="Q1880">
            <v>41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 t="str">
            <v>LCDBASIC</v>
          </cell>
          <cell r="AH1880" t="str">
            <v>LCD_Basic</v>
          </cell>
          <cell r="AI1880" t="str">
            <v/>
          </cell>
          <cell r="AJ1880" t="str">
            <v/>
          </cell>
          <cell r="AK1880" t="str">
            <v>0.082680</v>
          </cell>
          <cell r="AL1880" t="str">
            <v>2</v>
          </cell>
          <cell r="AM1880" t="str">
            <v>Q</v>
          </cell>
          <cell r="AN1880" t="str">
            <v>M0</v>
          </cell>
          <cell r="AO1880" t="str">
            <v>Active(Model)</v>
          </cell>
          <cell r="AP1880" t="str">
            <v/>
          </cell>
          <cell r="AQ1880" t="str">
            <v/>
          </cell>
          <cell r="AR1880" t="str">
            <v>Y</v>
          </cell>
          <cell r="AS1880" t="str">
            <v/>
          </cell>
          <cell r="AT1880" t="str">
            <v>TV</v>
          </cell>
          <cell r="AU1880" t="str">
            <v>TV</v>
          </cell>
          <cell r="AV1880" t="str">
            <v>TVLE</v>
          </cell>
          <cell r="AW1880" t="str">
            <v>LED LCD TV</v>
          </cell>
          <cell r="AX1880" t="str">
            <v>TVLE43</v>
          </cell>
          <cell r="AY1880" t="str">
            <v>LED LCD TV 43</v>
          </cell>
          <cell r="AZ1880" t="str">
            <v>TVLE43NF</v>
          </cell>
          <cell r="BA1880" t="str">
            <v>LED LCD TV 43 (FHD)</v>
          </cell>
        </row>
        <row r="1881">
          <cell r="E1881" t="str">
            <v>43NU805BPSC.ATVQ</v>
          </cell>
          <cell r="F1881">
            <v>405</v>
          </cell>
          <cell r="G1881">
            <v>0</v>
          </cell>
          <cell r="H1881">
            <v>0</v>
          </cell>
          <cell r="I1881">
            <v>1670</v>
          </cell>
          <cell r="J1881">
            <v>50</v>
          </cell>
          <cell r="K1881">
            <v>0</v>
          </cell>
          <cell r="L1881">
            <v>0</v>
          </cell>
          <cell r="M1881">
            <v>450</v>
          </cell>
          <cell r="N1881">
            <v>800</v>
          </cell>
          <cell r="O1881">
            <v>0</v>
          </cell>
          <cell r="P1881">
            <v>1250</v>
          </cell>
          <cell r="Q1881">
            <v>924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 t="str">
            <v>LCDBASIC</v>
          </cell>
          <cell r="AH1881" t="str">
            <v>LCD_Basic</v>
          </cell>
          <cell r="AI1881" t="str">
            <v/>
          </cell>
          <cell r="AJ1881" t="str">
            <v/>
          </cell>
          <cell r="AK1881" t="str">
            <v>0.070787</v>
          </cell>
          <cell r="AL1881" t="str">
            <v>2</v>
          </cell>
          <cell r="AM1881" t="str">
            <v>Q</v>
          </cell>
          <cell r="AN1881" t="str">
            <v>M0</v>
          </cell>
          <cell r="AO1881" t="str">
            <v>Active(Model)</v>
          </cell>
          <cell r="AP1881" t="str">
            <v/>
          </cell>
          <cell r="AQ1881" t="str">
            <v/>
          </cell>
          <cell r="AR1881" t="str">
            <v>Y</v>
          </cell>
          <cell r="AS1881" t="str">
            <v/>
          </cell>
          <cell r="AT1881" t="str">
            <v>TV</v>
          </cell>
          <cell r="AU1881" t="str">
            <v>TV</v>
          </cell>
          <cell r="AV1881" t="str">
            <v>TVLE</v>
          </cell>
          <cell r="AW1881" t="str">
            <v>LED LCD TV</v>
          </cell>
          <cell r="AX1881" t="str">
            <v>TVLE43</v>
          </cell>
          <cell r="AY1881" t="str">
            <v>LED LCD TV 43</v>
          </cell>
          <cell r="AZ1881" t="str">
            <v>TVLE43OU</v>
          </cell>
          <cell r="BA1881" t="str">
            <v>LED LCD TV 43 (O/S, UD)</v>
          </cell>
        </row>
        <row r="1882">
          <cell r="E1882" t="str">
            <v>43NU835BPSA.ATV</v>
          </cell>
          <cell r="F1882">
            <v>17</v>
          </cell>
          <cell r="G1882">
            <v>0</v>
          </cell>
          <cell r="H1882">
            <v>0</v>
          </cell>
          <cell r="I1882">
            <v>17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0</v>
          </cell>
          <cell r="AF1882">
            <v>0</v>
          </cell>
          <cell r="AG1882" t="str">
            <v>LCDBASIC</v>
          </cell>
          <cell r="AH1882" t="str">
            <v>LCD_Basic</v>
          </cell>
          <cell r="AI1882" t="str">
            <v/>
          </cell>
          <cell r="AJ1882" t="str">
            <v/>
          </cell>
          <cell r="AK1882" t="str">
            <v>0.079378</v>
          </cell>
          <cell r="AL1882" t="str">
            <v>2</v>
          </cell>
          <cell r="AM1882" t="str">
            <v>Q</v>
          </cell>
          <cell r="AN1882" t="str">
            <v>M0</v>
          </cell>
          <cell r="AO1882" t="str">
            <v>Active(Model)</v>
          </cell>
          <cell r="AP1882" t="str">
            <v/>
          </cell>
          <cell r="AQ1882" t="str">
            <v/>
          </cell>
          <cell r="AR1882" t="str">
            <v>Y</v>
          </cell>
          <cell r="AS1882" t="str">
            <v/>
          </cell>
          <cell r="AT1882" t="str">
            <v>TV</v>
          </cell>
          <cell r="AU1882" t="str">
            <v>TV</v>
          </cell>
          <cell r="AV1882" t="str">
            <v>TVLE</v>
          </cell>
          <cell r="AW1882" t="str">
            <v>LED LCD TV</v>
          </cell>
          <cell r="AX1882" t="str">
            <v>TVLE43</v>
          </cell>
          <cell r="AY1882" t="str">
            <v>LED LCD TV 43</v>
          </cell>
          <cell r="AZ1882" t="str">
            <v>TVLE43NU</v>
          </cell>
          <cell r="BA1882" t="str">
            <v>LED LCD TV 43 (UD)</v>
          </cell>
        </row>
        <row r="1883">
          <cell r="E1883" t="str">
            <v>43NU855BPSA.ATV</v>
          </cell>
          <cell r="F1883">
            <v>516</v>
          </cell>
          <cell r="G1883">
            <v>0</v>
          </cell>
          <cell r="H1883">
            <v>0</v>
          </cell>
          <cell r="I1883">
            <v>670</v>
          </cell>
          <cell r="J1883">
            <v>20</v>
          </cell>
          <cell r="K1883">
            <v>0</v>
          </cell>
          <cell r="L1883">
            <v>0</v>
          </cell>
          <cell r="M1883">
            <v>65</v>
          </cell>
          <cell r="N1883">
            <v>66</v>
          </cell>
          <cell r="O1883">
            <v>2</v>
          </cell>
          <cell r="P1883">
            <v>131</v>
          </cell>
          <cell r="Q1883">
            <v>890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136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1</v>
          </cell>
          <cell r="AD1883">
            <v>16</v>
          </cell>
          <cell r="AE1883">
            <v>2</v>
          </cell>
          <cell r="AF1883">
            <v>17</v>
          </cell>
          <cell r="AG1883" t="str">
            <v>LCDBASIC</v>
          </cell>
          <cell r="AH1883" t="str">
            <v>LCD_Basic</v>
          </cell>
          <cell r="AI1883" t="str">
            <v/>
          </cell>
          <cell r="AJ1883" t="str">
            <v/>
          </cell>
          <cell r="AK1883" t="str">
            <v>0.079378</v>
          </cell>
          <cell r="AL1883" t="str">
            <v>2</v>
          </cell>
          <cell r="AM1883" t="str">
            <v>Q</v>
          </cell>
          <cell r="AN1883" t="str">
            <v>M0</v>
          </cell>
          <cell r="AO1883" t="str">
            <v>Active(Model)</v>
          </cell>
          <cell r="AP1883" t="str">
            <v/>
          </cell>
          <cell r="AQ1883" t="str">
            <v/>
          </cell>
          <cell r="AR1883" t="str">
            <v>Y</v>
          </cell>
          <cell r="AS1883" t="str">
            <v/>
          </cell>
          <cell r="AT1883" t="str">
            <v>TV</v>
          </cell>
          <cell r="AU1883" t="str">
            <v>TV</v>
          </cell>
          <cell r="AV1883" t="str">
            <v>TVLE</v>
          </cell>
          <cell r="AW1883" t="str">
            <v>LED LCD TV</v>
          </cell>
          <cell r="AX1883" t="str">
            <v>TVLE43</v>
          </cell>
          <cell r="AY1883" t="str">
            <v>LED LCD TV 43</v>
          </cell>
          <cell r="AZ1883" t="str">
            <v>TVLE43NU</v>
          </cell>
          <cell r="BA1883" t="str">
            <v>LED LCD TV 43 (UD)</v>
          </cell>
        </row>
        <row r="1884">
          <cell r="E1884" t="str">
            <v>43NU875BPSC.ATV</v>
          </cell>
          <cell r="F1884">
            <v>23</v>
          </cell>
          <cell r="G1884">
            <v>0</v>
          </cell>
          <cell r="H1884">
            <v>0</v>
          </cell>
          <cell r="I1884">
            <v>23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 t="str">
            <v>LCDBASIC</v>
          </cell>
          <cell r="AH1884" t="str">
            <v>LCD_Basic</v>
          </cell>
          <cell r="AI1884" t="str">
            <v/>
          </cell>
          <cell r="AJ1884" t="str">
            <v/>
          </cell>
          <cell r="AK1884" t="str">
            <v>0.079378</v>
          </cell>
          <cell r="AL1884" t="str">
            <v>2</v>
          </cell>
          <cell r="AM1884" t="str">
            <v>Q</v>
          </cell>
          <cell r="AN1884" t="str">
            <v>M0</v>
          </cell>
          <cell r="AO1884" t="str">
            <v>Active(Model)</v>
          </cell>
          <cell r="AP1884" t="str">
            <v/>
          </cell>
          <cell r="AQ1884" t="str">
            <v/>
          </cell>
          <cell r="AR1884" t="str">
            <v>Y</v>
          </cell>
          <cell r="AS1884" t="str">
            <v/>
          </cell>
          <cell r="AT1884" t="str">
            <v>TV</v>
          </cell>
          <cell r="AU1884" t="str">
            <v>TV</v>
          </cell>
          <cell r="AV1884" t="str">
            <v>TVLE</v>
          </cell>
          <cell r="AW1884" t="str">
            <v>LED LCD TV</v>
          </cell>
          <cell r="AX1884" t="str">
            <v>TVLE43</v>
          </cell>
          <cell r="AY1884" t="str">
            <v>LED LCD TV 43</v>
          </cell>
          <cell r="AZ1884" t="str">
            <v>TVLE43NU</v>
          </cell>
          <cell r="BA1884" t="str">
            <v>LED LCD TV 43 (UD)</v>
          </cell>
        </row>
        <row r="1885">
          <cell r="E1885" t="str">
            <v>43QNED70BSA.ATV</v>
          </cell>
          <cell r="F1885">
            <v>389</v>
          </cell>
          <cell r="G1885">
            <v>0</v>
          </cell>
          <cell r="H1885">
            <v>0</v>
          </cell>
          <cell r="I1885">
            <v>389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2</v>
          </cell>
          <cell r="P1885">
            <v>0</v>
          </cell>
          <cell r="Q1885">
            <v>389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1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 t="str">
            <v>LCDBASIC</v>
          </cell>
          <cell r="AH1885" t="str">
            <v>LCD_Basic</v>
          </cell>
          <cell r="AI1885" t="str">
            <v/>
          </cell>
          <cell r="AJ1885" t="str">
            <v/>
          </cell>
          <cell r="AK1885" t="str">
            <v>0.079378</v>
          </cell>
          <cell r="AL1885" t="str">
            <v>2</v>
          </cell>
          <cell r="AM1885" t="str">
            <v>Q</v>
          </cell>
          <cell r="AN1885" t="str">
            <v>M0</v>
          </cell>
          <cell r="AO1885" t="str">
            <v>Active(Model)</v>
          </cell>
          <cell r="AP1885" t="str">
            <v/>
          </cell>
          <cell r="AQ1885" t="str">
            <v/>
          </cell>
          <cell r="AR1885" t="str">
            <v>Y</v>
          </cell>
          <cell r="AS1885" t="str">
            <v/>
          </cell>
          <cell r="AT1885" t="str">
            <v>TV</v>
          </cell>
          <cell r="AU1885" t="str">
            <v>TV</v>
          </cell>
          <cell r="AV1885" t="str">
            <v>TVLE</v>
          </cell>
          <cell r="AW1885" t="str">
            <v>LED LCD TV</v>
          </cell>
          <cell r="AX1885" t="str">
            <v>TVLE43</v>
          </cell>
          <cell r="AY1885" t="str">
            <v>LED LCD TV 43</v>
          </cell>
          <cell r="AZ1885" t="str">
            <v>TVLE43NU</v>
          </cell>
          <cell r="BA1885" t="str">
            <v>LED LCD TV 43 (UD)</v>
          </cell>
        </row>
        <row r="1886">
          <cell r="E1886" t="str">
            <v>43QNED80BSA.ATV</v>
          </cell>
          <cell r="F1886">
            <v>2</v>
          </cell>
          <cell r="G1886">
            <v>0</v>
          </cell>
          <cell r="H1886">
            <v>0</v>
          </cell>
          <cell r="I1886">
            <v>30</v>
          </cell>
          <cell r="J1886">
            <v>1</v>
          </cell>
          <cell r="K1886">
            <v>1</v>
          </cell>
          <cell r="L1886">
            <v>0</v>
          </cell>
          <cell r="M1886">
            <v>20</v>
          </cell>
          <cell r="N1886">
            <v>1</v>
          </cell>
          <cell r="O1886">
            <v>1</v>
          </cell>
          <cell r="P1886">
            <v>21</v>
          </cell>
          <cell r="Q1886">
            <v>120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  <cell r="AF1886">
            <v>0</v>
          </cell>
          <cell r="AG1886" t="str">
            <v>LCDBASIC</v>
          </cell>
          <cell r="AH1886" t="str">
            <v>LCD_Basic</v>
          </cell>
          <cell r="AI1886" t="str">
            <v/>
          </cell>
          <cell r="AJ1886" t="str">
            <v/>
          </cell>
          <cell r="AK1886" t="str">
            <v>0.098875</v>
          </cell>
          <cell r="AL1886" t="str">
            <v>2</v>
          </cell>
          <cell r="AM1886" t="str">
            <v>Q</v>
          </cell>
          <cell r="AN1886" t="str">
            <v>M0</v>
          </cell>
          <cell r="AO1886" t="str">
            <v>Active(Model)</v>
          </cell>
          <cell r="AP1886" t="str">
            <v/>
          </cell>
          <cell r="AQ1886" t="str">
            <v/>
          </cell>
          <cell r="AR1886" t="str">
            <v>Y</v>
          </cell>
          <cell r="AS1886" t="str">
            <v/>
          </cell>
          <cell r="AT1886" t="str">
            <v>TV</v>
          </cell>
          <cell r="AU1886" t="str">
            <v>TV</v>
          </cell>
          <cell r="AV1886" t="str">
            <v>TVLE</v>
          </cell>
          <cell r="AW1886" t="str">
            <v>LED LCD TV</v>
          </cell>
          <cell r="AX1886" t="str">
            <v>TVLE43</v>
          </cell>
          <cell r="AY1886" t="str">
            <v>LED LCD TV 43</v>
          </cell>
          <cell r="AZ1886" t="str">
            <v>TVLE43NU</v>
          </cell>
          <cell r="BA1886" t="str">
            <v>LED LCD TV 43 (UD)</v>
          </cell>
        </row>
        <row r="1887">
          <cell r="E1887" t="str">
            <v>43UA731C0SB.ATVQ</v>
          </cell>
          <cell r="F1887">
            <v>334</v>
          </cell>
          <cell r="G1887">
            <v>0</v>
          </cell>
          <cell r="H1887">
            <v>0</v>
          </cell>
          <cell r="I1887">
            <v>334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 t="str">
            <v/>
          </cell>
          <cell r="AH1887" t="str">
            <v/>
          </cell>
          <cell r="AI1887" t="str">
            <v/>
          </cell>
          <cell r="AJ1887" t="str">
            <v/>
          </cell>
          <cell r="AK1887" t="str">
            <v>0.078592</v>
          </cell>
          <cell r="AL1887" t="str">
            <v>2</v>
          </cell>
          <cell r="AM1887" t="str">
            <v>Q</v>
          </cell>
          <cell r="AN1887" t="str">
            <v>M0</v>
          </cell>
          <cell r="AO1887" t="str">
            <v>Active(Model)</v>
          </cell>
          <cell r="AP1887" t="str">
            <v/>
          </cell>
          <cell r="AQ1887" t="str">
            <v/>
          </cell>
          <cell r="AR1887" t="str">
            <v>Y</v>
          </cell>
          <cell r="AS1887" t="str">
            <v/>
          </cell>
          <cell r="AT1887" t="str">
            <v>CS</v>
          </cell>
          <cell r="AU1887" t="str">
            <v>Commercial Display_Signage</v>
          </cell>
          <cell r="AV1887" t="str">
            <v>CSTE</v>
          </cell>
          <cell r="AW1887" t="str">
            <v>Commercial_LED LCD TV</v>
          </cell>
          <cell r="AX1887" t="str">
            <v>CSTE43</v>
          </cell>
          <cell r="AY1887" t="str">
            <v>Commercial_LED LCD TV 43</v>
          </cell>
          <cell r="AZ1887" t="str">
            <v>CSTE43NU</v>
          </cell>
          <cell r="BA1887" t="str">
            <v>Commercial_LED LCD TV 43(UHD)</v>
          </cell>
        </row>
        <row r="1888">
          <cell r="E1888" t="str">
            <v>43UK660H0SA.ATV</v>
          </cell>
          <cell r="F1888">
            <v>96</v>
          </cell>
          <cell r="G1888">
            <v>0</v>
          </cell>
          <cell r="H1888">
            <v>0</v>
          </cell>
          <cell r="I1888">
            <v>96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 t="str">
            <v/>
          </cell>
          <cell r="AH1888" t="str">
            <v/>
          </cell>
          <cell r="AI1888" t="str">
            <v/>
          </cell>
          <cell r="AJ1888" t="str">
            <v/>
          </cell>
          <cell r="AK1888" t="str">
            <v>0.098875</v>
          </cell>
          <cell r="AL1888" t="str">
            <v>2</v>
          </cell>
          <cell r="AM1888" t="str">
            <v>Q</v>
          </cell>
          <cell r="AN1888" t="str">
            <v>M0</v>
          </cell>
          <cell r="AO1888" t="str">
            <v>Active(Model)</v>
          </cell>
          <cell r="AP1888" t="str">
            <v/>
          </cell>
          <cell r="AQ1888" t="str">
            <v/>
          </cell>
          <cell r="AR1888" t="str">
            <v>Y</v>
          </cell>
          <cell r="AS1888" t="str">
            <v/>
          </cell>
          <cell r="AT1888" t="str">
            <v>HT</v>
          </cell>
          <cell r="AU1888" t="str">
            <v>Commercial Display_Hotel</v>
          </cell>
          <cell r="AV1888" t="str">
            <v>HTTE</v>
          </cell>
          <cell r="AW1888" t="str">
            <v>Commercial(Hotel)_LED LCD TV</v>
          </cell>
          <cell r="AX1888" t="str">
            <v>HTTE43</v>
          </cell>
          <cell r="AY1888" t="str">
            <v>Commercial(Hotel)_LED LCD TV 43</v>
          </cell>
          <cell r="AZ1888" t="str">
            <v>HTTE43NU</v>
          </cell>
          <cell r="BA1888" t="str">
            <v>Commercial(Hotel)_LED LCD TV 43(UHD)</v>
          </cell>
        </row>
        <row r="1889">
          <cell r="E1889" t="str">
            <v>43UK760H0SD.ATV</v>
          </cell>
          <cell r="F1889">
            <v>102</v>
          </cell>
          <cell r="G1889">
            <v>0</v>
          </cell>
          <cell r="H1889">
            <v>0</v>
          </cell>
          <cell r="I1889">
            <v>102</v>
          </cell>
          <cell r="J1889">
            <v>6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 t="str">
            <v/>
          </cell>
          <cell r="AH1889" t="str">
            <v/>
          </cell>
          <cell r="AI1889" t="str">
            <v/>
          </cell>
          <cell r="AJ1889" t="str">
            <v/>
          </cell>
          <cell r="AK1889" t="str">
            <v>0.098875</v>
          </cell>
          <cell r="AL1889" t="str">
            <v>2</v>
          </cell>
          <cell r="AM1889" t="str">
            <v>Q</v>
          </cell>
          <cell r="AN1889" t="str">
            <v>M0</v>
          </cell>
          <cell r="AO1889" t="str">
            <v>Active(Model)</v>
          </cell>
          <cell r="AP1889" t="str">
            <v/>
          </cell>
          <cell r="AQ1889" t="str">
            <v/>
          </cell>
          <cell r="AR1889" t="str">
            <v>Y</v>
          </cell>
          <cell r="AS1889" t="str">
            <v/>
          </cell>
          <cell r="AT1889" t="str">
            <v>HT</v>
          </cell>
          <cell r="AU1889" t="str">
            <v>Commercial Display_Hotel</v>
          </cell>
          <cell r="AV1889" t="str">
            <v>HTTE</v>
          </cell>
          <cell r="AW1889" t="str">
            <v>Commercial(Hotel)_LED LCD TV</v>
          </cell>
          <cell r="AX1889" t="str">
            <v>HTTE43</v>
          </cell>
          <cell r="AY1889" t="str">
            <v>Commercial(Hotel)_LED LCD TV 43</v>
          </cell>
          <cell r="AZ1889" t="str">
            <v>HTTE43NU</v>
          </cell>
          <cell r="BA1889" t="str">
            <v>Commercial(Hotel)_LED LCD TV 43(UHD)</v>
          </cell>
        </row>
        <row r="1890">
          <cell r="E1890" t="str">
            <v>45GX950A-B.ATV</v>
          </cell>
          <cell r="F1890">
            <v>4</v>
          </cell>
          <cell r="G1890">
            <v>0</v>
          </cell>
          <cell r="H1890">
            <v>0</v>
          </cell>
          <cell r="I1890">
            <v>7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 t="str">
            <v/>
          </cell>
          <cell r="AH1890" t="str">
            <v/>
          </cell>
          <cell r="AI1890" t="str">
            <v/>
          </cell>
          <cell r="AJ1890" t="str">
            <v/>
          </cell>
          <cell r="AK1890" t="str">
            <v>0.193870</v>
          </cell>
          <cell r="AL1890" t="str">
            <v>2</v>
          </cell>
          <cell r="AM1890" t="str">
            <v>Q</v>
          </cell>
          <cell r="AN1890" t="str">
            <v>M0</v>
          </cell>
          <cell r="AO1890" t="str">
            <v>Active(Model)</v>
          </cell>
          <cell r="AP1890" t="str">
            <v/>
          </cell>
          <cell r="AQ1890" t="str">
            <v/>
          </cell>
          <cell r="AR1890" t="str">
            <v>Y</v>
          </cell>
          <cell r="AS1890" t="str">
            <v/>
          </cell>
          <cell r="AT1890" t="str">
            <v>MN</v>
          </cell>
          <cell r="AU1890" t="str">
            <v>Monitor</v>
          </cell>
          <cell r="AV1890" t="str">
            <v>MNOL</v>
          </cell>
          <cell r="AW1890" t="str">
            <v>OLED Monitor</v>
          </cell>
          <cell r="AX1890" t="str">
            <v>MNOL45</v>
          </cell>
          <cell r="AY1890" t="str">
            <v>OLED Monitor 45</v>
          </cell>
          <cell r="AZ1890" t="str">
            <v>MNOL45NW</v>
          </cell>
          <cell r="BA1890" t="str">
            <v>OLED Monitor 45 (WIDE)</v>
          </cell>
        </row>
        <row r="1891">
          <cell r="E1891" t="str">
            <v>45GX950B-B.ATV</v>
          </cell>
          <cell r="F1891">
            <v>0</v>
          </cell>
          <cell r="G1891">
            <v>0</v>
          </cell>
          <cell r="H1891">
            <v>0</v>
          </cell>
          <cell r="I1891">
            <v>2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5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1</v>
          </cell>
          <cell r="AE1891">
            <v>0</v>
          </cell>
          <cell r="AF1891">
            <v>1</v>
          </cell>
          <cell r="AG1891" t="str">
            <v/>
          </cell>
          <cell r="AH1891" t="str">
            <v/>
          </cell>
          <cell r="AI1891" t="str">
            <v/>
          </cell>
          <cell r="AJ1891" t="str">
            <v/>
          </cell>
          <cell r="AK1891" t="str">
            <v>0.193870</v>
          </cell>
          <cell r="AL1891" t="str">
            <v>2</v>
          </cell>
          <cell r="AM1891" t="str">
            <v>Q</v>
          </cell>
          <cell r="AN1891" t="str">
            <v>M0</v>
          </cell>
          <cell r="AO1891" t="str">
            <v>Active(Model)</v>
          </cell>
          <cell r="AP1891" t="str">
            <v/>
          </cell>
          <cell r="AQ1891" t="str">
            <v/>
          </cell>
          <cell r="AR1891" t="str">
            <v>Y</v>
          </cell>
          <cell r="AS1891" t="str">
            <v/>
          </cell>
          <cell r="AT1891" t="str">
            <v>MN</v>
          </cell>
          <cell r="AU1891" t="str">
            <v>Monitor</v>
          </cell>
          <cell r="AV1891" t="str">
            <v>MNOL</v>
          </cell>
          <cell r="AW1891" t="str">
            <v>OLED Monitor</v>
          </cell>
          <cell r="AX1891" t="str">
            <v>MNOL45</v>
          </cell>
          <cell r="AY1891" t="str">
            <v>OLED Monitor 45</v>
          </cell>
          <cell r="AZ1891" t="str">
            <v>MNOL45NW</v>
          </cell>
          <cell r="BA1891" t="str">
            <v>OLED Monitor 45 (WIDE)</v>
          </cell>
        </row>
        <row r="1892">
          <cell r="E1892" t="str">
            <v>49UH5N-M.ATV</v>
          </cell>
          <cell r="F1892">
            <v>1</v>
          </cell>
          <cell r="G1892">
            <v>0</v>
          </cell>
          <cell r="H1892">
            <v>0</v>
          </cell>
          <cell r="I1892">
            <v>1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  <cell r="AF1892">
            <v>0</v>
          </cell>
          <cell r="AG1892" t="str">
            <v/>
          </cell>
          <cell r="AH1892" t="str">
            <v/>
          </cell>
          <cell r="AI1892" t="str">
            <v/>
          </cell>
          <cell r="AJ1892" t="str">
            <v/>
          </cell>
          <cell r="AK1892" t="str">
            <v>0.135924</v>
          </cell>
          <cell r="AL1892" t="str">
            <v>2</v>
          </cell>
          <cell r="AM1892" t="str">
            <v>Q</v>
          </cell>
          <cell r="AN1892" t="str">
            <v>M5</v>
          </cell>
          <cell r="AO1892" t="str">
            <v>To Be Obsolete(Model)</v>
          </cell>
          <cell r="AP1892" t="str">
            <v/>
          </cell>
          <cell r="AQ1892" t="str">
            <v/>
          </cell>
          <cell r="AR1892" t="str">
            <v>Y</v>
          </cell>
          <cell r="AS1892" t="str">
            <v/>
          </cell>
          <cell r="AT1892" t="str">
            <v>CS</v>
          </cell>
          <cell r="AU1892" t="str">
            <v>Commercial Display_Signage</v>
          </cell>
          <cell r="AV1892" t="str">
            <v>CSME</v>
          </cell>
          <cell r="AW1892" t="str">
            <v>Commercial_LED LCD Monitor</v>
          </cell>
          <cell r="AX1892" t="str">
            <v>CSME49</v>
          </cell>
          <cell r="AY1892" t="str">
            <v>Commercial_LED LCD Monitor 49</v>
          </cell>
          <cell r="AZ1892" t="str">
            <v>CSME49FW</v>
          </cell>
          <cell r="BA1892" t="str">
            <v>Commercial_LED LCD Monitor 49(MFT WIDE)</v>
          </cell>
        </row>
        <row r="1893">
          <cell r="E1893" t="str">
            <v>50NU805BPSC.ATVQ</v>
          </cell>
          <cell r="F1893">
            <v>173</v>
          </cell>
          <cell r="G1893">
            <v>0</v>
          </cell>
          <cell r="H1893">
            <v>0</v>
          </cell>
          <cell r="I1893">
            <v>733</v>
          </cell>
          <cell r="J1893">
            <v>0</v>
          </cell>
          <cell r="K1893">
            <v>0</v>
          </cell>
          <cell r="L1893">
            <v>0</v>
          </cell>
          <cell r="M1893">
            <v>50</v>
          </cell>
          <cell r="N1893">
            <v>500</v>
          </cell>
          <cell r="O1893">
            <v>250</v>
          </cell>
          <cell r="P1893">
            <v>550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200</v>
          </cell>
          <cell r="AF1893">
            <v>0</v>
          </cell>
          <cell r="AG1893" t="str">
            <v>LCDBASIC</v>
          </cell>
          <cell r="AH1893" t="str">
            <v>LCD_Basic</v>
          </cell>
          <cell r="AI1893" t="str">
            <v/>
          </cell>
          <cell r="AJ1893" t="str">
            <v/>
          </cell>
          <cell r="AK1893" t="str">
            <v>0.094779</v>
          </cell>
          <cell r="AL1893" t="str">
            <v>2</v>
          </cell>
          <cell r="AM1893" t="str">
            <v>Q</v>
          </cell>
          <cell r="AN1893" t="str">
            <v>M0</v>
          </cell>
          <cell r="AO1893" t="str">
            <v>Active(Model)</v>
          </cell>
          <cell r="AP1893" t="str">
            <v/>
          </cell>
          <cell r="AQ1893" t="str">
            <v/>
          </cell>
          <cell r="AR1893" t="str">
            <v>Y</v>
          </cell>
          <cell r="AS1893" t="str">
            <v/>
          </cell>
          <cell r="AT1893" t="str">
            <v>TV</v>
          </cell>
          <cell r="AU1893" t="str">
            <v>TV</v>
          </cell>
          <cell r="AV1893" t="str">
            <v>TVLE</v>
          </cell>
          <cell r="AW1893" t="str">
            <v>LED LCD TV</v>
          </cell>
          <cell r="AX1893" t="str">
            <v>TVLE50</v>
          </cell>
          <cell r="AY1893" t="str">
            <v>LED LCD TV 50</v>
          </cell>
          <cell r="AZ1893" t="str">
            <v>TVLE50OU</v>
          </cell>
          <cell r="BA1893" t="str">
            <v>LED LCD TV 50 (O/S, UD)</v>
          </cell>
        </row>
        <row r="1894">
          <cell r="E1894" t="str">
            <v>50NU835BPSA.ATV</v>
          </cell>
          <cell r="F1894">
            <v>140</v>
          </cell>
          <cell r="G1894">
            <v>0</v>
          </cell>
          <cell r="H1894">
            <v>0</v>
          </cell>
          <cell r="I1894">
            <v>150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>
            <v>10</v>
          </cell>
          <cell r="AE1894">
            <v>0</v>
          </cell>
          <cell r="AF1894">
            <v>10</v>
          </cell>
          <cell r="AG1894" t="str">
            <v>LCDBASIC</v>
          </cell>
          <cell r="AH1894" t="str">
            <v>LCD_Basic</v>
          </cell>
          <cell r="AI1894" t="str">
            <v/>
          </cell>
          <cell r="AJ1894" t="str">
            <v/>
          </cell>
          <cell r="AK1894" t="str">
            <v>0.104481</v>
          </cell>
          <cell r="AL1894" t="str">
            <v>2</v>
          </cell>
          <cell r="AM1894" t="str">
            <v>Q</v>
          </cell>
          <cell r="AN1894" t="str">
            <v>M0</v>
          </cell>
          <cell r="AO1894" t="str">
            <v>Active(Model)</v>
          </cell>
          <cell r="AP1894" t="str">
            <v/>
          </cell>
          <cell r="AQ1894" t="str">
            <v/>
          </cell>
          <cell r="AR1894" t="str">
            <v>Y</v>
          </cell>
          <cell r="AS1894" t="str">
            <v/>
          </cell>
          <cell r="AT1894" t="str">
            <v>TV</v>
          </cell>
          <cell r="AU1894" t="str">
            <v>TV</v>
          </cell>
          <cell r="AV1894" t="str">
            <v>TVLE</v>
          </cell>
          <cell r="AW1894" t="str">
            <v>LED LCD TV</v>
          </cell>
          <cell r="AX1894" t="str">
            <v>TVLE50</v>
          </cell>
          <cell r="AY1894" t="str">
            <v>LED LCD TV 50</v>
          </cell>
          <cell r="AZ1894" t="str">
            <v>TVLE50NU</v>
          </cell>
          <cell r="BA1894" t="str">
            <v>LED LCD TV 50 (UD)</v>
          </cell>
        </row>
        <row r="1895">
          <cell r="E1895" t="str">
            <v>50NU855BPSA.ATV</v>
          </cell>
          <cell r="F1895">
            <v>0</v>
          </cell>
          <cell r="G1895">
            <v>0</v>
          </cell>
          <cell r="H1895">
            <v>0</v>
          </cell>
          <cell r="I1895">
            <v>3</v>
          </cell>
          <cell r="J1895">
            <v>0</v>
          </cell>
          <cell r="K1895">
            <v>70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29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 t="str">
            <v>LCDBASIC</v>
          </cell>
          <cell r="AH1895" t="str">
            <v>LCD_Basic</v>
          </cell>
          <cell r="AI1895" t="str">
            <v/>
          </cell>
          <cell r="AJ1895" t="str">
            <v/>
          </cell>
          <cell r="AK1895" t="str">
            <v>0.104481</v>
          </cell>
          <cell r="AL1895" t="str">
            <v>2</v>
          </cell>
          <cell r="AM1895" t="str">
            <v>Q</v>
          </cell>
          <cell r="AN1895" t="str">
            <v>M0</v>
          </cell>
          <cell r="AO1895" t="str">
            <v>Active(Model)</v>
          </cell>
          <cell r="AP1895" t="str">
            <v/>
          </cell>
          <cell r="AQ1895" t="str">
            <v/>
          </cell>
          <cell r="AR1895" t="str">
            <v>Y</v>
          </cell>
          <cell r="AS1895" t="str">
            <v/>
          </cell>
          <cell r="AT1895" t="str">
            <v>TV</v>
          </cell>
          <cell r="AU1895" t="str">
            <v>TV</v>
          </cell>
          <cell r="AV1895" t="str">
            <v>TVLE</v>
          </cell>
          <cell r="AW1895" t="str">
            <v>LED LCD TV</v>
          </cell>
          <cell r="AX1895" t="str">
            <v>TVLE50</v>
          </cell>
          <cell r="AY1895" t="str">
            <v>LED LCD TV 50</v>
          </cell>
          <cell r="AZ1895" t="str">
            <v>TVLE50NU</v>
          </cell>
          <cell r="BA1895" t="str">
            <v>LED LCD TV 50 (UD)</v>
          </cell>
        </row>
        <row r="1896">
          <cell r="E1896" t="str">
            <v>50QNED70BSA.ATV</v>
          </cell>
          <cell r="F1896">
            <v>91</v>
          </cell>
          <cell r="G1896">
            <v>0</v>
          </cell>
          <cell r="H1896">
            <v>0</v>
          </cell>
          <cell r="I1896">
            <v>91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91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 t="str">
            <v>LCDBASIC</v>
          </cell>
          <cell r="AH1896" t="str">
            <v>LCD_Basic</v>
          </cell>
          <cell r="AI1896" t="str">
            <v/>
          </cell>
          <cell r="AJ1896" t="str">
            <v/>
          </cell>
          <cell r="AK1896" t="str">
            <v>0.103883</v>
          </cell>
          <cell r="AL1896" t="str">
            <v>2</v>
          </cell>
          <cell r="AM1896" t="str">
            <v>Q</v>
          </cell>
          <cell r="AN1896" t="str">
            <v>M0</v>
          </cell>
          <cell r="AO1896" t="str">
            <v>Active(Model)</v>
          </cell>
          <cell r="AP1896" t="str">
            <v/>
          </cell>
          <cell r="AQ1896" t="str">
            <v/>
          </cell>
          <cell r="AR1896" t="str">
            <v>Y</v>
          </cell>
          <cell r="AS1896" t="str">
            <v/>
          </cell>
          <cell r="AT1896" t="str">
            <v>TV</v>
          </cell>
          <cell r="AU1896" t="str">
            <v>TV</v>
          </cell>
          <cell r="AV1896" t="str">
            <v>TVLE</v>
          </cell>
          <cell r="AW1896" t="str">
            <v>LED LCD TV</v>
          </cell>
          <cell r="AX1896" t="str">
            <v>TVLE50</v>
          </cell>
          <cell r="AY1896" t="str">
            <v>LED LCD TV 50</v>
          </cell>
          <cell r="AZ1896" t="str">
            <v>TVLE50NU</v>
          </cell>
          <cell r="BA1896" t="str">
            <v>LED LCD TV 50 (UD)</v>
          </cell>
        </row>
        <row r="1897">
          <cell r="E1897" t="str">
            <v>50QNED80BSA.ATV</v>
          </cell>
          <cell r="F1897">
            <v>1</v>
          </cell>
          <cell r="G1897">
            <v>0</v>
          </cell>
          <cell r="H1897">
            <v>0</v>
          </cell>
          <cell r="I1897">
            <v>29</v>
          </cell>
          <cell r="J1897">
            <v>2</v>
          </cell>
          <cell r="K1897">
            <v>0</v>
          </cell>
          <cell r="L1897">
            <v>0</v>
          </cell>
          <cell r="M1897">
            <v>0</v>
          </cell>
          <cell r="N1897">
            <v>13</v>
          </cell>
          <cell r="O1897">
            <v>25</v>
          </cell>
          <cell r="P1897">
            <v>13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 t="str">
            <v>LCDBASIC</v>
          </cell>
          <cell r="AH1897" t="str">
            <v>LCD_Basic</v>
          </cell>
          <cell r="AI1897" t="str">
            <v/>
          </cell>
          <cell r="AJ1897" t="str">
            <v/>
          </cell>
          <cell r="AK1897" t="str">
            <v>0.131123</v>
          </cell>
          <cell r="AL1897" t="str">
            <v>2</v>
          </cell>
          <cell r="AM1897" t="str">
            <v>Q</v>
          </cell>
          <cell r="AN1897" t="str">
            <v>M0</v>
          </cell>
          <cell r="AO1897" t="str">
            <v>Active(Model)</v>
          </cell>
          <cell r="AP1897" t="str">
            <v/>
          </cell>
          <cell r="AQ1897" t="str">
            <v/>
          </cell>
          <cell r="AR1897" t="str">
            <v>Y</v>
          </cell>
          <cell r="AS1897" t="str">
            <v/>
          </cell>
          <cell r="AT1897" t="str">
            <v>TV</v>
          </cell>
          <cell r="AU1897" t="str">
            <v>TV</v>
          </cell>
          <cell r="AV1897" t="str">
            <v>TVLE</v>
          </cell>
          <cell r="AW1897" t="str">
            <v>LED LCD TV</v>
          </cell>
          <cell r="AX1897" t="str">
            <v>TVLE50</v>
          </cell>
          <cell r="AY1897" t="str">
            <v>LED LCD TV 50</v>
          </cell>
          <cell r="AZ1897" t="str">
            <v>TVLE50NU</v>
          </cell>
          <cell r="BA1897" t="str">
            <v>LED LCD TV 50 (UD)</v>
          </cell>
        </row>
        <row r="1898">
          <cell r="E1898" t="str">
            <v>50UA731C0SB.ATVQ</v>
          </cell>
          <cell r="F1898">
            <v>8</v>
          </cell>
          <cell r="G1898">
            <v>0</v>
          </cell>
          <cell r="H1898">
            <v>0</v>
          </cell>
          <cell r="I1898">
            <v>8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 t="str">
            <v/>
          </cell>
          <cell r="AH1898" t="str">
            <v/>
          </cell>
          <cell r="AI1898" t="str">
            <v/>
          </cell>
          <cell r="AJ1898" t="str">
            <v/>
          </cell>
          <cell r="AK1898" t="str">
            <v>0.113289</v>
          </cell>
          <cell r="AL1898" t="str">
            <v>2</v>
          </cell>
          <cell r="AM1898" t="str">
            <v>Q</v>
          </cell>
          <cell r="AN1898" t="str">
            <v>M0</v>
          </cell>
          <cell r="AO1898" t="str">
            <v>Active(Model)</v>
          </cell>
          <cell r="AP1898" t="str">
            <v/>
          </cell>
          <cell r="AQ1898" t="str">
            <v/>
          </cell>
          <cell r="AR1898" t="str">
            <v>Y</v>
          </cell>
          <cell r="AS1898" t="str">
            <v/>
          </cell>
          <cell r="AT1898" t="str">
            <v>CS</v>
          </cell>
          <cell r="AU1898" t="str">
            <v>Commercial Display_Signage</v>
          </cell>
          <cell r="AV1898" t="str">
            <v>CSTE</v>
          </cell>
          <cell r="AW1898" t="str">
            <v>Commercial_LED LCD TV</v>
          </cell>
          <cell r="AX1898" t="str">
            <v>CSTE50</v>
          </cell>
          <cell r="AY1898" t="str">
            <v>Commercial_LED LCD TV 50</v>
          </cell>
          <cell r="AZ1898" t="str">
            <v>CSTE50NU</v>
          </cell>
          <cell r="BA1898" t="str">
            <v>Commercial_LED LCD TV 50(UHD)</v>
          </cell>
        </row>
        <row r="1899">
          <cell r="E1899" t="str">
            <v>50UK660H0SA.ATV</v>
          </cell>
          <cell r="F1899">
            <v>389</v>
          </cell>
          <cell r="G1899">
            <v>0</v>
          </cell>
          <cell r="H1899">
            <v>0</v>
          </cell>
          <cell r="I1899">
            <v>410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54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 t="str">
            <v/>
          </cell>
          <cell r="AH1899" t="str">
            <v/>
          </cell>
          <cell r="AI1899" t="str">
            <v/>
          </cell>
          <cell r="AJ1899" t="str">
            <v/>
          </cell>
          <cell r="AK1899" t="str">
            <v>0.131123</v>
          </cell>
          <cell r="AL1899" t="str">
            <v>2</v>
          </cell>
          <cell r="AM1899" t="str">
            <v>Q</v>
          </cell>
          <cell r="AN1899" t="str">
            <v>M0</v>
          </cell>
          <cell r="AO1899" t="str">
            <v>Active(Model)</v>
          </cell>
          <cell r="AP1899" t="str">
            <v/>
          </cell>
          <cell r="AQ1899" t="str">
            <v/>
          </cell>
          <cell r="AR1899" t="str">
            <v>Y</v>
          </cell>
          <cell r="AS1899" t="str">
            <v/>
          </cell>
          <cell r="AT1899" t="str">
            <v>HT</v>
          </cell>
          <cell r="AU1899" t="str">
            <v>Commercial Display_Hotel</v>
          </cell>
          <cell r="AV1899" t="str">
            <v>HTTE</v>
          </cell>
          <cell r="AW1899" t="str">
            <v>Commercial(Hotel)_LED LCD TV</v>
          </cell>
          <cell r="AX1899" t="str">
            <v>HTTE50</v>
          </cell>
          <cell r="AY1899" t="str">
            <v>Commercial(Hotel)_LED LCD TV 50</v>
          </cell>
          <cell r="AZ1899" t="str">
            <v>HTTE50NU</v>
          </cell>
          <cell r="BA1899" t="str">
            <v>Commercial(Hotel)_LED LCD TV 50(UHD)</v>
          </cell>
        </row>
        <row r="1900">
          <cell r="E1900" t="str">
            <v>50UK760H0SD.ATV</v>
          </cell>
          <cell r="F1900">
            <v>102</v>
          </cell>
          <cell r="G1900">
            <v>0</v>
          </cell>
          <cell r="H1900">
            <v>0</v>
          </cell>
          <cell r="I1900">
            <v>107</v>
          </cell>
          <cell r="J1900">
            <v>0</v>
          </cell>
          <cell r="K1900">
            <v>0</v>
          </cell>
          <cell r="L1900">
            <v>5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78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 t="str">
            <v/>
          </cell>
          <cell r="AH1900" t="str">
            <v/>
          </cell>
          <cell r="AI1900" t="str">
            <v/>
          </cell>
          <cell r="AJ1900" t="str">
            <v/>
          </cell>
          <cell r="AK1900" t="str">
            <v>0.143127</v>
          </cell>
          <cell r="AL1900" t="str">
            <v>2</v>
          </cell>
          <cell r="AM1900" t="str">
            <v>Q</v>
          </cell>
          <cell r="AN1900" t="str">
            <v>M0</v>
          </cell>
          <cell r="AO1900" t="str">
            <v>Active(Model)</v>
          </cell>
          <cell r="AP1900" t="str">
            <v/>
          </cell>
          <cell r="AQ1900" t="str">
            <v/>
          </cell>
          <cell r="AR1900" t="str">
            <v>Y</v>
          </cell>
          <cell r="AS1900" t="str">
            <v/>
          </cell>
          <cell r="AT1900" t="str">
            <v>HT</v>
          </cell>
          <cell r="AU1900" t="str">
            <v>Commercial Display_Hotel</v>
          </cell>
          <cell r="AV1900" t="str">
            <v>HTTE</v>
          </cell>
          <cell r="AW1900" t="str">
            <v>Commercial(Hotel)_LED LCD TV</v>
          </cell>
          <cell r="AX1900" t="str">
            <v>HTTE50</v>
          </cell>
          <cell r="AY1900" t="str">
            <v>Commercial(Hotel)_LED LCD TV 50</v>
          </cell>
          <cell r="AZ1900" t="str">
            <v>HTTE50NU</v>
          </cell>
          <cell r="BA1900" t="str">
            <v>Commercial(Hotel)_LED LCD TV 50(UHD)</v>
          </cell>
        </row>
        <row r="1901">
          <cell r="E1901" t="str">
            <v>50UK767H0SA.ATV</v>
          </cell>
          <cell r="F1901">
            <v>3</v>
          </cell>
          <cell r="G1901">
            <v>0</v>
          </cell>
          <cell r="H1901">
            <v>0</v>
          </cell>
          <cell r="I1901">
            <v>3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 t="str">
            <v/>
          </cell>
          <cell r="AH1901" t="str">
            <v/>
          </cell>
          <cell r="AI1901" t="str">
            <v/>
          </cell>
          <cell r="AJ1901" t="str">
            <v/>
          </cell>
          <cell r="AK1901" t="str">
            <v>0.176950</v>
          </cell>
          <cell r="AL1901" t="str">
            <v>2</v>
          </cell>
          <cell r="AM1901" t="str">
            <v>Q</v>
          </cell>
          <cell r="AN1901" t="str">
            <v>M0</v>
          </cell>
          <cell r="AO1901" t="str">
            <v>Active(Model)</v>
          </cell>
          <cell r="AP1901" t="str">
            <v/>
          </cell>
          <cell r="AQ1901" t="str">
            <v/>
          </cell>
          <cell r="AR1901" t="str">
            <v>Y</v>
          </cell>
          <cell r="AS1901" t="str">
            <v/>
          </cell>
          <cell r="AT1901" t="str">
            <v>HT</v>
          </cell>
          <cell r="AU1901" t="str">
            <v>Commercial Display_Hotel</v>
          </cell>
          <cell r="AV1901" t="str">
            <v>HTTE</v>
          </cell>
          <cell r="AW1901" t="str">
            <v>Commercial(Hotel)_LED LCD TV</v>
          </cell>
          <cell r="AX1901" t="str">
            <v>HTTE50</v>
          </cell>
          <cell r="AY1901" t="str">
            <v>Commercial(Hotel)_LED LCD TV 50</v>
          </cell>
          <cell r="AZ1901" t="str">
            <v>HTTE50NU</v>
          </cell>
          <cell r="BA1901" t="str">
            <v>Commercial(Hotel)_LED LCD TV 50(UHD)</v>
          </cell>
        </row>
        <row r="1902">
          <cell r="E1902" t="str">
            <v>50UL3Q-E.ATVQ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 t="str">
            <v/>
          </cell>
          <cell r="AH1902" t="str">
            <v/>
          </cell>
          <cell r="AI1902" t="str">
            <v/>
          </cell>
          <cell r="AJ1902" t="str">
            <v/>
          </cell>
          <cell r="AK1902" t="str">
            <v>0.112548</v>
          </cell>
          <cell r="AL1902" t="str">
            <v>2</v>
          </cell>
          <cell r="AM1902" t="str">
            <v>Q</v>
          </cell>
          <cell r="AN1902" t="str">
            <v>M0</v>
          </cell>
          <cell r="AO1902" t="str">
            <v>Active(Model)</v>
          </cell>
          <cell r="AP1902" t="str">
            <v/>
          </cell>
          <cell r="AQ1902" t="str">
            <v/>
          </cell>
          <cell r="AR1902" t="str">
            <v>Y</v>
          </cell>
          <cell r="AS1902" t="str">
            <v/>
          </cell>
          <cell r="AT1902" t="str">
            <v>CS</v>
          </cell>
          <cell r="AU1902" t="str">
            <v>Commercial Display_Signage</v>
          </cell>
          <cell r="AV1902" t="str">
            <v>CSME</v>
          </cell>
          <cell r="AW1902" t="str">
            <v>Commercial_LED LCD Monitor</v>
          </cell>
          <cell r="AX1902" t="str">
            <v>CSME50</v>
          </cell>
          <cell r="AY1902" t="str">
            <v>Commercial_LED LCD Monitor 50</v>
          </cell>
          <cell r="AZ1902" t="str">
            <v>CSME50FW</v>
          </cell>
          <cell r="BA1902" t="str">
            <v>Commercial_LED LCD Monitor 50 (MFT WIDE)</v>
          </cell>
        </row>
        <row r="1903">
          <cell r="E1903" t="str">
            <v>55NU805BPSB.ATVQ</v>
          </cell>
          <cell r="F1903">
            <v>0</v>
          </cell>
          <cell r="G1903">
            <v>0</v>
          </cell>
          <cell r="H1903">
            <v>0</v>
          </cell>
          <cell r="I1903">
            <v>277</v>
          </cell>
          <cell r="J1903">
            <v>243</v>
          </cell>
          <cell r="K1903">
            <v>1140</v>
          </cell>
          <cell r="L1903">
            <v>0</v>
          </cell>
          <cell r="M1903">
            <v>0</v>
          </cell>
          <cell r="N1903">
            <v>270</v>
          </cell>
          <cell r="O1903">
            <v>50</v>
          </cell>
          <cell r="P1903">
            <v>270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 t="str">
            <v>LCDPREMIUM</v>
          </cell>
          <cell r="AH1903" t="str">
            <v>LCD_Premium</v>
          </cell>
          <cell r="AI1903" t="str">
            <v/>
          </cell>
          <cell r="AJ1903" t="str">
            <v/>
          </cell>
          <cell r="AK1903" t="str">
            <v>0.143344</v>
          </cell>
          <cell r="AL1903" t="str">
            <v>2</v>
          </cell>
          <cell r="AM1903" t="str">
            <v>Q</v>
          </cell>
          <cell r="AN1903" t="str">
            <v>M0</v>
          </cell>
          <cell r="AO1903" t="str">
            <v>Active(Model)</v>
          </cell>
          <cell r="AP1903" t="str">
            <v/>
          </cell>
          <cell r="AQ1903" t="str">
            <v/>
          </cell>
          <cell r="AR1903" t="str">
            <v>Y</v>
          </cell>
          <cell r="AS1903" t="str">
            <v/>
          </cell>
          <cell r="AT1903" t="str">
            <v>TV</v>
          </cell>
          <cell r="AU1903" t="str">
            <v>TV</v>
          </cell>
          <cell r="AV1903" t="str">
            <v>TVLE</v>
          </cell>
          <cell r="AW1903" t="str">
            <v>LED LCD TV</v>
          </cell>
          <cell r="AX1903" t="str">
            <v>TVLE55</v>
          </cell>
          <cell r="AY1903" t="str">
            <v>LED LCD TV 55</v>
          </cell>
          <cell r="AZ1903" t="str">
            <v>TVLE55OU</v>
          </cell>
          <cell r="BA1903" t="str">
            <v>LED LCD TV 55 (O/S, UD)</v>
          </cell>
        </row>
        <row r="1904">
          <cell r="E1904" t="str">
            <v>55NU835BPSA.ATV</v>
          </cell>
          <cell r="F1904">
            <v>119</v>
          </cell>
          <cell r="G1904">
            <v>0</v>
          </cell>
          <cell r="H1904">
            <v>0</v>
          </cell>
          <cell r="I1904">
            <v>319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200</v>
          </cell>
          <cell r="AE1904">
            <v>0</v>
          </cell>
          <cell r="AF1904">
            <v>200</v>
          </cell>
          <cell r="AG1904" t="str">
            <v>LCDPREMIUM</v>
          </cell>
          <cell r="AH1904" t="str">
            <v>LCD_Premium</v>
          </cell>
          <cell r="AI1904" t="str">
            <v/>
          </cell>
          <cell r="AJ1904" t="str">
            <v/>
          </cell>
          <cell r="AK1904" t="str">
            <v>0.130990</v>
          </cell>
          <cell r="AL1904" t="str">
            <v>2</v>
          </cell>
          <cell r="AM1904" t="str">
            <v>Q</v>
          </cell>
          <cell r="AN1904" t="str">
            <v>M0</v>
          </cell>
          <cell r="AO1904" t="str">
            <v>Active(Model)</v>
          </cell>
          <cell r="AP1904" t="str">
            <v/>
          </cell>
          <cell r="AQ1904" t="str">
            <v/>
          </cell>
          <cell r="AR1904" t="str">
            <v>Y</v>
          </cell>
          <cell r="AS1904" t="str">
            <v/>
          </cell>
          <cell r="AT1904" t="str">
            <v>TV</v>
          </cell>
          <cell r="AU1904" t="str">
            <v>TV</v>
          </cell>
          <cell r="AV1904" t="str">
            <v>TVLE</v>
          </cell>
          <cell r="AW1904" t="str">
            <v>LED LCD TV</v>
          </cell>
          <cell r="AX1904" t="str">
            <v>TVLE55</v>
          </cell>
          <cell r="AY1904" t="str">
            <v>LED LCD TV 55</v>
          </cell>
          <cell r="AZ1904" t="str">
            <v>TVLE55NU</v>
          </cell>
          <cell r="BA1904" t="str">
            <v>LED LCD TV 55 (UD)</v>
          </cell>
        </row>
        <row r="1905">
          <cell r="E1905" t="str">
            <v>55NU855BPSA.ATV</v>
          </cell>
          <cell r="F1905">
            <v>82</v>
          </cell>
          <cell r="G1905">
            <v>0</v>
          </cell>
          <cell r="H1905">
            <v>0</v>
          </cell>
          <cell r="I1905">
            <v>350</v>
          </cell>
          <cell r="J1905">
            <v>51</v>
          </cell>
          <cell r="K1905">
            <v>53</v>
          </cell>
          <cell r="L1905">
            <v>0</v>
          </cell>
          <cell r="M1905">
            <v>0</v>
          </cell>
          <cell r="N1905">
            <v>243</v>
          </cell>
          <cell r="O1905">
            <v>165</v>
          </cell>
          <cell r="P1905">
            <v>243</v>
          </cell>
          <cell r="Q1905">
            <v>401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0</v>
          </cell>
          <cell r="AF1905">
            <v>0</v>
          </cell>
          <cell r="AG1905" t="str">
            <v>LCDPREMIUM</v>
          </cell>
          <cell r="AH1905" t="str">
            <v>LCD_Premium</v>
          </cell>
          <cell r="AI1905" t="str">
            <v/>
          </cell>
          <cell r="AJ1905" t="str">
            <v/>
          </cell>
          <cell r="AK1905" t="str">
            <v>0.130990</v>
          </cell>
          <cell r="AL1905" t="str">
            <v>2</v>
          </cell>
          <cell r="AM1905" t="str">
            <v>Q</v>
          </cell>
          <cell r="AN1905" t="str">
            <v>M0</v>
          </cell>
          <cell r="AO1905" t="str">
            <v>Active(Model)</v>
          </cell>
          <cell r="AP1905" t="str">
            <v/>
          </cell>
          <cell r="AQ1905" t="str">
            <v/>
          </cell>
          <cell r="AR1905" t="str">
            <v>Y</v>
          </cell>
          <cell r="AS1905" t="str">
            <v/>
          </cell>
          <cell r="AT1905" t="str">
            <v>TV</v>
          </cell>
          <cell r="AU1905" t="str">
            <v>TV</v>
          </cell>
          <cell r="AV1905" t="str">
            <v>TVLE</v>
          </cell>
          <cell r="AW1905" t="str">
            <v>LED LCD TV</v>
          </cell>
          <cell r="AX1905" t="str">
            <v>TVLE55</v>
          </cell>
          <cell r="AY1905" t="str">
            <v>LED LCD TV 55</v>
          </cell>
          <cell r="AZ1905" t="str">
            <v>TVLE55NU</v>
          </cell>
          <cell r="BA1905" t="str">
            <v>LED LCD TV 55 (UD)</v>
          </cell>
        </row>
        <row r="1906">
          <cell r="E1906" t="str">
            <v>55NU85CBPSA.ATV</v>
          </cell>
          <cell r="F1906">
            <v>2</v>
          </cell>
          <cell r="G1906">
            <v>0</v>
          </cell>
          <cell r="H1906">
            <v>0</v>
          </cell>
          <cell r="I1906">
            <v>2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 t="str">
            <v/>
          </cell>
          <cell r="AH1906" t="str">
            <v/>
          </cell>
          <cell r="AI1906" t="str">
            <v/>
          </cell>
          <cell r="AJ1906" t="str">
            <v/>
          </cell>
          <cell r="AK1906" t="str">
            <v>0.130990</v>
          </cell>
          <cell r="AL1906" t="str">
            <v>2</v>
          </cell>
          <cell r="AM1906" t="str">
            <v>Q</v>
          </cell>
          <cell r="AN1906" t="str">
            <v>M0</v>
          </cell>
          <cell r="AO1906" t="str">
            <v>Active(Model)</v>
          </cell>
          <cell r="AP1906" t="str">
            <v/>
          </cell>
          <cell r="AQ1906" t="str">
            <v/>
          </cell>
          <cell r="AR1906" t="str">
            <v>Y</v>
          </cell>
          <cell r="AS1906" t="str">
            <v/>
          </cell>
          <cell r="AT1906" t="str">
            <v>CS</v>
          </cell>
          <cell r="AU1906" t="str">
            <v>Commercial Display_Signage</v>
          </cell>
          <cell r="AV1906" t="str">
            <v>CSTE</v>
          </cell>
          <cell r="AW1906" t="str">
            <v>Commercial_LED LCD TV</v>
          </cell>
          <cell r="AX1906" t="str">
            <v>CSTE55</v>
          </cell>
          <cell r="AY1906" t="str">
            <v>Commercial_LED LCD TV 55</v>
          </cell>
          <cell r="AZ1906" t="str">
            <v>CSTE55NU</v>
          </cell>
          <cell r="BA1906" t="str">
            <v>Commercial_LED LCD TV 55(UHD)</v>
          </cell>
        </row>
        <row r="1907">
          <cell r="E1907" t="str">
            <v>55NU875BPSC.ATV</v>
          </cell>
          <cell r="F1907">
            <v>0</v>
          </cell>
          <cell r="G1907">
            <v>0</v>
          </cell>
          <cell r="H1907">
            <v>0</v>
          </cell>
          <cell r="I1907">
            <v>311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311</v>
          </cell>
          <cell r="AE1907">
            <v>0</v>
          </cell>
          <cell r="AF1907">
            <v>311</v>
          </cell>
          <cell r="AG1907" t="str">
            <v>LCDPREMIUM</v>
          </cell>
          <cell r="AH1907" t="str">
            <v>LCD_Premium</v>
          </cell>
          <cell r="AI1907" t="str">
            <v/>
          </cell>
          <cell r="AJ1907" t="str">
            <v/>
          </cell>
          <cell r="AK1907" t="str">
            <v>0.130990</v>
          </cell>
          <cell r="AL1907" t="str">
            <v>2</v>
          </cell>
          <cell r="AM1907" t="str">
            <v>Q</v>
          </cell>
          <cell r="AN1907" t="str">
            <v>M0</v>
          </cell>
          <cell r="AO1907" t="str">
            <v>Active(Model)</v>
          </cell>
          <cell r="AP1907" t="str">
            <v/>
          </cell>
          <cell r="AQ1907" t="str">
            <v/>
          </cell>
          <cell r="AR1907" t="str">
            <v>Y</v>
          </cell>
          <cell r="AS1907" t="str">
            <v/>
          </cell>
          <cell r="AT1907" t="str">
            <v>TV</v>
          </cell>
          <cell r="AU1907" t="str">
            <v>TV</v>
          </cell>
          <cell r="AV1907" t="str">
            <v>TVLE</v>
          </cell>
          <cell r="AW1907" t="str">
            <v>LED LCD TV</v>
          </cell>
          <cell r="AX1907" t="str">
            <v>TVLE55</v>
          </cell>
          <cell r="AY1907" t="str">
            <v>LED LCD TV 55</v>
          </cell>
          <cell r="AZ1907" t="str">
            <v>TVLE55NU</v>
          </cell>
          <cell r="BA1907" t="str">
            <v>LED LCD TV 55 (UD)</v>
          </cell>
        </row>
        <row r="1908">
          <cell r="E1908" t="str">
            <v>55QNED70BSA.ATV</v>
          </cell>
          <cell r="F1908">
            <v>918</v>
          </cell>
          <cell r="G1908">
            <v>0</v>
          </cell>
          <cell r="H1908">
            <v>0</v>
          </cell>
          <cell r="I1908">
            <v>921</v>
          </cell>
          <cell r="J1908">
            <v>61</v>
          </cell>
          <cell r="K1908">
            <v>0</v>
          </cell>
          <cell r="L1908">
            <v>0</v>
          </cell>
          <cell r="M1908">
            <v>0</v>
          </cell>
          <cell r="N1908">
            <v>2</v>
          </cell>
          <cell r="O1908">
            <v>184</v>
          </cell>
          <cell r="P1908">
            <v>2</v>
          </cell>
          <cell r="Q1908">
            <v>704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2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1</v>
          </cell>
          <cell r="AE1908">
            <v>0</v>
          </cell>
          <cell r="AF1908">
            <v>1</v>
          </cell>
          <cell r="AG1908" t="str">
            <v>LCDPREMIUM</v>
          </cell>
          <cell r="AH1908" t="str">
            <v>LCD_Premium</v>
          </cell>
          <cell r="AI1908" t="str">
            <v/>
          </cell>
          <cell r="AJ1908" t="str">
            <v/>
          </cell>
          <cell r="AK1908" t="str">
            <v>0.130990</v>
          </cell>
          <cell r="AL1908" t="str">
            <v>2</v>
          </cell>
          <cell r="AM1908" t="str">
            <v>Q</v>
          </cell>
          <cell r="AN1908" t="str">
            <v>M0</v>
          </cell>
          <cell r="AO1908" t="str">
            <v>Active(Model)</v>
          </cell>
          <cell r="AP1908" t="str">
            <v/>
          </cell>
          <cell r="AQ1908" t="str">
            <v/>
          </cell>
          <cell r="AR1908" t="str">
            <v>Y</v>
          </cell>
          <cell r="AS1908" t="str">
            <v/>
          </cell>
          <cell r="AT1908" t="str">
            <v>TV</v>
          </cell>
          <cell r="AU1908" t="str">
            <v>TV</v>
          </cell>
          <cell r="AV1908" t="str">
            <v>TVLE</v>
          </cell>
          <cell r="AW1908" t="str">
            <v>LED LCD TV</v>
          </cell>
          <cell r="AX1908" t="str">
            <v>TVLE55</v>
          </cell>
          <cell r="AY1908" t="str">
            <v>LED LCD TV 55</v>
          </cell>
          <cell r="AZ1908" t="str">
            <v>TVLE55NU</v>
          </cell>
          <cell r="BA1908" t="str">
            <v>LED LCD TV 55 (UD)</v>
          </cell>
        </row>
        <row r="1909">
          <cell r="E1909" t="str">
            <v>55QNED80BSA.ATV</v>
          </cell>
          <cell r="F1909">
            <v>0</v>
          </cell>
          <cell r="G1909">
            <v>0</v>
          </cell>
          <cell r="H1909">
            <v>0</v>
          </cell>
          <cell r="I1909">
            <v>51</v>
          </cell>
          <cell r="J1909">
            <v>2</v>
          </cell>
          <cell r="K1909">
            <v>63</v>
          </cell>
          <cell r="L1909">
            <v>0</v>
          </cell>
          <cell r="M1909">
            <v>31</v>
          </cell>
          <cell r="N1909">
            <v>15</v>
          </cell>
          <cell r="O1909">
            <v>2</v>
          </cell>
          <cell r="P1909">
            <v>46</v>
          </cell>
          <cell r="Q1909">
            <v>148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 t="str">
            <v>LCDPREMIUM</v>
          </cell>
          <cell r="AH1909" t="str">
            <v>LCD_Premium</v>
          </cell>
          <cell r="AI1909" t="str">
            <v/>
          </cell>
          <cell r="AJ1909" t="str">
            <v/>
          </cell>
          <cell r="AK1909" t="str">
            <v>0.163186</v>
          </cell>
          <cell r="AL1909" t="str">
            <v>2</v>
          </cell>
          <cell r="AM1909" t="str">
            <v>Q</v>
          </cell>
          <cell r="AN1909" t="str">
            <v>M0</v>
          </cell>
          <cell r="AO1909" t="str">
            <v>Active(Model)</v>
          </cell>
          <cell r="AP1909" t="str">
            <v/>
          </cell>
          <cell r="AQ1909" t="str">
            <v/>
          </cell>
          <cell r="AR1909" t="str">
            <v>Y</v>
          </cell>
          <cell r="AS1909" t="str">
            <v/>
          </cell>
          <cell r="AT1909" t="str">
            <v>TV</v>
          </cell>
          <cell r="AU1909" t="str">
            <v>TV</v>
          </cell>
          <cell r="AV1909" t="str">
            <v>TVLE</v>
          </cell>
          <cell r="AW1909" t="str">
            <v>LED LCD TV</v>
          </cell>
          <cell r="AX1909" t="str">
            <v>TVLE55</v>
          </cell>
          <cell r="AY1909" t="str">
            <v>LED LCD TV 55</v>
          </cell>
          <cell r="AZ1909" t="str">
            <v>TVLE55NU</v>
          </cell>
          <cell r="BA1909" t="str">
            <v>LED LCD TV 55 (UD)</v>
          </cell>
        </row>
        <row r="1910">
          <cell r="E1910" t="str">
            <v>55QNED81BSA.ATV</v>
          </cell>
          <cell r="F1910">
            <v>0</v>
          </cell>
          <cell r="G1910">
            <v>0</v>
          </cell>
          <cell r="H1910">
            <v>0</v>
          </cell>
          <cell r="I1910">
            <v>4</v>
          </cell>
          <cell r="J1910">
            <v>0</v>
          </cell>
          <cell r="K1910">
            <v>20</v>
          </cell>
          <cell r="L1910">
            <v>0</v>
          </cell>
          <cell r="M1910">
            <v>1</v>
          </cell>
          <cell r="N1910">
            <v>0</v>
          </cell>
          <cell r="O1910">
            <v>41</v>
          </cell>
          <cell r="P1910">
            <v>1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 t="str">
            <v>LCDPREMIUM</v>
          </cell>
          <cell r="AH1910" t="str">
            <v>LCD_Premium</v>
          </cell>
          <cell r="AI1910" t="str">
            <v/>
          </cell>
          <cell r="AJ1910" t="str">
            <v/>
          </cell>
          <cell r="AK1910" t="str">
            <v>0.179771</v>
          </cell>
          <cell r="AL1910" t="str">
            <v>2</v>
          </cell>
          <cell r="AM1910" t="str">
            <v>Q</v>
          </cell>
          <cell r="AN1910" t="str">
            <v>M0</v>
          </cell>
          <cell r="AO1910" t="str">
            <v>Active(Model)</v>
          </cell>
          <cell r="AP1910" t="str">
            <v/>
          </cell>
          <cell r="AQ1910" t="str">
            <v/>
          </cell>
          <cell r="AR1910" t="str">
            <v>Y</v>
          </cell>
          <cell r="AS1910" t="str">
            <v/>
          </cell>
          <cell r="AT1910" t="str">
            <v>TV</v>
          </cell>
          <cell r="AU1910" t="str">
            <v>TV</v>
          </cell>
          <cell r="AV1910" t="str">
            <v>TVLE</v>
          </cell>
          <cell r="AW1910" t="str">
            <v>LED LCD TV</v>
          </cell>
          <cell r="AX1910" t="str">
            <v>TVLE55</v>
          </cell>
          <cell r="AY1910" t="str">
            <v>LED LCD TV 55</v>
          </cell>
          <cell r="AZ1910" t="str">
            <v>TVLE55NU</v>
          </cell>
          <cell r="BA1910" t="str">
            <v>LED LCD TV 55 (UD)</v>
          </cell>
        </row>
        <row r="1911">
          <cell r="E1911" t="str">
            <v>55QNED86BSA.ATV</v>
          </cell>
          <cell r="F1911">
            <v>117</v>
          </cell>
          <cell r="G1911">
            <v>0</v>
          </cell>
          <cell r="H1911">
            <v>0</v>
          </cell>
          <cell r="I1911">
            <v>140</v>
          </cell>
          <cell r="J1911">
            <v>10</v>
          </cell>
          <cell r="K1911">
            <v>0</v>
          </cell>
          <cell r="L1911">
            <v>0</v>
          </cell>
          <cell r="M1911">
            <v>5</v>
          </cell>
          <cell r="N1911">
            <v>8</v>
          </cell>
          <cell r="O1911">
            <v>37</v>
          </cell>
          <cell r="P1911">
            <v>13</v>
          </cell>
          <cell r="Q1911">
            <v>145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3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1</v>
          </cell>
          <cell r="AF1911">
            <v>0</v>
          </cell>
          <cell r="AG1911" t="str">
            <v>LCDPREPLUS</v>
          </cell>
          <cell r="AH1911" t="str">
            <v>LCD_Premium Plus</v>
          </cell>
          <cell r="AI1911" t="str">
            <v/>
          </cell>
          <cell r="AJ1911" t="str">
            <v/>
          </cell>
          <cell r="AK1911" t="str">
            <v>0.205999</v>
          </cell>
          <cell r="AL1911" t="str">
            <v>2</v>
          </cell>
          <cell r="AM1911" t="str">
            <v>Q</v>
          </cell>
          <cell r="AN1911" t="str">
            <v>M0</v>
          </cell>
          <cell r="AO1911" t="str">
            <v>Active(Model)</v>
          </cell>
          <cell r="AP1911" t="str">
            <v/>
          </cell>
          <cell r="AQ1911" t="str">
            <v/>
          </cell>
          <cell r="AR1911" t="str">
            <v>Y</v>
          </cell>
          <cell r="AS1911" t="str">
            <v/>
          </cell>
          <cell r="AT1911" t="str">
            <v>TV</v>
          </cell>
          <cell r="AU1911" t="str">
            <v>TV</v>
          </cell>
          <cell r="AV1911" t="str">
            <v>TVLE</v>
          </cell>
          <cell r="AW1911" t="str">
            <v>LED LCD TV</v>
          </cell>
          <cell r="AX1911" t="str">
            <v>TVLE55</v>
          </cell>
          <cell r="AY1911" t="str">
            <v>LED LCD TV 55</v>
          </cell>
          <cell r="AZ1911" t="str">
            <v>TVLE55NU</v>
          </cell>
          <cell r="BA1911" t="str">
            <v>LED LCD TV 55 (UD)</v>
          </cell>
        </row>
        <row r="1912">
          <cell r="E1912" t="str">
            <v>55UA731C0SB.ATVQ</v>
          </cell>
          <cell r="F1912">
            <v>109</v>
          </cell>
          <cell r="G1912">
            <v>0</v>
          </cell>
          <cell r="H1912">
            <v>0</v>
          </cell>
          <cell r="I1912">
            <v>109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  <cell r="AF1912">
            <v>0</v>
          </cell>
          <cell r="AG1912" t="str">
            <v/>
          </cell>
          <cell r="AH1912" t="str">
            <v/>
          </cell>
          <cell r="AI1912" t="str">
            <v/>
          </cell>
          <cell r="AJ1912" t="str">
            <v/>
          </cell>
          <cell r="AK1912" t="str">
            <v>0.135157</v>
          </cell>
          <cell r="AL1912" t="str">
            <v>2</v>
          </cell>
          <cell r="AM1912" t="str">
            <v>Q</v>
          </cell>
          <cell r="AN1912" t="str">
            <v>M0</v>
          </cell>
          <cell r="AO1912" t="str">
            <v>Active(Model)</v>
          </cell>
          <cell r="AP1912" t="str">
            <v/>
          </cell>
          <cell r="AQ1912" t="str">
            <v/>
          </cell>
          <cell r="AR1912" t="str">
            <v>Y</v>
          </cell>
          <cell r="AS1912" t="str">
            <v/>
          </cell>
          <cell r="AT1912" t="str">
            <v>CS</v>
          </cell>
          <cell r="AU1912" t="str">
            <v>Commercial Display_Signage</v>
          </cell>
          <cell r="AV1912" t="str">
            <v>CSTE</v>
          </cell>
          <cell r="AW1912" t="str">
            <v>Commercial_LED LCD TV</v>
          </cell>
          <cell r="AX1912" t="str">
            <v>CSTE55</v>
          </cell>
          <cell r="AY1912" t="str">
            <v>Commercial_LED LCD TV 55</v>
          </cell>
          <cell r="AZ1912" t="str">
            <v>CSTE55NU</v>
          </cell>
          <cell r="BA1912" t="str">
            <v>Commercial_LED LCD TV 55(UHD)</v>
          </cell>
        </row>
        <row r="1913">
          <cell r="E1913" t="str">
            <v>55UA8055PSA.ATV</v>
          </cell>
          <cell r="F1913">
            <v>0</v>
          </cell>
          <cell r="G1913">
            <v>0</v>
          </cell>
          <cell r="H1913">
            <v>0</v>
          </cell>
          <cell r="I1913">
            <v>1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1</v>
          </cell>
          <cell r="AD1913">
            <v>0</v>
          </cell>
          <cell r="AE1913">
            <v>0</v>
          </cell>
          <cell r="AF1913">
            <v>1</v>
          </cell>
          <cell r="AG1913" t="str">
            <v>LCDPREMIUM</v>
          </cell>
          <cell r="AH1913" t="str">
            <v>LCD_Premium</v>
          </cell>
          <cell r="AI1913" t="str">
            <v/>
          </cell>
          <cell r="AJ1913" t="str">
            <v/>
          </cell>
          <cell r="AK1913" t="str">
            <v>0.178459</v>
          </cell>
          <cell r="AL1913" t="str">
            <v>2</v>
          </cell>
          <cell r="AM1913" t="str">
            <v>Q</v>
          </cell>
          <cell r="AN1913" t="str">
            <v>M0</v>
          </cell>
          <cell r="AO1913" t="str">
            <v>Active(Model)</v>
          </cell>
          <cell r="AP1913" t="str">
            <v/>
          </cell>
          <cell r="AQ1913" t="str">
            <v/>
          </cell>
          <cell r="AR1913" t="str">
            <v>Y</v>
          </cell>
          <cell r="AS1913" t="str">
            <v/>
          </cell>
          <cell r="AT1913" t="str">
            <v>TV</v>
          </cell>
          <cell r="AU1913" t="str">
            <v>TV</v>
          </cell>
          <cell r="AV1913" t="str">
            <v>TVLE</v>
          </cell>
          <cell r="AW1913" t="str">
            <v>LED LCD TV</v>
          </cell>
          <cell r="AX1913" t="str">
            <v>TVLE55</v>
          </cell>
          <cell r="AY1913" t="str">
            <v>LED LCD TV 55</v>
          </cell>
          <cell r="AZ1913" t="str">
            <v>TVLE55NU</v>
          </cell>
          <cell r="BA1913" t="str">
            <v>LED LCD TV 55 (UD)</v>
          </cell>
        </row>
        <row r="1914">
          <cell r="E1914" t="str">
            <v>55UA841CPSA.ATV</v>
          </cell>
          <cell r="F1914">
            <v>1</v>
          </cell>
          <cell r="G1914">
            <v>0</v>
          </cell>
          <cell r="H1914">
            <v>0</v>
          </cell>
          <cell r="I1914">
            <v>2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 t="str">
            <v/>
          </cell>
          <cell r="AH1914" t="str">
            <v/>
          </cell>
          <cell r="AI1914" t="str">
            <v/>
          </cell>
          <cell r="AJ1914" t="str">
            <v/>
          </cell>
          <cell r="AK1914" t="str">
            <v>0.163186</v>
          </cell>
          <cell r="AL1914" t="str">
            <v>2</v>
          </cell>
          <cell r="AM1914" t="str">
            <v>Q</v>
          </cell>
          <cell r="AN1914" t="str">
            <v>M0</v>
          </cell>
          <cell r="AO1914" t="str">
            <v>Active(Model)</v>
          </cell>
          <cell r="AP1914" t="str">
            <v/>
          </cell>
          <cell r="AQ1914" t="str">
            <v/>
          </cell>
          <cell r="AR1914" t="str">
            <v>Y</v>
          </cell>
          <cell r="AS1914" t="str">
            <v/>
          </cell>
          <cell r="AT1914" t="str">
            <v>CS</v>
          </cell>
          <cell r="AU1914" t="str">
            <v>Commercial Display_Signage</v>
          </cell>
          <cell r="AV1914" t="str">
            <v>CSTE</v>
          </cell>
          <cell r="AW1914" t="str">
            <v>Commercial_LED LCD TV</v>
          </cell>
          <cell r="AX1914" t="str">
            <v>CSTE55</v>
          </cell>
          <cell r="AY1914" t="str">
            <v>Commercial_LED LCD TV 55</v>
          </cell>
          <cell r="AZ1914" t="str">
            <v>CSTE55NU</v>
          </cell>
          <cell r="BA1914" t="str">
            <v>Commercial_LED LCD TV 55(UHD)</v>
          </cell>
        </row>
        <row r="1915">
          <cell r="E1915" t="str">
            <v>55UH5Q-E.ATV</v>
          </cell>
          <cell r="F1915">
            <v>1</v>
          </cell>
          <cell r="G1915">
            <v>0</v>
          </cell>
          <cell r="H1915">
            <v>0</v>
          </cell>
          <cell r="I1915">
            <v>1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1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  <cell r="AF1915">
            <v>0</v>
          </cell>
          <cell r="AG1915" t="str">
            <v/>
          </cell>
          <cell r="AH1915" t="str">
            <v/>
          </cell>
          <cell r="AI1915" t="str">
            <v/>
          </cell>
          <cell r="AJ1915" t="str">
            <v/>
          </cell>
          <cell r="AK1915" t="str">
            <v>0.167443</v>
          </cell>
          <cell r="AL1915" t="str">
            <v>2</v>
          </cell>
          <cell r="AM1915" t="str">
            <v>Q</v>
          </cell>
          <cell r="AN1915" t="str">
            <v>M0</v>
          </cell>
          <cell r="AO1915" t="str">
            <v>Active(Model)</v>
          </cell>
          <cell r="AP1915" t="str">
            <v/>
          </cell>
          <cell r="AQ1915" t="str">
            <v/>
          </cell>
          <cell r="AR1915" t="str">
            <v>Y</v>
          </cell>
          <cell r="AS1915" t="str">
            <v/>
          </cell>
          <cell r="AT1915" t="str">
            <v>CS</v>
          </cell>
          <cell r="AU1915" t="str">
            <v>Commercial Display_Signage</v>
          </cell>
          <cell r="AV1915" t="str">
            <v>CSME</v>
          </cell>
          <cell r="AW1915" t="str">
            <v>Commercial_LED LCD Monitor</v>
          </cell>
          <cell r="AX1915" t="str">
            <v>CSME55</v>
          </cell>
          <cell r="AY1915" t="str">
            <v>Commercial_LED LCD Monitor 55</v>
          </cell>
          <cell r="AZ1915" t="str">
            <v>CSME55FW</v>
          </cell>
          <cell r="BA1915" t="str">
            <v>Commercial_LED LCD Monitor 55 (MFT WIDE)</v>
          </cell>
        </row>
        <row r="1916">
          <cell r="E1916" t="str">
            <v>55UJ660H5SD.ATV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 t="str">
            <v/>
          </cell>
          <cell r="AH1916" t="str">
            <v/>
          </cell>
          <cell r="AI1916" t="str">
            <v/>
          </cell>
          <cell r="AJ1916" t="str">
            <v/>
          </cell>
          <cell r="AK1916" t="str">
            <v>0.130990</v>
          </cell>
          <cell r="AL1916" t="str">
            <v>2</v>
          </cell>
          <cell r="AM1916" t="str">
            <v>Q</v>
          </cell>
          <cell r="AN1916" t="str">
            <v>M0</v>
          </cell>
          <cell r="AO1916" t="str">
            <v>Active(Model)</v>
          </cell>
          <cell r="AP1916" t="str">
            <v/>
          </cell>
          <cell r="AQ1916" t="str">
            <v/>
          </cell>
          <cell r="AR1916" t="str">
            <v>Y</v>
          </cell>
          <cell r="AS1916" t="str">
            <v/>
          </cell>
          <cell r="AT1916" t="str">
            <v>HT</v>
          </cell>
          <cell r="AU1916" t="str">
            <v>Commercial Display_Hotel</v>
          </cell>
          <cell r="AV1916" t="str">
            <v>HTTE</v>
          </cell>
          <cell r="AW1916" t="str">
            <v>Commercial(Hotel)_LED LCD TV</v>
          </cell>
          <cell r="AX1916" t="str">
            <v>HTTE55</v>
          </cell>
          <cell r="AY1916" t="str">
            <v>Commercial(Hotel)_LED LCD TV 55</v>
          </cell>
          <cell r="AZ1916" t="str">
            <v>HTTE55NU</v>
          </cell>
          <cell r="BA1916" t="str">
            <v>Commercial(Hotel)_LED LCD TV 55(UHD)</v>
          </cell>
        </row>
        <row r="1917">
          <cell r="E1917" t="str">
            <v>55UK660H0SA.ATV</v>
          </cell>
          <cell r="F1917">
            <v>76</v>
          </cell>
          <cell r="G1917">
            <v>0</v>
          </cell>
          <cell r="H1917">
            <v>0</v>
          </cell>
          <cell r="I1917">
            <v>76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 t="str">
            <v/>
          </cell>
          <cell r="AH1917" t="str">
            <v/>
          </cell>
          <cell r="AI1917" t="str">
            <v/>
          </cell>
          <cell r="AJ1917" t="str">
            <v/>
          </cell>
          <cell r="AK1917" t="str">
            <v>0.163186</v>
          </cell>
          <cell r="AL1917" t="str">
            <v>2</v>
          </cell>
          <cell r="AM1917" t="str">
            <v>Q</v>
          </cell>
          <cell r="AN1917" t="str">
            <v>M0</v>
          </cell>
          <cell r="AO1917" t="str">
            <v>Active(Model)</v>
          </cell>
          <cell r="AP1917" t="str">
            <v/>
          </cell>
          <cell r="AQ1917" t="str">
            <v/>
          </cell>
          <cell r="AR1917" t="str">
            <v>Y</v>
          </cell>
          <cell r="AS1917" t="str">
            <v/>
          </cell>
          <cell r="AT1917" t="str">
            <v>HT</v>
          </cell>
          <cell r="AU1917" t="str">
            <v>Commercial Display_Hotel</v>
          </cell>
          <cell r="AV1917" t="str">
            <v>HTTE</v>
          </cell>
          <cell r="AW1917" t="str">
            <v>Commercial(Hotel)_LED LCD TV</v>
          </cell>
          <cell r="AX1917" t="str">
            <v>HTTE55</v>
          </cell>
          <cell r="AY1917" t="str">
            <v>Commercial(Hotel)_LED LCD TV 55</v>
          </cell>
          <cell r="AZ1917" t="str">
            <v>HTTE55NU</v>
          </cell>
          <cell r="BA1917" t="str">
            <v>Commercial(Hotel)_LED LCD TV 55(UHD)</v>
          </cell>
        </row>
        <row r="1918">
          <cell r="E1918" t="str">
            <v>55UK760H0SD.ATV</v>
          </cell>
          <cell r="F1918">
            <v>434</v>
          </cell>
          <cell r="G1918">
            <v>0</v>
          </cell>
          <cell r="H1918">
            <v>0</v>
          </cell>
          <cell r="I1918">
            <v>434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1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 t="str">
            <v/>
          </cell>
          <cell r="AH1918" t="str">
            <v/>
          </cell>
          <cell r="AI1918" t="str">
            <v/>
          </cell>
          <cell r="AJ1918" t="str">
            <v/>
          </cell>
          <cell r="AK1918" t="str">
            <v>0.178459</v>
          </cell>
          <cell r="AL1918" t="str">
            <v>2</v>
          </cell>
          <cell r="AM1918" t="str">
            <v>Q</v>
          </cell>
          <cell r="AN1918" t="str">
            <v>M0</v>
          </cell>
          <cell r="AO1918" t="str">
            <v>Active(Model)</v>
          </cell>
          <cell r="AP1918" t="str">
            <v/>
          </cell>
          <cell r="AQ1918" t="str">
            <v/>
          </cell>
          <cell r="AR1918" t="str">
            <v>Y</v>
          </cell>
          <cell r="AS1918" t="str">
            <v/>
          </cell>
          <cell r="AT1918" t="str">
            <v>HT</v>
          </cell>
          <cell r="AU1918" t="str">
            <v>Commercial Display_Hotel</v>
          </cell>
          <cell r="AV1918" t="str">
            <v>HTTE</v>
          </cell>
          <cell r="AW1918" t="str">
            <v>Commercial(Hotel)_LED LCD TV</v>
          </cell>
          <cell r="AX1918" t="str">
            <v>HTTE55</v>
          </cell>
          <cell r="AY1918" t="str">
            <v>Commercial(Hotel)_LED LCD TV 55</v>
          </cell>
          <cell r="AZ1918" t="str">
            <v>HTTE55NU</v>
          </cell>
          <cell r="BA1918" t="str">
            <v>Commercial(Hotel)_LED LCD TV 55(UHD)</v>
          </cell>
        </row>
        <row r="1919">
          <cell r="E1919" t="str">
            <v>55UL3Q-E.ATVQ</v>
          </cell>
          <cell r="F1919">
            <v>2</v>
          </cell>
          <cell r="G1919">
            <v>0</v>
          </cell>
          <cell r="H1919">
            <v>0</v>
          </cell>
          <cell r="I1919">
            <v>2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  <cell r="AC1919">
            <v>0</v>
          </cell>
          <cell r="AD1919">
            <v>0</v>
          </cell>
          <cell r="AE1919">
            <v>0</v>
          </cell>
          <cell r="AF1919">
            <v>0</v>
          </cell>
          <cell r="AG1919" t="str">
            <v/>
          </cell>
          <cell r="AH1919" t="str">
            <v/>
          </cell>
          <cell r="AI1919" t="str">
            <v/>
          </cell>
          <cell r="AJ1919" t="str">
            <v/>
          </cell>
          <cell r="AK1919" t="str">
            <v>0.134343</v>
          </cell>
          <cell r="AL1919" t="str">
            <v>2</v>
          </cell>
          <cell r="AM1919" t="str">
            <v>Q</v>
          </cell>
          <cell r="AN1919" t="str">
            <v>M0</v>
          </cell>
          <cell r="AO1919" t="str">
            <v>Active(Model)</v>
          </cell>
          <cell r="AP1919" t="str">
            <v/>
          </cell>
          <cell r="AQ1919" t="str">
            <v/>
          </cell>
          <cell r="AR1919" t="str">
            <v>Y</v>
          </cell>
          <cell r="AS1919" t="str">
            <v/>
          </cell>
          <cell r="AT1919" t="str">
            <v>CS</v>
          </cell>
          <cell r="AU1919" t="str">
            <v>Commercial Display_Signage</v>
          </cell>
          <cell r="AV1919" t="str">
            <v>CSME</v>
          </cell>
          <cell r="AW1919" t="str">
            <v>Commercial_LED LCD Monitor</v>
          </cell>
          <cell r="AX1919" t="str">
            <v>CSME55</v>
          </cell>
          <cell r="AY1919" t="str">
            <v>Commercial_LED LCD Monitor 55</v>
          </cell>
          <cell r="AZ1919" t="str">
            <v>CSME55FW</v>
          </cell>
          <cell r="BA1919" t="str">
            <v>Commercial_LED LCD Monitor 55 (MFT WIDE)</v>
          </cell>
        </row>
        <row r="1920">
          <cell r="E1920" t="str">
            <v>55UL5Q-E.ATVQ</v>
          </cell>
          <cell r="F1920">
            <v>1</v>
          </cell>
          <cell r="G1920">
            <v>0</v>
          </cell>
          <cell r="H1920">
            <v>0</v>
          </cell>
          <cell r="I1920">
            <v>1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0</v>
          </cell>
          <cell r="AE1920">
            <v>0</v>
          </cell>
          <cell r="AF1920">
            <v>0</v>
          </cell>
          <cell r="AG1920" t="str">
            <v/>
          </cell>
          <cell r="AH1920" t="str">
            <v/>
          </cell>
          <cell r="AI1920" t="str">
            <v/>
          </cell>
          <cell r="AJ1920" t="str">
            <v/>
          </cell>
          <cell r="AK1920" t="str">
            <v>0.134343</v>
          </cell>
          <cell r="AL1920" t="str">
            <v>2</v>
          </cell>
          <cell r="AM1920" t="str">
            <v>Q</v>
          </cell>
          <cell r="AN1920" t="str">
            <v>M0</v>
          </cell>
          <cell r="AO1920" t="str">
            <v>Active(Model)</v>
          </cell>
          <cell r="AP1920" t="str">
            <v/>
          </cell>
          <cell r="AQ1920" t="str">
            <v/>
          </cell>
          <cell r="AR1920" t="str">
            <v>Y</v>
          </cell>
          <cell r="AS1920" t="str">
            <v/>
          </cell>
          <cell r="AT1920" t="str">
            <v>CS</v>
          </cell>
          <cell r="AU1920" t="str">
            <v>Commercial Display_Signage</v>
          </cell>
          <cell r="AV1920" t="str">
            <v>CSME</v>
          </cell>
          <cell r="AW1920" t="str">
            <v>Commercial_LED LCD Monitor</v>
          </cell>
          <cell r="AX1920" t="str">
            <v>CSME55</v>
          </cell>
          <cell r="AY1920" t="str">
            <v>Commercial_LED LCD Monitor 55</v>
          </cell>
          <cell r="AZ1920" t="str">
            <v>CSME55FW</v>
          </cell>
          <cell r="BA1920" t="str">
            <v>Commercial_LED LCD Monitor 55 (MFT WIDE)</v>
          </cell>
        </row>
        <row r="1921">
          <cell r="E1921" t="str">
            <v>55VL5PJ-A.ATV</v>
          </cell>
          <cell r="F1921">
            <v>4</v>
          </cell>
          <cell r="G1921">
            <v>0</v>
          </cell>
          <cell r="H1921">
            <v>0</v>
          </cell>
          <cell r="I1921">
            <v>4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 t="str">
            <v>ID</v>
          </cell>
          <cell r="AH1921" t="str">
            <v>Information Display</v>
          </cell>
          <cell r="AI1921" t="str">
            <v/>
          </cell>
          <cell r="AJ1921" t="str">
            <v/>
          </cell>
          <cell r="AK1921" t="str">
            <v>0.348722</v>
          </cell>
          <cell r="AL1921" t="str">
            <v>2</v>
          </cell>
          <cell r="AM1921" t="str">
            <v>Q</v>
          </cell>
          <cell r="AN1921" t="str">
            <v>M0</v>
          </cell>
          <cell r="AO1921" t="str">
            <v>Active(Model)</v>
          </cell>
          <cell r="AP1921" t="str">
            <v/>
          </cell>
          <cell r="AQ1921" t="str">
            <v/>
          </cell>
          <cell r="AR1921" t="str">
            <v>Y</v>
          </cell>
          <cell r="AS1921" t="str">
            <v/>
          </cell>
          <cell r="AT1921" t="str">
            <v>CS</v>
          </cell>
          <cell r="AU1921" t="str">
            <v>Commercial Display_Signage</v>
          </cell>
          <cell r="AV1921" t="str">
            <v>CSME</v>
          </cell>
          <cell r="AW1921" t="str">
            <v>Commercial_LED LCD Monitor</v>
          </cell>
          <cell r="AX1921" t="str">
            <v>CSME55</v>
          </cell>
          <cell r="AY1921" t="str">
            <v>Commercial_LED LCD Monitor 55</v>
          </cell>
          <cell r="AZ1921" t="str">
            <v>CSME55FW</v>
          </cell>
          <cell r="BA1921" t="str">
            <v>Commercial_LED LCD Monitor 55 (MFT WIDE)</v>
          </cell>
        </row>
        <row r="1922">
          <cell r="E1922" t="str">
            <v>55VM5J-H.ATV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0</v>
          </cell>
          <cell r="AF1922">
            <v>0</v>
          </cell>
          <cell r="AG1922" t="str">
            <v>ID</v>
          </cell>
          <cell r="AH1922" t="str">
            <v>Information Display</v>
          </cell>
          <cell r="AI1922" t="str">
            <v/>
          </cell>
          <cell r="AJ1922" t="str">
            <v/>
          </cell>
          <cell r="AK1922" t="str">
            <v>0.348722</v>
          </cell>
          <cell r="AL1922" t="str">
            <v>2</v>
          </cell>
          <cell r="AM1922" t="str">
            <v>Q</v>
          </cell>
          <cell r="AN1922" t="str">
            <v>M0</v>
          </cell>
          <cell r="AO1922" t="str">
            <v>Active(Model)</v>
          </cell>
          <cell r="AP1922" t="str">
            <v/>
          </cell>
          <cell r="AQ1922" t="str">
            <v/>
          </cell>
          <cell r="AR1922" t="str">
            <v>Y</v>
          </cell>
          <cell r="AS1922" t="str">
            <v/>
          </cell>
          <cell r="AT1922" t="str">
            <v>CS</v>
          </cell>
          <cell r="AU1922" t="str">
            <v>Commercial Display_Signage</v>
          </cell>
          <cell r="AV1922" t="str">
            <v>CSME</v>
          </cell>
          <cell r="AW1922" t="str">
            <v>Commercial_LED LCD Monitor</v>
          </cell>
          <cell r="AX1922" t="str">
            <v>CSME55</v>
          </cell>
          <cell r="AY1922" t="str">
            <v>Commercial_LED LCD Monitor 55</v>
          </cell>
          <cell r="AZ1922" t="str">
            <v>CSME55FW</v>
          </cell>
          <cell r="BA1922" t="str">
            <v>Commercial_LED LCD Monitor 55 (MFT WIDE)</v>
          </cell>
        </row>
        <row r="1923">
          <cell r="E1923" t="str">
            <v>55VSH7J-H.ATV</v>
          </cell>
          <cell r="F1923">
            <v>10</v>
          </cell>
          <cell r="G1923">
            <v>0</v>
          </cell>
          <cell r="H1923">
            <v>0</v>
          </cell>
          <cell r="I1923">
            <v>10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0</v>
          </cell>
          <cell r="AF1923">
            <v>0</v>
          </cell>
          <cell r="AG1923" t="str">
            <v>ID</v>
          </cell>
          <cell r="AH1923" t="str">
            <v>Information Display</v>
          </cell>
          <cell r="AI1923" t="str">
            <v/>
          </cell>
          <cell r="AJ1923" t="str">
            <v/>
          </cell>
          <cell r="AK1923" t="str">
            <v>0.304242</v>
          </cell>
          <cell r="AL1923" t="str">
            <v>2</v>
          </cell>
          <cell r="AM1923" t="str">
            <v>Q</v>
          </cell>
          <cell r="AN1923" t="str">
            <v>M0</v>
          </cell>
          <cell r="AO1923" t="str">
            <v>Active(Model)</v>
          </cell>
          <cell r="AP1923" t="str">
            <v/>
          </cell>
          <cell r="AQ1923" t="str">
            <v/>
          </cell>
          <cell r="AR1923" t="str">
            <v>Y</v>
          </cell>
          <cell r="AS1923" t="str">
            <v/>
          </cell>
          <cell r="AT1923" t="str">
            <v>CS</v>
          </cell>
          <cell r="AU1923" t="str">
            <v>Commercial Display_Signage</v>
          </cell>
          <cell r="AV1923" t="str">
            <v>CSME</v>
          </cell>
          <cell r="AW1923" t="str">
            <v>Commercial_LED LCD Monitor</v>
          </cell>
          <cell r="AX1923" t="str">
            <v>CSME55</v>
          </cell>
          <cell r="AY1923" t="str">
            <v>Commercial_LED LCD Monitor 55</v>
          </cell>
          <cell r="AZ1923" t="str">
            <v>CSME55FW</v>
          </cell>
          <cell r="BA1923" t="str">
            <v>Commercial_LED LCD Monitor 55 (MFT WIDE)</v>
          </cell>
        </row>
        <row r="1924">
          <cell r="E1924" t="str">
            <v>65MRGB86BSA.ATV</v>
          </cell>
          <cell r="F1924">
            <v>32</v>
          </cell>
          <cell r="G1924">
            <v>0</v>
          </cell>
          <cell r="H1924">
            <v>0</v>
          </cell>
          <cell r="I1924">
            <v>47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19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15</v>
          </cell>
          <cell r="AE1924">
            <v>0</v>
          </cell>
          <cell r="AF1924">
            <v>15</v>
          </cell>
          <cell r="AG1924" t="str">
            <v>LCDPREPLUS</v>
          </cell>
          <cell r="AH1924" t="str">
            <v>LCD_Premium Plus</v>
          </cell>
          <cell r="AI1924" t="str">
            <v/>
          </cell>
          <cell r="AJ1924" t="str">
            <v/>
          </cell>
          <cell r="AK1924" t="str">
            <v>0.353856</v>
          </cell>
          <cell r="AL1924" t="str">
            <v>2</v>
          </cell>
          <cell r="AM1924" t="str">
            <v>Q</v>
          </cell>
          <cell r="AN1924" t="str">
            <v>M0</v>
          </cell>
          <cell r="AO1924" t="str">
            <v>Active(Model)</v>
          </cell>
          <cell r="AP1924" t="str">
            <v/>
          </cell>
          <cell r="AQ1924" t="str">
            <v/>
          </cell>
          <cell r="AR1924" t="str">
            <v>Y</v>
          </cell>
          <cell r="AS1924" t="str">
            <v/>
          </cell>
          <cell r="AT1924" t="str">
            <v>TV</v>
          </cell>
          <cell r="AU1924" t="str">
            <v>TV</v>
          </cell>
          <cell r="AV1924" t="str">
            <v>TVLE</v>
          </cell>
          <cell r="AW1924" t="str">
            <v>LED LCD TV</v>
          </cell>
          <cell r="AX1924" t="str">
            <v>TVLE65</v>
          </cell>
          <cell r="AY1924" t="str">
            <v>LED LCD TV 65</v>
          </cell>
          <cell r="AZ1924" t="str">
            <v>TVLE65NU</v>
          </cell>
          <cell r="BA1924" t="str">
            <v>LED LCD TV 65 (UD)</v>
          </cell>
        </row>
        <row r="1925">
          <cell r="E1925" t="str">
            <v>65NU805BPSB.ATVQ</v>
          </cell>
          <cell r="F1925">
            <v>0</v>
          </cell>
          <cell r="G1925">
            <v>0</v>
          </cell>
          <cell r="H1925">
            <v>0</v>
          </cell>
          <cell r="I1925">
            <v>1</v>
          </cell>
          <cell r="J1925">
            <v>0</v>
          </cell>
          <cell r="K1925">
            <v>1055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0</v>
          </cell>
          <cell r="AF1925">
            <v>0</v>
          </cell>
          <cell r="AG1925" t="str">
            <v>LCDPREMIUM</v>
          </cell>
          <cell r="AH1925" t="str">
            <v>LCD_Premium</v>
          </cell>
          <cell r="AI1925" t="str">
            <v/>
          </cell>
          <cell r="AJ1925" t="str">
            <v/>
          </cell>
          <cell r="AK1925" t="str">
            <v>0.204710</v>
          </cell>
          <cell r="AL1925" t="str">
            <v>2</v>
          </cell>
          <cell r="AM1925" t="str">
            <v>Q</v>
          </cell>
          <cell r="AN1925" t="str">
            <v>M0</v>
          </cell>
          <cell r="AO1925" t="str">
            <v>Active(Model)</v>
          </cell>
          <cell r="AP1925" t="str">
            <v/>
          </cell>
          <cell r="AQ1925" t="str">
            <v/>
          </cell>
          <cell r="AR1925" t="str">
            <v>Y</v>
          </cell>
          <cell r="AS1925" t="str">
            <v/>
          </cell>
          <cell r="AT1925" t="str">
            <v>TV</v>
          </cell>
          <cell r="AU1925" t="str">
            <v>TV</v>
          </cell>
          <cell r="AV1925" t="str">
            <v>TVLE</v>
          </cell>
          <cell r="AW1925" t="str">
            <v>LED LCD TV</v>
          </cell>
          <cell r="AX1925" t="str">
            <v>TVLE65</v>
          </cell>
          <cell r="AY1925" t="str">
            <v>LED LCD TV 65</v>
          </cell>
          <cell r="AZ1925" t="str">
            <v>TVLE65OU</v>
          </cell>
          <cell r="BA1925" t="str">
            <v>LED LCD TV 65 (O/S, UD)</v>
          </cell>
        </row>
        <row r="1926">
          <cell r="E1926" t="str">
            <v>65NU835BPSA.ATV</v>
          </cell>
          <cell r="F1926">
            <v>54</v>
          </cell>
          <cell r="G1926">
            <v>0</v>
          </cell>
          <cell r="H1926">
            <v>0</v>
          </cell>
          <cell r="I1926">
            <v>254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200</v>
          </cell>
          <cell r="AE1926">
            <v>0</v>
          </cell>
          <cell r="AF1926">
            <v>200</v>
          </cell>
          <cell r="AG1926" t="str">
            <v>LCDPREMIUM</v>
          </cell>
          <cell r="AH1926" t="str">
            <v>LCD_Premium</v>
          </cell>
          <cell r="AI1926" t="str">
            <v/>
          </cell>
          <cell r="AJ1926" t="str">
            <v/>
          </cell>
          <cell r="AK1926" t="str">
            <v>0.213142</v>
          </cell>
          <cell r="AL1926" t="str">
            <v>2</v>
          </cell>
          <cell r="AM1926" t="str">
            <v>Q</v>
          </cell>
          <cell r="AN1926" t="str">
            <v>M0</v>
          </cell>
          <cell r="AO1926" t="str">
            <v>Active(Model)</v>
          </cell>
          <cell r="AP1926" t="str">
            <v/>
          </cell>
          <cell r="AQ1926" t="str">
            <v/>
          </cell>
          <cell r="AR1926" t="str">
            <v>Y</v>
          </cell>
          <cell r="AS1926" t="str">
            <v/>
          </cell>
          <cell r="AT1926" t="str">
            <v>TV</v>
          </cell>
          <cell r="AU1926" t="str">
            <v>TV</v>
          </cell>
          <cell r="AV1926" t="str">
            <v>TVLE</v>
          </cell>
          <cell r="AW1926" t="str">
            <v>LED LCD TV</v>
          </cell>
          <cell r="AX1926" t="str">
            <v>TVLE65</v>
          </cell>
          <cell r="AY1926" t="str">
            <v>LED LCD TV 65</v>
          </cell>
          <cell r="AZ1926" t="str">
            <v>TVLE65NU</v>
          </cell>
          <cell r="BA1926" t="str">
            <v>LED LCD TV 65 (UD)</v>
          </cell>
        </row>
        <row r="1927">
          <cell r="E1927" t="str">
            <v>65NU855BPSA.ATV</v>
          </cell>
          <cell r="F1927">
            <v>192</v>
          </cell>
          <cell r="G1927">
            <v>0</v>
          </cell>
          <cell r="H1927">
            <v>0</v>
          </cell>
          <cell r="I1927">
            <v>234</v>
          </cell>
          <cell r="J1927">
            <v>0</v>
          </cell>
          <cell r="K1927">
            <v>174</v>
          </cell>
          <cell r="L1927">
            <v>0</v>
          </cell>
          <cell r="M1927">
            <v>0</v>
          </cell>
          <cell r="N1927">
            <v>32</v>
          </cell>
          <cell r="O1927">
            <v>0</v>
          </cell>
          <cell r="P1927">
            <v>32</v>
          </cell>
          <cell r="Q1927">
            <v>333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1</v>
          </cell>
          <cell r="AF1927">
            <v>0</v>
          </cell>
          <cell r="AG1927" t="str">
            <v>LCDPREMIUM</v>
          </cell>
          <cell r="AH1927" t="str">
            <v>LCD_Premium</v>
          </cell>
          <cell r="AI1927" t="str">
            <v/>
          </cell>
          <cell r="AJ1927" t="str">
            <v/>
          </cell>
          <cell r="AK1927" t="str">
            <v>0.213142</v>
          </cell>
          <cell r="AL1927" t="str">
            <v>2</v>
          </cell>
          <cell r="AM1927" t="str">
            <v>Q</v>
          </cell>
          <cell r="AN1927" t="str">
            <v>M0</v>
          </cell>
          <cell r="AO1927" t="str">
            <v>Active(Model)</v>
          </cell>
          <cell r="AP1927" t="str">
            <v/>
          </cell>
          <cell r="AQ1927" t="str">
            <v/>
          </cell>
          <cell r="AR1927" t="str">
            <v>Y</v>
          </cell>
          <cell r="AS1927" t="str">
            <v/>
          </cell>
          <cell r="AT1927" t="str">
            <v>TV</v>
          </cell>
          <cell r="AU1927" t="str">
            <v>TV</v>
          </cell>
          <cell r="AV1927" t="str">
            <v>TVLE</v>
          </cell>
          <cell r="AW1927" t="str">
            <v>LED LCD TV</v>
          </cell>
          <cell r="AX1927" t="str">
            <v>TVLE65</v>
          </cell>
          <cell r="AY1927" t="str">
            <v>LED LCD TV 65</v>
          </cell>
          <cell r="AZ1927" t="str">
            <v>TVLE65NU</v>
          </cell>
          <cell r="BA1927" t="str">
            <v>LED LCD TV 65 (UD)</v>
          </cell>
        </row>
        <row r="1928">
          <cell r="E1928" t="str">
            <v>65NU875BPSC.ATV</v>
          </cell>
          <cell r="F1928">
            <v>0</v>
          </cell>
          <cell r="G1928">
            <v>0</v>
          </cell>
          <cell r="H1928">
            <v>0</v>
          </cell>
          <cell r="I1928">
            <v>212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212</v>
          </cell>
          <cell r="AE1928">
            <v>0</v>
          </cell>
          <cell r="AF1928">
            <v>212</v>
          </cell>
          <cell r="AG1928" t="str">
            <v>LCDPREMIUM</v>
          </cell>
          <cell r="AH1928" t="str">
            <v>LCD_Premium</v>
          </cell>
          <cell r="AI1928" t="str">
            <v/>
          </cell>
          <cell r="AJ1928" t="str">
            <v/>
          </cell>
          <cell r="AK1928" t="str">
            <v>0.213142</v>
          </cell>
          <cell r="AL1928" t="str">
            <v>2</v>
          </cell>
          <cell r="AM1928" t="str">
            <v>Q</v>
          </cell>
          <cell r="AN1928" t="str">
            <v>M0</v>
          </cell>
          <cell r="AO1928" t="str">
            <v>Active(Model)</v>
          </cell>
          <cell r="AP1928" t="str">
            <v/>
          </cell>
          <cell r="AQ1928" t="str">
            <v/>
          </cell>
          <cell r="AR1928" t="str">
            <v>Y</v>
          </cell>
          <cell r="AS1928" t="str">
            <v/>
          </cell>
          <cell r="AT1928" t="str">
            <v>TV</v>
          </cell>
          <cell r="AU1928" t="str">
            <v>TV</v>
          </cell>
          <cell r="AV1928" t="str">
            <v>TVLE</v>
          </cell>
          <cell r="AW1928" t="str">
            <v>LED LCD TV</v>
          </cell>
          <cell r="AX1928" t="str">
            <v>TVLE65</v>
          </cell>
          <cell r="AY1928" t="str">
            <v>LED LCD TV 65</v>
          </cell>
          <cell r="AZ1928" t="str">
            <v>TVLE65NU</v>
          </cell>
          <cell r="BA1928" t="str">
            <v>LED LCD TV 65 (UD)</v>
          </cell>
        </row>
        <row r="1929">
          <cell r="E1929" t="str">
            <v>65PK640S0SB.ATVQ</v>
          </cell>
          <cell r="F1929">
            <v>88</v>
          </cell>
          <cell r="G1929">
            <v>0</v>
          </cell>
          <cell r="H1929">
            <v>0</v>
          </cell>
          <cell r="I1929">
            <v>88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  <cell r="AE1929">
            <v>0</v>
          </cell>
          <cell r="AF1929">
            <v>0</v>
          </cell>
          <cell r="AG1929" t="str">
            <v/>
          </cell>
          <cell r="AH1929" t="str">
            <v/>
          </cell>
          <cell r="AI1929" t="str">
            <v/>
          </cell>
          <cell r="AJ1929" t="str">
            <v/>
          </cell>
          <cell r="AK1929" t="str">
            <v>0.223397</v>
          </cell>
          <cell r="AL1929" t="str">
            <v>2</v>
          </cell>
          <cell r="AM1929" t="str">
            <v>Q</v>
          </cell>
          <cell r="AN1929" t="str">
            <v>M0</v>
          </cell>
          <cell r="AO1929" t="str">
            <v>Active(Model)</v>
          </cell>
          <cell r="AP1929" t="str">
            <v/>
          </cell>
          <cell r="AQ1929" t="str">
            <v/>
          </cell>
          <cell r="AR1929" t="str">
            <v>Y</v>
          </cell>
          <cell r="AS1929" t="str">
            <v/>
          </cell>
          <cell r="AT1929" t="str">
            <v>CS</v>
          </cell>
          <cell r="AU1929" t="str">
            <v>Commercial Display_Signage</v>
          </cell>
          <cell r="AV1929" t="str">
            <v>CSTE</v>
          </cell>
          <cell r="AW1929" t="str">
            <v>Commercial_LED LCD TV</v>
          </cell>
          <cell r="AX1929" t="str">
            <v>CSTE65</v>
          </cell>
          <cell r="AY1929" t="str">
            <v>Commercial_LED LCD TV 65</v>
          </cell>
          <cell r="AZ1929" t="str">
            <v>CSTE65NU</v>
          </cell>
          <cell r="BA1929" t="str">
            <v>Commercial_LED LCD TV 65(UHD)</v>
          </cell>
        </row>
        <row r="1930">
          <cell r="E1930" t="str">
            <v>65QNED70BSA.ATV</v>
          </cell>
          <cell r="F1930">
            <v>60</v>
          </cell>
          <cell r="G1930">
            <v>0</v>
          </cell>
          <cell r="H1930">
            <v>0</v>
          </cell>
          <cell r="I1930">
            <v>75</v>
          </cell>
          <cell r="J1930">
            <v>73</v>
          </cell>
          <cell r="K1930">
            <v>0</v>
          </cell>
          <cell r="L1930">
            <v>0</v>
          </cell>
          <cell r="M1930">
            <v>0</v>
          </cell>
          <cell r="N1930">
            <v>15</v>
          </cell>
          <cell r="O1930">
            <v>561</v>
          </cell>
          <cell r="P1930">
            <v>15</v>
          </cell>
          <cell r="Q1930">
            <v>18</v>
          </cell>
          <cell r="R1930">
            <v>0</v>
          </cell>
          <cell r="S1930">
            <v>0</v>
          </cell>
          <cell r="T1930">
            <v>3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 t="str">
            <v>LCDPREPLUS</v>
          </cell>
          <cell r="AH1930" t="str">
            <v>LCD_Premium Plus</v>
          </cell>
          <cell r="AI1930" t="str">
            <v/>
          </cell>
          <cell r="AJ1930" t="str">
            <v/>
          </cell>
          <cell r="AK1930" t="str">
            <v>0.213142</v>
          </cell>
          <cell r="AL1930" t="str">
            <v>2</v>
          </cell>
          <cell r="AM1930" t="str">
            <v>Q</v>
          </cell>
          <cell r="AN1930" t="str">
            <v>M0</v>
          </cell>
          <cell r="AO1930" t="str">
            <v>Active(Model)</v>
          </cell>
          <cell r="AP1930" t="str">
            <v/>
          </cell>
          <cell r="AQ1930" t="str">
            <v/>
          </cell>
          <cell r="AR1930" t="str">
            <v>Y</v>
          </cell>
          <cell r="AS1930" t="str">
            <v/>
          </cell>
          <cell r="AT1930" t="str">
            <v>TV</v>
          </cell>
          <cell r="AU1930" t="str">
            <v>TV</v>
          </cell>
          <cell r="AV1930" t="str">
            <v>TVLE</v>
          </cell>
          <cell r="AW1930" t="str">
            <v>LED LCD TV</v>
          </cell>
          <cell r="AX1930" t="str">
            <v>TVLE65</v>
          </cell>
          <cell r="AY1930" t="str">
            <v>LED LCD TV 65</v>
          </cell>
          <cell r="AZ1930" t="str">
            <v>TVLE65NU</v>
          </cell>
          <cell r="BA1930" t="str">
            <v>LED LCD TV 65 (UD)</v>
          </cell>
        </row>
        <row r="1931">
          <cell r="E1931" t="str">
            <v>65QNED80BSA.ATV</v>
          </cell>
          <cell r="F1931">
            <v>0</v>
          </cell>
          <cell r="G1931">
            <v>0</v>
          </cell>
          <cell r="H1931">
            <v>0</v>
          </cell>
          <cell r="I1931">
            <v>36</v>
          </cell>
          <cell r="J1931">
            <v>0</v>
          </cell>
          <cell r="K1931">
            <v>154</v>
          </cell>
          <cell r="L1931">
            <v>0</v>
          </cell>
          <cell r="M1931">
            <v>1</v>
          </cell>
          <cell r="N1931">
            <v>13</v>
          </cell>
          <cell r="O1931">
            <v>2</v>
          </cell>
          <cell r="P1931">
            <v>14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0</v>
          </cell>
          <cell r="AD1931">
            <v>0</v>
          </cell>
          <cell r="AE1931">
            <v>0</v>
          </cell>
          <cell r="AF1931">
            <v>0</v>
          </cell>
          <cell r="AG1931" t="str">
            <v>LCDPREPLUS</v>
          </cell>
          <cell r="AH1931" t="str">
            <v>LCD_Premium Plus</v>
          </cell>
          <cell r="AI1931" t="str">
            <v/>
          </cell>
          <cell r="AJ1931" t="str">
            <v/>
          </cell>
          <cell r="AK1931" t="str">
            <v>0.243162</v>
          </cell>
          <cell r="AL1931" t="str">
            <v>2</v>
          </cell>
          <cell r="AM1931" t="str">
            <v>Q</v>
          </cell>
          <cell r="AN1931" t="str">
            <v>M0</v>
          </cell>
          <cell r="AO1931" t="str">
            <v>Active(Model)</v>
          </cell>
          <cell r="AP1931" t="str">
            <v/>
          </cell>
          <cell r="AQ1931" t="str">
            <v/>
          </cell>
          <cell r="AR1931" t="str">
            <v>Y</v>
          </cell>
          <cell r="AS1931" t="str">
            <v/>
          </cell>
          <cell r="AT1931" t="str">
            <v>TV</v>
          </cell>
          <cell r="AU1931" t="str">
            <v>TV</v>
          </cell>
          <cell r="AV1931" t="str">
            <v>TVLE</v>
          </cell>
          <cell r="AW1931" t="str">
            <v>LED LCD TV</v>
          </cell>
          <cell r="AX1931" t="str">
            <v>TVLE65</v>
          </cell>
          <cell r="AY1931" t="str">
            <v>LED LCD TV 65</v>
          </cell>
          <cell r="AZ1931" t="str">
            <v>TVLE65NU</v>
          </cell>
          <cell r="BA1931" t="str">
            <v>LED LCD TV 65 (UD)</v>
          </cell>
        </row>
        <row r="1932">
          <cell r="E1932" t="str">
            <v>65QNED81BSA.ATV</v>
          </cell>
          <cell r="F1932">
            <v>61</v>
          </cell>
          <cell r="G1932">
            <v>0</v>
          </cell>
          <cell r="H1932">
            <v>0</v>
          </cell>
          <cell r="I1932">
            <v>76</v>
          </cell>
          <cell r="J1932">
            <v>1</v>
          </cell>
          <cell r="K1932">
            <v>0</v>
          </cell>
          <cell r="L1932">
            <v>0</v>
          </cell>
          <cell r="M1932">
            <v>6</v>
          </cell>
          <cell r="N1932">
            <v>1</v>
          </cell>
          <cell r="O1932">
            <v>6</v>
          </cell>
          <cell r="P1932">
            <v>7</v>
          </cell>
          <cell r="Q1932">
            <v>99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29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  <cell r="AF1932">
            <v>0</v>
          </cell>
          <cell r="AG1932" t="str">
            <v>LCDPREPLUS</v>
          </cell>
          <cell r="AH1932" t="str">
            <v>LCD_Premium Plus</v>
          </cell>
          <cell r="AI1932" t="str">
            <v/>
          </cell>
          <cell r="AJ1932" t="str">
            <v/>
          </cell>
          <cell r="AK1932" t="str">
            <v>0.266944</v>
          </cell>
          <cell r="AL1932" t="str">
            <v>2</v>
          </cell>
          <cell r="AM1932" t="str">
            <v>Q</v>
          </cell>
          <cell r="AN1932" t="str">
            <v>M0</v>
          </cell>
          <cell r="AO1932" t="str">
            <v>Active(Model)</v>
          </cell>
          <cell r="AP1932" t="str">
            <v/>
          </cell>
          <cell r="AQ1932" t="str">
            <v/>
          </cell>
          <cell r="AR1932" t="str">
            <v>Y</v>
          </cell>
          <cell r="AS1932" t="str">
            <v/>
          </cell>
          <cell r="AT1932" t="str">
            <v>TV</v>
          </cell>
          <cell r="AU1932" t="str">
            <v>TV</v>
          </cell>
          <cell r="AV1932" t="str">
            <v>TVLE</v>
          </cell>
          <cell r="AW1932" t="str">
            <v>LED LCD TV</v>
          </cell>
          <cell r="AX1932" t="str">
            <v>TVLE65</v>
          </cell>
          <cell r="AY1932" t="str">
            <v>LED LCD TV 65</v>
          </cell>
          <cell r="AZ1932" t="str">
            <v>TVLE65NU</v>
          </cell>
          <cell r="BA1932" t="str">
            <v>LED LCD TV 65 (UD)</v>
          </cell>
        </row>
        <row r="1933">
          <cell r="E1933" t="str">
            <v>65QNED86BSA.ATV</v>
          </cell>
          <cell r="F1933">
            <v>151</v>
          </cell>
          <cell r="G1933">
            <v>0</v>
          </cell>
          <cell r="H1933">
            <v>0</v>
          </cell>
          <cell r="I1933">
            <v>206</v>
          </cell>
          <cell r="J1933">
            <v>5</v>
          </cell>
          <cell r="K1933">
            <v>0</v>
          </cell>
          <cell r="L1933">
            <v>0</v>
          </cell>
          <cell r="M1933">
            <v>1</v>
          </cell>
          <cell r="N1933">
            <v>4</v>
          </cell>
          <cell r="O1933">
            <v>69</v>
          </cell>
          <cell r="P1933">
            <v>5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12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20</v>
          </cell>
          <cell r="AE1933">
            <v>0</v>
          </cell>
          <cell r="AF1933">
            <v>20</v>
          </cell>
          <cell r="AG1933" t="str">
            <v>LCDPREPLUS</v>
          </cell>
          <cell r="AH1933" t="str">
            <v>LCD_Premium Plus</v>
          </cell>
          <cell r="AI1933" t="str">
            <v/>
          </cell>
          <cell r="AJ1933" t="str">
            <v/>
          </cell>
          <cell r="AK1933" t="str">
            <v>0.315056</v>
          </cell>
          <cell r="AL1933" t="str">
            <v>2</v>
          </cell>
          <cell r="AM1933" t="str">
            <v>Q</v>
          </cell>
          <cell r="AN1933" t="str">
            <v>M0</v>
          </cell>
          <cell r="AO1933" t="str">
            <v>Active(Model)</v>
          </cell>
          <cell r="AP1933" t="str">
            <v/>
          </cell>
          <cell r="AQ1933" t="str">
            <v/>
          </cell>
          <cell r="AR1933" t="str">
            <v>Y</v>
          </cell>
          <cell r="AS1933" t="str">
            <v/>
          </cell>
          <cell r="AT1933" t="str">
            <v>TV</v>
          </cell>
          <cell r="AU1933" t="str">
            <v>TV</v>
          </cell>
          <cell r="AV1933" t="str">
            <v>TVLE</v>
          </cell>
          <cell r="AW1933" t="str">
            <v>LED LCD TV</v>
          </cell>
          <cell r="AX1933" t="str">
            <v>TVLE65</v>
          </cell>
          <cell r="AY1933" t="str">
            <v>LED LCD TV 65</v>
          </cell>
          <cell r="AZ1933" t="str">
            <v>TVLE65NU</v>
          </cell>
          <cell r="BA1933" t="str">
            <v>LED LCD TV 65 (UD)</v>
          </cell>
        </row>
        <row r="1934">
          <cell r="E1934" t="str">
            <v>65TR3DQ-B.AUBQ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0</v>
          </cell>
          <cell r="AF1934">
            <v>0</v>
          </cell>
          <cell r="AG1934" t="str">
            <v/>
          </cell>
          <cell r="AH1934" t="str">
            <v/>
          </cell>
          <cell r="AI1934" t="str">
            <v/>
          </cell>
          <cell r="AJ1934" t="str">
            <v/>
          </cell>
          <cell r="AK1934" t="str">
            <v>0.305397</v>
          </cell>
          <cell r="AL1934" t="str">
            <v>2</v>
          </cell>
          <cell r="AM1934" t="str">
            <v>Q</v>
          </cell>
          <cell r="AN1934" t="str">
            <v>M0</v>
          </cell>
          <cell r="AO1934" t="str">
            <v>Active(Model)</v>
          </cell>
          <cell r="AP1934" t="str">
            <v/>
          </cell>
          <cell r="AQ1934" t="str">
            <v/>
          </cell>
          <cell r="AR1934" t="str">
            <v>Y</v>
          </cell>
          <cell r="AS1934" t="str">
            <v/>
          </cell>
          <cell r="AT1934" t="str">
            <v>CS</v>
          </cell>
          <cell r="AU1934" t="str">
            <v>Commercial Display_Signage</v>
          </cell>
          <cell r="AV1934" t="str">
            <v>CSME</v>
          </cell>
          <cell r="AW1934" t="str">
            <v>Commercial_LED LCD Monitor</v>
          </cell>
          <cell r="AX1934" t="str">
            <v>CSME65</v>
          </cell>
          <cell r="AY1934" t="str">
            <v>Commercial_LED LCD Monitor 65</v>
          </cell>
          <cell r="AZ1934" t="str">
            <v>CSME65FW</v>
          </cell>
          <cell r="BA1934" t="str">
            <v>Commercial_LED LCD Monitor 65 (MFT WIDE)</v>
          </cell>
        </row>
        <row r="1935">
          <cell r="E1935" t="str">
            <v>65UH5Q-E.ATV</v>
          </cell>
          <cell r="F1935">
            <v>8</v>
          </cell>
          <cell r="G1935">
            <v>0</v>
          </cell>
          <cell r="H1935">
            <v>0</v>
          </cell>
          <cell r="I1935">
            <v>8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3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 t="str">
            <v/>
          </cell>
          <cell r="AH1935" t="str">
            <v/>
          </cell>
          <cell r="AI1935" t="str">
            <v/>
          </cell>
          <cell r="AJ1935" t="str">
            <v/>
          </cell>
          <cell r="AK1935" t="str">
            <v>0.258172</v>
          </cell>
          <cell r="AL1935" t="str">
            <v>2</v>
          </cell>
          <cell r="AM1935" t="str">
            <v>Q</v>
          </cell>
          <cell r="AN1935" t="str">
            <v>M0</v>
          </cell>
          <cell r="AO1935" t="str">
            <v>Active(Model)</v>
          </cell>
          <cell r="AP1935" t="str">
            <v/>
          </cell>
          <cell r="AQ1935" t="str">
            <v/>
          </cell>
          <cell r="AR1935" t="str">
            <v>Y</v>
          </cell>
          <cell r="AS1935" t="str">
            <v/>
          </cell>
          <cell r="AT1935" t="str">
            <v>CS</v>
          </cell>
          <cell r="AU1935" t="str">
            <v>Commercial Display_Signage</v>
          </cell>
          <cell r="AV1935" t="str">
            <v>CSME</v>
          </cell>
          <cell r="AW1935" t="str">
            <v>Commercial_LED LCD Monitor</v>
          </cell>
          <cell r="AX1935" t="str">
            <v>CSME65</v>
          </cell>
          <cell r="AY1935" t="str">
            <v>Commercial_LED LCD Monitor 65</v>
          </cell>
          <cell r="AZ1935" t="str">
            <v>CSME65FW</v>
          </cell>
          <cell r="BA1935" t="str">
            <v>Commercial_LED LCD Monitor 65 (MFT WIDE)</v>
          </cell>
        </row>
        <row r="1936">
          <cell r="E1936" t="str">
            <v>65UJ660H5SD.ATV</v>
          </cell>
          <cell r="F1936">
            <v>13</v>
          </cell>
          <cell r="G1936">
            <v>0</v>
          </cell>
          <cell r="H1936">
            <v>0</v>
          </cell>
          <cell r="I1936">
            <v>13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10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0</v>
          </cell>
          <cell r="AF1936">
            <v>0</v>
          </cell>
          <cell r="AG1936" t="str">
            <v/>
          </cell>
          <cell r="AH1936" t="str">
            <v/>
          </cell>
          <cell r="AI1936" t="str">
            <v/>
          </cell>
          <cell r="AJ1936" t="str">
            <v/>
          </cell>
          <cell r="AK1936" t="str">
            <v>0.213142</v>
          </cell>
          <cell r="AL1936" t="str">
            <v>2</v>
          </cell>
          <cell r="AM1936" t="str">
            <v>Q</v>
          </cell>
          <cell r="AN1936" t="str">
            <v>M0</v>
          </cell>
          <cell r="AO1936" t="str">
            <v>Active(Model)</v>
          </cell>
          <cell r="AP1936" t="str">
            <v/>
          </cell>
          <cell r="AQ1936" t="str">
            <v/>
          </cell>
          <cell r="AR1936" t="str">
            <v>Y</v>
          </cell>
          <cell r="AS1936" t="str">
            <v/>
          </cell>
          <cell r="AT1936" t="str">
            <v>HT</v>
          </cell>
          <cell r="AU1936" t="str">
            <v>Commercial Display_Hotel</v>
          </cell>
          <cell r="AV1936" t="str">
            <v>HTTE</v>
          </cell>
          <cell r="AW1936" t="str">
            <v>Commercial(Hotel)_LED LCD TV</v>
          </cell>
          <cell r="AX1936" t="str">
            <v>HTTE65</v>
          </cell>
          <cell r="AY1936" t="str">
            <v>Commercial(Hotel)_LED LCD TV 65</v>
          </cell>
          <cell r="AZ1936" t="str">
            <v>HTTE65NU</v>
          </cell>
          <cell r="BA1936" t="str">
            <v>Commercial(Hotel)_LED LCD TV 65(UHD)</v>
          </cell>
        </row>
        <row r="1937">
          <cell r="E1937" t="str">
            <v>65UK660H0SA.ATV</v>
          </cell>
          <cell r="F1937">
            <v>0</v>
          </cell>
          <cell r="G1937">
            <v>0</v>
          </cell>
          <cell r="H1937">
            <v>0</v>
          </cell>
          <cell r="I1937">
            <v>1</v>
          </cell>
          <cell r="J1937">
            <v>0</v>
          </cell>
          <cell r="K1937">
            <v>0</v>
          </cell>
          <cell r="L1937">
            <v>1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1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  <cell r="AF1937">
            <v>0</v>
          </cell>
          <cell r="AG1937" t="str">
            <v/>
          </cell>
          <cell r="AH1937" t="str">
            <v/>
          </cell>
          <cell r="AI1937" t="str">
            <v/>
          </cell>
          <cell r="AJ1937" t="str">
            <v/>
          </cell>
          <cell r="AK1937" t="str">
            <v>0.243162</v>
          </cell>
          <cell r="AL1937" t="str">
            <v>2</v>
          </cell>
          <cell r="AM1937" t="str">
            <v>Q</v>
          </cell>
          <cell r="AN1937" t="str">
            <v>M0</v>
          </cell>
          <cell r="AO1937" t="str">
            <v>Active(Model)</v>
          </cell>
          <cell r="AP1937" t="str">
            <v/>
          </cell>
          <cell r="AQ1937" t="str">
            <v/>
          </cell>
          <cell r="AR1937" t="str">
            <v>Y</v>
          </cell>
          <cell r="AS1937" t="str">
            <v/>
          </cell>
          <cell r="AT1937" t="str">
            <v>HT</v>
          </cell>
          <cell r="AU1937" t="str">
            <v>Commercial Display_Hotel</v>
          </cell>
          <cell r="AV1937" t="str">
            <v>HTTE</v>
          </cell>
          <cell r="AW1937" t="str">
            <v>Commercial(Hotel)_LED LCD TV</v>
          </cell>
          <cell r="AX1937" t="str">
            <v>HTTE65</v>
          </cell>
          <cell r="AY1937" t="str">
            <v>Commercial(Hotel)_LED LCD TV 65</v>
          </cell>
          <cell r="AZ1937" t="str">
            <v>HTTE65NU</v>
          </cell>
          <cell r="BA1937" t="str">
            <v>Commercial(Hotel)_LED LCD TV 65(UHD)</v>
          </cell>
        </row>
        <row r="1938">
          <cell r="E1938" t="str">
            <v>65UK760H0SD.ATV</v>
          </cell>
          <cell r="F1938">
            <v>56</v>
          </cell>
          <cell r="G1938">
            <v>0</v>
          </cell>
          <cell r="H1938">
            <v>0</v>
          </cell>
          <cell r="I1938">
            <v>56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0</v>
          </cell>
          <cell r="AF1938">
            <v>0</v>
          </cell>
          <cell r="AG1938" t="str">
            <v/>
          </cell>
          <cell r="AH1938" t="str">
            <v/>
          </cell>
          <cell r="AI1938" t="str">
            <v/>
          </cell>
          <cell r="AJ1938" t="str">
            <v/>
          </cell>
          <cell r="AK1938" t="str">
            <v>0.266944</v>
          </cell>
          <cell r="AL1938" t="str">
            <v>2</v>
          </cell>
          <cell r="AM1938" t="str">
            <v>Q</v>
          </cell>
          <cell r="AN1938" t="str">
            <v>M0</v>
          </cell>
          <cell r="AO1938" t="str">
            <v>Active(Model)</v>
          </cell>
          <cell r="AP1938" t="str">
            <v/>
          </cell>
          <cell r="AQ1938" t="str">
            <v/>
          </cell>
          <cell r="AR1938" t="str">
            <v>Y</v>
          </cell>
          <cell r="AS1938" t="str">
            <v/>
          </cell>
          <cell r="AT1938" t="str">
            <v>HT</v>
          </cell>
          <cell r="AU1938" t="str">
            <v>Commercial Display_Hotel</v>
          </cell>
          <cell r="AV1938" t="str">
            <v>HTTE</v>
          </cell>
          <cell r="AW1938" t="str">
            <v>Commercial(Hotel)_LED LCD TV</v>
          </cell>
          <cell r="AX1938" t="str">
            <v>HTTE65</v>
          </cell>
          <cell r="AY1938" t="str">
            <v>Commercial(Hotel)_LED LCD TV 65</v>
          </cell>
          <cell r="AZ1938" t="str">
            <v>HTTE65NU</v>
          </cell>
          <cell r="BA1938" t="str">
            <v>Commercial(Hotel)_LED LCD TV 65(UHD)</v>
          </cell>
        </row>
        <row r="1939">
          <cell r="E1939" t="str">
            <v>65UM767H0SH.ATV</v>
          </cell>
          <cell r="F1939">
            <v>79</v>
          </cell>
          <cell r="G1939">
            <v>0</v>
          </cell>
          <cell r="H1939">
            <v>0</v>
          </cell>
          <cell r="I1939">
            <v>79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76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0</v>
          </cell>
          <cell r="AF1939">
            <v>0</v>
          </cell>
          <cell r="AG1939" t="str">
            <v>ID</v>
          </cell>
          <cell r="AH1939" t="str">
            <v>Information Display</v>
          </cell>
          <cell r="AI1939" t="str">
            <v/>
          </cell>
          <cell r="AJ1939" t="str">
            <v/>
          </cell>
          <cell r="AK1939" t="str">
            <v>0.354384</v>
          </cell>
          <cell r="AL1939" t="str">
            <v>2</v>
          </cell>
          <cell r="AM1939" t="str">
            <v>Q</v>
          </cell>
          <cell r="AN1939" t="str">
            <v>M0</v>
          </cell>
          <cell r="AO1939" t="str">
            <v>Active(Model)</v>
          </cell>
          <cell r="AP1939" t="str">
            <v/>
          </cell>
          <cell r="AQ1939" t="str">
            <v/>
          </cell>
          <cell r="AR1939" t="str">
            <v>Y</v>
          </cell>
          <cell r="AS1939" t="str">
            <v/>
          </cell>
          <cell r="AT1939" t="str">
            <v>HT</v>
          </cell>
          <cell r="AU1939" t="str">
            <v>Commercial Display_Hotel</v>
          </cell>
          <cell r="AV1939" t="str">
            <v>HTTE</v>
          </cell>
          <cell r="AW1939" t="str">
            <v>Commercial(Hotel)_LED LCD TV</v>
          </cell>
          <cell r="AX1939" t="str">
            <v>HTTE65</v>
          </cell>
          <cell r="AY1939" t="str">
            <v>Commercial(Hotel)_LED LCD TV 65</v>
          </cell>
          <cell r="AZ1939" t="str">
            <v>HTTE65NU</v>
          </cell>
          <cell r="BA1939" t="str">
            <v>Commercial(Hotel)_LED LCD TV 65(UHD)</v>
          </cell>
        </row>
        <row r="1940">
          <cell r="E1940" t="str">
            <v>75MRGB86BSA.ATV</v>
          </cell>
          <cell r="F1940">
            <v>5</v>
          </cell>
          <cell r="G1940">
            <v>0</v>
          </cell>
          <cell r="H1940">
            <v>0</v>
          </cell>
          <cell r="I1940">
            <v>7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7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  <cell r="AF1940">
            <v>0</v>
          </cell>
          <cell r="AG1940" t="str">
            <v>LCDPREPLUS</v>
          </cell>
          <cell r="AH1940" t="str">
            <v>LCD_Premium Plus</v>
          </cell>
          <cell r="AI1940" t="str">
            <v/>
          </cell>
          <cell r="AJ1940" t="str">
            <v/>
          </cell>
          <cell r="AK1940" t="str">
            <v>0.502774</v>
          </cell>
          <cell r="AL1940" t="str">
            <v>2</v>
          </cell>
          <cell r="AM1940" t="str">
            <v>Q</v>
          </cell>
          <cell r="AN1940" t="str">
            <v>M0</v>
          </cell>
          <cell r="AO1940" t="str">
            <v>Active(Model)</v>
          </cell>
          <cell r="AP1940" t="str">
            <v/>
          </cell>
          <cell r="AQ1940" t="str">
            <v/>
          </cell>
          <cell r="AR1940" t="str">
            <v>Y</v>
          </cell>
          <cell r="AS1940" t="str">
            <v/>
          </cell>
          <cell r="AT1940" t="str">
            <v>TV</v>
          </cell>
          <cell r="AU1940" t="str">
            <v>TV</v>
          </cell>
          <cell r="AV1940" t="str">
            <v>TVLE</v>
          </cell>
          <cell r="AW1940" t="str">
            <v>LED LCD TV</v>
          </cell>
          <cell r="AX1940" t="str">
            <v>TVLE75</v>
          </cell>
          <cell r="AY1940" t="str">
            <v>LED LCD TV 75</v>
          </cell>
          <cell r="AZ1940" t="str">
            <v>TVLE75NU</v>
          </cell>
          <cell r="BA1940" t="str">
            <v>LED LCD TV 75 (UD)</v>
          </cell>
        </row>
        <row r="1941">
          <cell r="E1941" t="str">
            <v>75NU805BPSB.ATVQ</v>
          </cell>
          <cell r="F1941">
            <v>0</v>
          </cell>
          <cell r="G1941">
            <v>0</v>
          </cell>
          <cell r="H1941">
            <v>0</v>
          </cell>
          <cell r="I1941">
            <v>114</v>
          </cell>
          <cell r="J1941">
            <v>4</v>
          </cell>
          <cell r="K1941">
            <v>0</v>
          </cell>
          <cell r="L1941">
            <v>0</v>
          </cell>
          <cell r="M1941">
            <v>0</v>
          </cell>
          <cell r="N1941">
            <v>104</v>
          </cell>
          <cell r="O1941">
            <v>109</v>
          </cell>
          <cell r="P1941">
            <v>104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0</v>
          </cell>
          <cell r="AF1941">
            <v>0</v>
          </cell>
          <cell r="AG1941" t="str">
            <v>LCDPREPLUS</v>
          </cell>
          <cell r="AH1941" t="str">
            <v>LCD_Premium Plus</v>
          </cell>
          <cell r="AI1941" t="str">
            <v/>
          </cell>
          <cell r="AJ1941" t="str">
            <v/>
          </cell>
          <cell r="AK1941" t="str">
            <v>0.331169</v>
          </cell>
          <cell r="AL1941" t="str">
            <v>2</v>
          </cell>
          <cell r="AM1941" t="str">
            <v>Q</v>
          </cell>
          <cell r="AN1941" t="str">
            <v>M0</v>
          </cell>
          <cell r="AO1941" t="str">
            <v>Active(Model)</v>
          </cell>
          <cell r="AP1941" t="str">
            <v/>
          </cell>
          <cell r="AQ1941" t="str">
            <v/>
          </cell>
          <cell r="AR1941" t="str">
            <v>Y</v>
          </cell>
          <cell r="AS1941" t="str">
            <v/>
          </cell>
          <cell r="AT1941" t="str">
            <v>TV</v>
          </cell>
          <cell r="AU1941" t="str">
            <v>TV</v>
          </cell>
          <cell r="AV1941" t="str">
            <v>TVLE</v>
          </cell>
          <cell r="AW1941" t="str">
            <v>LED LCD TV</v>
          </cell>
          <cell r="AX1941" t="str">
            <v>TVLE75</v>
          </cell>
          <cell r="AY1941" t="str">
            <v>LED LCD TV 75</v>
          </cell>
          <cell r="AZ1941" t="str">
            <v>TVLE75OU</v>
          </cell>
          <cell r="BA1941" t="str">
            <v>LED LCD TV 75 (O/S, UD)</v>
          </cell>
        </row>
        <row r="1942">
          <cell r="E1942" t="str">
            <v>75NU835BPSA.ATV</v>
          </cell>
          <cell r="F1942">
            <v>150</v>
          </cell>
          <cell r="G1942">
            <v>0</v>
          </cell>
          <cell r="H1942">
            <v>0</v>
          </cell>
          <cell r="I1942">
            <v>175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25</v>
          </cell>
          <cell r="AE1942">
            <v>0</v>
          </cell>
          <cell r="AF1942">
            <v>25</v>
          </cell>
          <cell r="AG1942" t="str">
            <v>LCDPREPLUS</v>
          </cell>
          <cell r="AH1942" t="str">
            <v>LCD_Premium Plus</v>
          </cell>
          <cell r="AI1942" t="str">
            <v/>
          </cell>
          <cell r="AJ1942" t="str">
            <v/>
          </cell>
          <cell r="AK1942" t="str">
            <v>0.319901</v>
          </cell>
          <cell r="AL1942" t="str">
            <v>2</v>
          </cell>
          <cell r="AM1942" t="str">
            <v>Q</v>
          </cell>
          <cell r="AN1942" t="str">
            <v>M0</v>
          </cell>
          <cell r="AO1942" t="str">
            <v>Active(Model)</v>
          </cell>
          <cell r="AP1942" t="str">
            <v/>
          </cell>
          <cell r="AQ1942" t="str">
            <v/>
          </cell>
          <cell r="AR1942" t="str">
            <v>Y</v>
          </cell>
          <cell r="AS1942" t="str">
            <v/>
          </cell>
          <cell r="AT1942" t="str">
            <v>TV</v>
          </cell>
          <cell r="AU1942" t="str">
            <v>TV</v>
          </cell>
          <cell r="AV1942" t="str">
            <v>TVLE</v>
          </cell>
          <cell r="AW1942" t="str">
            <v>LED LCD TV</v>
          </cell>
          <cell r="AX1942" t="str">
            <v>TVLE75</v>
          </cell>
          <cell r="AY1942" t="str">
            <v>LED LCD TV 75</v>
          </cell>
          <cell r="AZ1942" t="str">
            <v>TVLE75NU</v>
          </cell>
          <cell r="BA1942" t="str">
            <v>LED LCD TV 75 (UD)</v>
          </cell>
        </row>
        <row r="1943">
          <cell r="E1943" t="str">
            <v>75NU855BPSA.ATV</v>
          </cell>
          <cell r="F1943">
            <v>0</v>
          </cell>
          <cell r="G1943">
            <v>0</v>
          </cell>
          <cell r="H1943">
            <v>0</v>
          </cell>
          <cell r="I1943">
            <v>30</v>
          </cell>
          <cell r="J1943">
            <v>0</v>
          </cell>
          <cell r="K1943">
            <v>83</v>
          </cell>
          <cell r="L1943">
            <v>0</v>
          </cell>
          <cell r="M1943">
            <v>19</v>
          </cell>
          <cell r="N1943">
            <v>5</v>
          </cell>
          <cell r="O1943">
            <v>0</v>
          </cell>
          <cell r="P1943">
            <v>24</v>
          </cell>
          <cell r="Q1943">
            <v>95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 t="str">
            <v>LCDPREPLUS</v>
          </cell>
          <cell r="AH1943" t="str">
            <v>LCD_Premium Plus</v>
          </cell>
          <cell r="AI1943" t="str">
            <v/>
          </cell>
          <cell r="AJ1943" t="str">
            <v/>
          </cell>
          <cell r="AK1943" t="str">
            <v>0.319901</v>
          </cell>
          <cell r="AL1943" t="str">
            <v>2</v>
          </cell>
          <cell r="AM1943" t="str">
            <v>Q</v>
          </cell>
          <cell r="AN1943" t="str">
            <v>M0</v>
          </cell>
          <cell r="AO1943" t="str">
            <v>Active(Model)</v>
          </cell>
          <cell r="AP1943" t="str">
            <v/>
          </cell>
          <cell r="AQ1943" t="str">
            <v/>
          </cell>
          <cell r="AR1943" t="str">
            <v>Y</v>
          </cell>
          <cell r="AS1943" t="str">
            <v/>
          </cell>
          <cell r="AT1943" t="str">
            <v>TV</v>
          </cell>
          <cell r="AU1943" t="str">
            <v>TV</v>
          </cell>
          <cell r="AV1943" t="str">
            <v>TVLE</v>
          </cell>
          <cell r="AW1943" t="str">
            <v>LED LCD TV</v>
          </cell>
          <cell r="AX1943" t="str">
            <v>TVLE75</v>
          </cell>
          <cell r="AY1943" t="str">
            <v>LED LCD TV 75</v>
          </cell>
          <cell r="AZ1943" t="str">
            <v>TVLE75NU</v>
          </cell>
          <cell r="BA1943" t="str">
            <v>LED LCD TV 75 (UD)</v>
          </cell>
        </row>
        <row r="1944">
          <cell r="E1944" t="str">
            <v>75NU85CBPSA.ATV</v>
          </cell>
          <cell r="F1944">
            <v>2</v>
          </cell>
          <cell r="G1944">
            <v>0</v>
          </cell>
          <cell r="H1944">
            <v>0</v>
          </cell>
          <cell r="I1944">
            <v>10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8</v>
          </cell>
          <cell r="O1944">
            <v>0</v>
          </cell>
          <cell r="P1944">
            <v>8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 t="str">
            <v/>
          </cell>
          <cell r="AH1944" t="str">
            <v/>
          </cell>
          <cell r="AI1944" t="str">
            <v/>
          </cell>
          <cell r="AJ1944" t="str">
            <v/>
          </cell>
          <cell r="AK1944" t="str">
            <v>0.319901</v>
          </cell>
          <cell r="AL1944" t="str">
            <v>2</v>
          </cell>
          <cell r="AM1944" t="str">
            <v>Q</v>
          </cell>
          <cell r="AN1944" t="str">
            <v>M0</v>
          </cell>
          <cell r="AO1944" t="str">
            <v>Active(Model)</v>
          </cell>
          <cell r="AP1944" t="str">
            <v/>
          </cell>
          <cell r="AQ1944" t="str">
            <v/>
          </cell>
          <cell r="AR1944" t="str">
            <v>Y</v>
          </cell>
          <cell r="AS1944" t="str">
            <v/>
          </cell>
          <cell r="AT1944" t="str">
            <v>CS</v>
          </cell>
          <cell r="AU1944" t="str">
            <v>Commercial Display_Signage</v>
          </cell>
          <cell r="AV1944" t="str">
            <v>CSTE</v>
          </cell>
          <cell r="AW1944" t="str">
            <v>Commercial_LED LCD TV</v>
          </cell>
          <cell r="AX1944" t="str">
            <v>CSTE75</v>
          </cell>
          <cell r="AY1944" t="str">
            <v>Commercial_LED LCD TV 75</v>
          </cell>
          <cell r="AZ1944" t="str">
            <v>CSTE75NU</v>
          </cell>
          <cell r="BA1944" t="str">
            <v>Commercial_LED LCD TV 75(UHD)</v>
          </cell>
        </row>
        <row r="1945">
          <cell r="E1945" t="str">
            <v>75PK640S0SA.ATVQ</v>
          </cell>
          <cell r="F1945">
            <v>0</v>
          </cell>
          <cell r="G1945">
            <v>0</v>
          </cell>
          <cell r="H1945">
            <v>0</v>
          </cell>
          <cell r="I1945">
            <v>5</v>
          </cell>
          <cell r="J1945">
            <v>0</v>
          </cell>
          <cell r="K1945">
            <v>0</v>
          </cell>
          <cell r="L1945">
            <v>0</v>
          </cell>
          <cell r="M1945">
            <v>5</v>
          </cell>
          <cell r="N1945">
            <v>0</v>
          </cell>
          <cell r="O1945">
            <v>0</v>
          </cell>
          <cell r="P1945">
            <v>5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 t="str">
            <v/>
          </cell>
          <cell r="AH1945" t="str">
            <v/>
          </cell>
          <cell r="AI1945" t="str">
            <v/>
          </cell>
          <cell r="AJ1945" t="str">
            <v/>
          </cell>
          <cell r="AK1945" t="str">
            <v>0.377344</v>
          </cell>
          <cell r="AL1945" t="str">
            <v>2</v>
          </cell>
          <cell r="AM1945" t="str">
            <v>Q</v>
          </cell>
          <cell r="AN1945" t="str">
            <v>M0</v>
          </cell>
          <cell r="AO1945" t="str">
            <v>Active(Model)</v>
          </cell>
          <cell r="AP1945" t="str">
            <v/>
          </cell>
          <cell r="AQ1945" t="str">
            <v/>
          </cell>
          <cell r="AR1945" t="str">
            <v>Y</v>
          </cell>
          <cell r="AS1945" t="str">
            <v/>
          </cell>
          <cell r="AT1945" t="str">
            <v>CS</v>
          </cell>
          <cell r="AU1945" t="str">
            <v>Commercial Display_Signage</v>
          </cell>
          <cell r="AV1945" t="str">
            <v>CSTE</v>
          </cell>
          <cell r="AW1945" t="str">
            <v>Commercial_LED LCD TV</v>
          </cell>
          <cell r="AX1945" t="str">
            <v>CSTE75</v>
          </cell>
          <cell r="AY1945" t="str">
            <v>Commercial_LED LCD TV 75</v>
          </cell>
          <cell r="AZ1945" t="str">
            <v>CSTE75NU</v>
          </cell>
          <cell r="BA1945" t="str">
            <v>Commercial_LED LCD TV 75(UHD)</v>
          </cell>
        </row>
        <row r="1946">
          <cell r="E1946" t="str">
            <v>75QNED70BSA.ATV</v>
          </cell>
          <cell r="F1946">
            <v>138</v>
          </cell>
          <cell r="G1946">
            <v>0</v>
          </cell>
          <cell r="H1946">
            <v>0</v>
          </cell>
          <cell r="I1946">
            <v>141</v>
          </cell>
          <cell r="J1946">
            <v>1</v>
          </cell>
          <cell r="K1946">
            <v>0</v>
          </cell>
          <cell r="L1946">
            <v>0</v>
          </cell>
          <cell r="M1946">
            <v>0</v>
          </cell>
          <cell r="N1946">
            <v>3</v>
          </cell>
          <cell r="O1946">
            <v>36</v>
          </cell>
          <cell r="P1946">
            <v>3</v>
          </cell>
          <cell r="Q1946">
            <v>140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0</v>
          </cell>
          <cell r="AF1946">
            <v>0</v>
          </cell>
          <cell r="AG1946" t="str">
            <v>LCDPREPLUS</v>
          </cell>
          <cell r="AH1946" t="str">
            <v>LCD_Premium Plus</v>
          </cell>
          <cell r="AI1946" t="str">
            <v/>
          </cell>
          <cell r="AJ1946" t="str">
            <v/>
          </cell>
          <cell r="AK1946" t="str">
            <v>0.319901</v>
          </cell>
          <cell r="AL1946" t="str">
            <v>2</v>
          </cell>
          <cell r="AM1946" t="str">
            <v>Q</v>
          </cell>
          <cell r="AN1946" t="str">
            <v>M0</v>
          </cell>
          <cell r="AO1946" t="str">
            <v>Active(Model)</v>
          </cell>
          <cell r="AP1946" t="str">
            <v/>
          </cell>
          <cell r="AQ1946" t="str">
            <v/>
          </cell>
          <cell r="AR1946" t="str">
            <v>Y</v>
          </cell>
          <cell r="AS1946" t="str">
            <v/>
          </cell>
          <cell r="AT1946" t="str">
            <v>TV</v>
          </cell>
          <cell r="AU1946" t="str">
            <v>TV</v>
          </cell>
          <cell r="AV1946" t="str">
            <v>TVLE</v>
          </cell>
          <cell r="AW1946" t="str">
            <v>LED LCD TV</v>
          </cell>
          <cell r="AX1946" t="str">
            <v>TVLE75</v>
          </cell>
          <cell r="AY1946" t="str">
            <v>LED LCD TV 75</v>
          </cell>
          <cell r="AZ1946" t="str">
            <v>TVLE75NU</v>
          </cell>
          <cell r="BA1946" t="str">
            <v>LED LCD TV 75 (UD)</v>
          </cell>
        </row>
        <row r="1947">
          <cell r="E1947" t="str">
            <v>75QNED80BSA.ATV</v>
          </cell>
          <cell r="F1947">
            <v>0</v>
          </cell>
          <cell r="G1947">
            <v>0</v>
          </cell>
          <cell r="H1947">
            <v>0</v>
          </cell>
          <cell r="I1947">
            <v>11</v>
          </cell>
          <cell r="J1947">
            <v>7</v>
          </cell>
          <cell r="K1947">
            <v>14</v>
          </cell>
          <cell r="L1947">
            <v>0</v>
          </cell>
          <cell r="M1947">
            <v>3</v>
          </cell>
          <cell r="N1947">
            <v>4</v>
          </cell>
          <cell r="O1947">
            <v>13</v>
          </cell>
          <cell r="P1947">
            <v>7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 t="str">
            <v>LCDPREPLUS</v>
          </cell>
          <cell r="AH1947" t="str">
            <v>LCD_Premium Plus</v>
          </cell>
          <cell r="AI1947" t="str">
            <v/>
          </cell>
          <cell r="AJ1947" t="str">
            <v/>
          </cell>
          <cell r="AK1947" t="str">
            <v>0.319901</v>
          </cell>
          <cell r="AL1947" t="str">
            <v>2</v>
          </cell>
          <cell r="AM1947" t="str">
            <v>Q</v>
          </cell>
          <cell r="AN1947" t="str">
            <v>M0</v>
          </cell>
          <cell r="AO1947" t="str">
            <v>Active(Model)</v>
          </cell>
          <cell r="AP1947" t="str">
            <v/>
          </cell>
          <cell r="AQ1947" t="str">
            <v/>
          </cell>
          <cell r="AR1947" t="str">
            <v>Y</v>
          </cell>
          <cell r="AS1947" t="str">
            <v/>
          </cell>
          <cell r="AT1947" t="str">
            <v>TV</v>
          </cell>
          <cell r="AU1947" t="str">
            <v>TV</v>
          </cell>
          <cell r="AV1947" t="str">
            <v>TVLE</v>
          </cell>
          <cell r="AW1947" t="str">
            <v>LED LCD TV</v>
          </cell>
          <cell r="AX1947" t="str">
            <v>TVLE75</v>
          </cell>
          <cell r="AY1947" t="str">
            <v>LED LCD TV 75</v>
          </cell>
          <cell r="AZ1947" t="str">
            <v>TVLE75NU</v>
          </cell>
          <cell r="BA1947" t="str">
            <v>LED LCD TV 75 (UD)</v>
          </cell>
        </row>
        <row r="1948">
          <cell r="E1948" t="str">
            <v>75QNED81BSA.ATV</v>
          </cell>
          <cell r="F1948">
            <v>0</v>
          </cell>
          <cell r="G1948">
            <v>0</v>
          </cell>
          <cell r="H1948">
            <v>0</v>
          </cell>
          <cell r="I1948">
            <v>12</v>
          </cell>
          <cell r="J1948">
            <v>0</v>
          </cell>
          <cell r="K1948">
            <v>0</v>
          </cell>
          <cell r="L1948">
            <v>0</v>
          </cell>
          <cell r="M1948">
            <v>5</v>
          </cell>
          <cell r="N1948">
            <v>1</v>
          </cell>
          <cell r="O1948">
            <v>0</v>
          </cell>
          <cell r="P1948">
            <v>6</v>
          </cell>
          <cell r="Q1948">
            <v>13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3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0</v>
          </cell>
          <cell r="AF1948">
            <v>0</v>
          </cell>
          <cell r="AG1948" t="str">
            <v>LCDPREPLUS</v>
          </cell>
          <cell r="AH1948" t="str">
            <v>LCD_Premium Plus</v>
          </cell>
          <cell r="AI1948" t="str">
            <v/>
          </cell>
          <cell r="AJ1948" t="str">
            <v/>
          </cell>
          <cell r="AK1948" t="str">
            <v>0.345573</v>
          </cell>
          <cell r="AL1948" t="str">
            <v>2</v>
          </cell>
          <cell r="AM1948" t="str">
            <v>Q</v>
          </cell>
          <cell r="AN1948" t="str">
            <v>M0</v>
          </cell>
          <cell r="AO1948" t="str">
            <v>Active(Model)</v>
          </cell>
          <cell r="AP1948" t="str">
            <v/>
          </cell>
          <cell r="AQ1948" t="str">
            <v/>
          </cell>
          <cell r="AR1948" t="str">
            <v>Y</v>
          </cell>
          <cell r="AS1948" t="str">
            <v/>
          </cell>
          <cell r="AT1948" t="str">
            <v>TV</v>
          </cell>
          <cell r="AU1948" t="str">
            <v>TV</v>
          </cell>
          <cell r="AV1948" t="str">
            <v>TVLE</v>
          </cell>
          <cell r="AW1948" t="str">
            <v>LED LCD TV</v>
          </cell>
          <cell r="AX1948" t="str">
            <v>TVLE75</v>
          </cell>
          <cell r="AY1948" t="str">
            <v>LED LCD TV 75</v>
          </cell>
          <cell r="AZ1948" t="str">
            <v>TVLE75NU</v>
          </cell>
          <cell r="BA1948" t="str">
            <v>LED LCD TV 75 (UD)</v>
          </cell>
        </row>
        <row r="1949">
          <cell r="E1949" t="str">
            <v>75QNED86BSA.ATV</v>
          </cell>
          <cell r="F1949">
            <v>82</v>
          </cell>
          <cell r="G1949">
            <v>0</v>
          </cell>
          <cell r="H1949">
            <v>0</v>
          </cell>
          <cell r="I1949">
            <v>96</v>
          </cell>
          <cell r="J1949">
            <v>2</v>
          </cell>
          <cell r="K1949">
            <v>0</v>
          </cell>
          <cell r="L1949">
            <v>0</v>
          </cell>
          <cell r="M1949">
            <v>1</v>
          </cell>
          <cell r="N1949">
            <v>5</v>
          </cell>
          <cell r="O1949">
            <v>13</v>
          </cell>
          <cell r="P1949">
            <v>6</v>
          </cell>
          <cell r="Q1949">
            <v>60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4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0</v>
          </cell>
          <cell r="AF1949">
            <v>0</v>
          </cell>
          <cell r="AG1949" t="str">
            <v>LCDPREPLUS</v>
          </cell>
          <cell r="AH1949" t="str">
            <v>LCD_Premium Plus</v>
          </cell>
          <cell r="AI1949" t="str">
            <v/>
          </cell>
          <cell r="AJ1949" t="str">
            <v/>
          </cell>
          <cell r="AK1949" t="str">
            <v>0.500027</v>
          </cell>
          <cell r="AL1949" t="str">
            <v>2</v>
          </cell>
          <cell r="AM1949" t="str">
            <v>Q</v>
          </cell>
          <cell r="AN1949" t="str">
            <v>M0</v>
          </cell>
          <cell r="AO1949" t="str">
            <v>Active(Model)</v>
          </cell>
          <cell r="AP1949" t="str">
            <v/>
          </cell>
          <cell r="AQ1949" t="str">
            <v/>
          </cell>
          <cell r="AR1949" t="str">
            <v>Y</v>
          </cell>
          <cell r="AS1949" t="str">
            <v/>
          </cell>
          <cell r="AT1949" t="str">
            <v>TV</v>
          </cell>
          <cell r="AU1949" t="str">
            <v>TV</v>
          </cell>
          <cell r="AV1949" t="str">
            <v>TVLE</v>
          </cell>
          <cell r="AW1949" t="str">
            <v>LED LCD TV</v>
          </cell>
          <cell r="AX1949" t="str">
            <v>TVLE75</v>
          </cell>
          <cell r="AY1949" t="str">
            <v>LED LCD TV 75</v>
          </cell>
          <cell r="AZ1949" t="str">
            <v>TVLE75NU</v>
          </cell>
          <cell r="BA1949" t="str">
            <v>LED LCD TV 75 (UD)</v>
          </cell>
        </row>
        <row r="1950">
          <cell r="E1950" t="str">
            <v>75UA841CPSA.ATVQ</v>
          </cell>
          <cell r="F1950">
            <v>6</v>
          </cell>
          <cell r="G1950">
            <v>0</v>
          </cell>
          <cell r="H1950">
            <v>0</v>
          </cell>
          <cell r="I1950">
            <v>6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0</v>
          </cell>
          <cell r="AF1950">
            <v>0</v>
          </cell>
          <cell r="AG1950" t="str">
            <v/>
          </cell>
          <cell r="AH1950" t="str">
            <v/>
          </cell>
          <cell r="AI1950" t="str">
            <v/>
          </cell>
          <cell r="AJ1950" t="str">
            <v/>
          </cell>
          <cell r="AK1950" t="str">
            <v>0.377344</v>
          </cell>
          <cell r="AL1950" t="str">
            <v>2</v>
          </cell>
          <cell r="AM1950" t="str">
            <v>Q</v>
          </cell>
          <cell r="AN1950" t="str">
            <v>M0</v>
          </cell>
          <cell r="AO1950" t="str">
            <v>Active(Model)</v>
          </cell>
          <cell r="AP1950" t="str">
            <v/>
          </cell>
          <cell r="AQ1950" t="str">
            <v/>
          </cell>
          <cell r="AR1950" t="str">
            <v>Y</v>
          </cell>
          <cell r="AS1950" t="str">
            <v/>
          </cell>
          <cell r="AT1950" t="str">
            <v>CS</v>
          </cell>
          <cell r="AU1950" t="str">
            <v>Commercial Display_Signage</v>
          </cell>
          <cell r="AV1950" t="str">
            <v>CSTE</v>
          </cell>
          <cell r="AW1950" t="str">
            <v>Commercial_LED LCD TV</v>
          </cell>
          <cell r="AX1950" t="str">
            <v>CSTE75</v>
          </cell>
          <cell r="AY1950" t="str">
            <v>Commercial_LED LCD TV 75</v>
          </cell>
          <cell r="AZ1950" t="str">
            <v>CSTE75NU</v>
          </cell>
          <cell r="BA1950" t="str">
            <v>Commercial_LED LCD TV 75(UHD)</v>
          </cell>
        </row>
        <row r="1951">
          <cell r="E1951" t="str">
            <v>75UH5Q-E.ATV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0</v>
          </cell>
          <cell r="AF1951">
            <v>0</v>
          </cell>
          <cell r="AG1951" t="str">
            <v/>
          </cell>
          <cell r="AH1951" t="str">
            <v/>
          </cell>
          <cell r="AI1951" t="str">
            <v/>
          </cell>
          <cell r="AJ1951" t="str">
            <v/>
          </cell>
          <cell r="AK1951" t="str">
            <v>0.405860</v>
          </cell>
          <cell r="AL1951" t="str">
            <v>2</v>
          </cell>
          <cell r="AM1951" t="str">
            <v>Q</v>
          </cell>
          <cell r="AN1951" t="str">
            <v>M0</v>
          </cell>
          <cell r="AO1951" t="str">
            <v>Active(Model)</v>
          </cell>
          <cell r="AP1951" t="str">
            <v/>
          </cell>
          <cell r="AQ1951" t="str">
            <v/>
          </cell>
          <cell r="AR1951" t="str">
            <v>Y</v>
          </cell>
          <cell r="AS1951" t="str">
            <v/>
          </cell>
          <cell r="AT1951" t="str">
            <v>CS</v>
          </cell>
          <cell r="AU1951" t="str">
            <v>Commercial Display_Signage</v>
          </cell>
          <cell r="AV1951" t="str">
            <v>CSME</v>
          </cell>
          <cell r="AW1951" t="str">
            <v>Commercial_LED LCD Monitor</v>
          </cell>
          <cell r="AX1951" t="str">
            <v>CSME75</v>
          </cell>
          <cell r="AY1951" t="str">
            <v>Commercial_LED LCD Monitor 75</v>
          </cell>
          <cell r="AZ1951" t="str">
            <v>CSME75FW</v>
          </cell>
          <cell r="BA1951" t="str">
            <v>Commercial_LED LCD Monitor 75 (MFT WIDE)</v>
          </cell>
        </row>
        <row r="1952">
          <cell r="E1952" t="str">
            <v>75UK767H0SD.ATV</v>
          </cell>
          <cell r="F1952">
            <v>21</v>
          </cell>
          <cell r="G1952">
            <v>0</v>
          </cell>
          <cell r="H1952">
            <v>0</v>
          </cell>
          <cell r="I1952">
            <v>21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 t="str">
            <v/>
          </cell>
          <cell r="AH1952" t="str">
            <v/>
          </cell>
          <cell r="AI1952" t="str">
            <v/>
          </cell>
          <cell r="AJ1952" t="str">
            <v/>
          </cell>
          <cell r="AK1952" t="str">
            <v>0.445079</v>
          </cell>
          <cell r="AL1952" t="str">
            <v>2</v>
          </cell>
          <cell r="AM1952" t="str">
            <v>Q</v>
          </cell>
          <cell r="AN1952" t="str">
            <v>M0</v>
          </cell>
          <cell r="AO1952" t="str">
            <v>Active(Model)</v>
          </cell>
          <cell r="AP1952" t="str">
            <v/>
          </cell>
          <cell r="AQ1952" t="str">
            <v/>
          </cell>
          <cell r="AR1952" t="str">
            <v>Y</v>
          </cell>
          <cell r="AS1952" t="str">
            <v/>
          </cell>
          <cell r="AT1952" t="str">
            <v>HT</v>
          </cell>
          <cell r="AU1952" t="str">
            <v>Commercial Display_Hotel</v>
          </cell>
          <cell r="AV1952" t="str">
            <v>HTTE</v>
          </cell>
          <cell r="AW1952" t="str">
            <v>Commercial(Hotel)_LED LCD TV</v>
          </cell>
          <cell r="AX1952" t="str">
            <v>HTTE75</v>
          </cell>
          <cell r="AY1952" t="str">
            <v>Commercial(Hotel)_LED LCD TV 75</v>
          </cell>
          <cell r="AZ1952" t="str">
            <v>HTTE75NU</v>
          </cell>
          <cell r="BA1952" t="str">
            <v>Commercial(Hotel)_LED LCD TV 75(UHD)</v>
          </cell>
        </row>
        <row r="1953">
          <cell r="E1953" t="str">
            <v>75UL5Q-E.ATVQ</v>
          </cell>
          <cell r="F1953">
            <v>2</v>
          </cell>
          <cell r="G1953">
            <v>0</v>
          </cell>
          <cell r="H1953">
            <v>0</v>
          </cell>
          <cell r="I1953">
            <v>2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 t="str">
            <v/>
          </cell>
          <cell r="AH1953" t="str">
            <v/>
          </cell>
          <cell r="AI1953" t="str">
            <v/>
          </cell>
          <cell r="AJ1953" t="str">
            <v/>
          </cell>
          <cell r="AK1953" t="str">
            <v>0.375703</v>
          </cell>
          <cell r="AL1953" t="str">
            <v>2</v>
          </cell>
          <cell r="AM1953" t="str">
            <v>Q</v>
          </cell>
          <cell r="AN1953" t="str">
            <v>M0</v>
          </cell>
          <cell r="AO1953" t="str">
            <v>Active(Model)</v>
          </cell>
          <cell r="AP1953" t="str">
            <v/>
          </cell>
          <cell r="AQ1953" t="str">
            <v/>
          </cell>
          <cell r="AR1953" t="str">
            <v>Y</v>
          </cell>
          <cell r="AS1953" t="str">
            <v/>
          </cell>
          <cell r="AT1953" t="str">
            <v>CS</v>
          </cell>
          <cell r="AU1953" t="str">
            <v>Commercial Display_Signage</v>
          </cell>
          <cell r="AV1953" t="str">
            <v>CSME</v>
          </cell>
          <cell r="AW1953" t="str">
            <v>Commercial_LED LCD Monitor</v>
          </cell>
          <cell r="AX1953" t="str">
            <v>CSME75</v>
          </cell>
          <cell r="AY1953" t="str">
            <v>Commercial_LED LCD Monitor 75</v>
          </cell>
          <cell r="AZ1953" t="str">
            <v>CSME75FW</v>
          </cell>
          <cell r="BA1953" t="str">
            <v>Commercial_LED LCD Monitor 75 (MFT WIDE)</v>
          </cell>
        </row>
        <row r="1954">
          <cell r="E1954" t="str">
            <v>85NU805BPSB.ATVQ</v>
          </cell>
          <cell r="F1954">
            <v>0</v>
          </cell>
          <cell r="G1954">
            <v>0</v>
          </cell>
          <cell r="H1954">
            <v>0</v>
          </cell>
          <cell r="I1954">
            <v>2</v>
          </cell>
          <cell r="J1954">
            <v>0</v>
          </cell>
          <cell r="K1954">
            <v>78</v>
          </cell>
          <cell r="L1954">
            <v>0</v>
          </cell>
          <cell r="M1954">
            <v>0</v>
          </cell>
          <cell r="N1954">
            <v>2</v>
          </cell>
          <cell r="O1954">
            <v>0</v>
          </cell>
          <cell r="P1954">
            <v>2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 t="str">
            <v>LCDPREPLUS</v>
          </cell>
          <cell r="AH1954" t="str">
            <v>LCD_Premium Plus</v>
          </cell>
          <cell r="AI1954" t="str">
            <v/>
          </cell>
          <cell r="AJ1954" t="str">
            <v/>
          </cell>
          <cell r="AK1954" t="str">
            <v>0.464807</v>
          </cell>
          <cell r="AL1954" t="str">
            <v>2</v>
          </cell>
          <cell r="AM1954" t="str">
            <v>Q</v>
          </cell>
          <cell r="AN1954" t="str">
            <v>M0</v>
          </cell>
          <cell r="AO1954" t="str">
            <v>Active(Model)</v>
          </cell>
          <cell r="AP1954" t="str">
            <v/>
          </cell>
          <cell r="AQ1954" t="str">
            <v/>
          </cell>
          <cell r="AR1954" t="str">
            <v>Y</v>
          </cell>
          <cell r="AS1954" t="str">
            <v/>
          </cell>
          <cell r="AT1954" t="str">
            <v>TV</v>
          </cell>
          <cell r="AU1954" t="str">
            <v>TV</v>
          </cell>
          <cell r="AV1954" t="str">
            <v>TVLE</v>
          </cell>
          <cell r="AW1954" t="str">
            <v>LED LCD TV</v>
          </cell>
          <cell r="AX1954" t="str">
            <v>TVLE85</v>
          </cell>
          <cell r="AY1954" t="str">
            <v>LED LCD TV 85</v>
          </cell>
          <cell r="AZ1954" t="str">
            <v>TVLE85OU</v>
          </cell>
          <cell r="BA1954" t="str">
            <v>LED LCD TV 85 (O/S, UD)</v>
          </cell>
        </row>
        <row r="1955">
          <cell r="E1955" t="str">
            <v>85NU835BPSA.ATV</v>
          </cell>
          <cell r="F1955">
            <v>40</v>
          </cell>
          <cell r="G1955">
            <v>0</v>
          </cell>
          <cell r="H1955">
            <v>0</v>
          </cell>
          <cell r="I1955">
            <v>40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 t="str">
            <v>LCDPREPLUS</v>
          </cell>
          <cell r="AH1955" t="str">
            <v>LCD_Premium Plus</v>
          </cell>
          <cell r="AI1955" t="str">
            <v/>
          </cell>
          <cell r="AJ1955" t="str">
            <v/>
          </cell>
          <cell r="AK1955" t="str">
            <v>0.427097</v>
          </cell>
          <cell r="AL1955" t="str">
            <v>2</v>
          </cell>
          <cell r="AM1955" t="str">
            <v>Q</v>
          </cell>
          <cell r="AN1955" t="str">
            <v>M0</v>
          </cell>
          <cell r="AO1955" t="str">
            <v>Active(Model)</v>
          </cell>
          <cell r="AP1955" t="str">
            <v/>
          </cell>
          <cell r="AQ1955" t="str">
            <v/>
          </cell>
          <cell r="AR1955" t="str">
            <v>Y</v>
          </cell>
          <cell r="AS1955" t="str">
            <v/>
          </cell>
          <cell r="AT1955" t="str">
            <v>TV</v>
          </cell>
          <cell r="AU1955" t="str">
            <v>TV</v>
          </cell>
          <cell r="AV1955" t="str">
            <v>TVLE</v>
          </cell>
          <cell r="AW1955" t="str">
            <v>LED LCD TV</v>
          </cell>
          <cell r="AX1955" t="str">
            <v>TVLE85</v>
          </cell>
          <cell r="AY1955" t="str">
            <v>LED LCD TV 85</v>
          </cell>
          <cell r="AZ1955" t="str">
            <v>TVLE85NU</v>
          </cell>
          <cell r="BA1955" t="str">
            <v>LED LCD TV 85 (UD)</v>
          </cell>
        </row>
        <row r="1956">
          <cell r="E1956" t="str">
            <v>85NU855BPSA.ATV</v>
          </cell>
          <cell r="F1956">
            <v>0</v>
          </cell>
          <cell r="G1956">
            <v>0</v>
          </cell>
          <cell r="H1956">
            <v>0</v>
          </cell>
          <cell r="I1956">
            <v>2</v>
          </cell>
          <cell r="J1956">
            <v>0</v>
          </cell>
          <cell r="K1956">
            <v>63</v>
          </cell>
          <cell r="L1956">
            <v>0</v>
          </cell>
          <cell r="M1956">
            <v>0</v>
          </cell>
          <cell r="N1956">
            <v>2</v>
          </cell>
          <cell r="O1956">
            <v>2</v>
          </cell>
          <cell r="P1956">
            <v>2</v>
          </cell>
          <cell r="Q1956">
            <v>13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 t="str">
            <v>LCDPREPLUS</v>
          </cell>
          <cell r="AH1956" t="str">
            <v>LCD_Premium Plus</v>
          </cell>
          <cell r="AI1956" t="str">
            <v/>
          </cell>
          <cell r="AJ1956" t="str">
            <v/>
          </cell>
          <cell r="AK1956" t="str">
            <v>0.427097</v>
          </cell>
          <cell r="AL1956" t="str">
            <v>2</v>
          </cell>
          <cell r="AM1956" t="str">
            <v>Q</v>
          </cell>
          <cell r="AN1956" t="str">
            <v>M0</v>
          </cell>
          <cell r="AO1956" t="str">
            <v>Active(Model)</v>
          </cell>
          <cell r="AP1956" t="str">
            <v/>
          </cell>
          <cell r="AQ1956" t="str">
            <v/>
          </cell>
          <cell r="AR1956" t="str">
            <v>Y</v>
          </cell>
          <cell r="AS1956" t="str">
            <v/>
          </cell>
          <cell r="AT1956" t="str">
            <v>TV</v>
          </cell>
          <cell r="AU1956" t="str">
            <v>TV</v>
          </cell>
          <cell r="AV1956" t="str">
            <v>TVLE</v>
          </cell>
          <cell r="AW1956" t="str">
            <v>LED LCD TV</v>
          </cell>
          <cell r="AX1956" t="str">
            <v>TVLE85</v>
          </cell>
          <cell r="AY1956" t="str">
            <v>LED LCD TV 85</v>
          </cell>
          <cell r="AZ1956" t="str">
            <v>TVLE85NU</v>
          </cell>
          <cell r="BA1956" t="str">
            <v>LED LCD TV 85 (UD)</v>
          </cell>
        </row>
        <row r="1957">
          <cell r="E1957" t="str">
            <v>85NU85CBPSA.ATV</v>
          </cell>
          <cell r="F1957">
            <v>2</v>
          </cell>
          <cell r="G1957">
            <v>0</v>
          </cell>
          <cell r="H1957">
            <v>0</v>
          </cell>
          <cell r="I1957">
            <v>4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2</v>
          </cell>
          <cell r="O1957">
            <v>0</v>
          </cell>
          <cell r="P1957">
            <v>2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0</v>
          </cell>
          <cell r="AC1957">
            <v>0</v>
          </cell>
          <cell r="AD1957">
            <v>0</v>
          </cell>
          <cell r="AE1957">
            <v>0</v>
          </cell>
          <cell r="AF1957">
            <v>0</v>
          </cell>
          <cell r="AG1957" t="str">
            <v/>
          </cell>
          <cell r="AH1957" t="str">
            <v/>
          </cell>
          <cell r="AI1957" t="str">
            <v/>
          </cell>
          <cell r="AJ1957" t="str">
            <v/>
          </cell>
          <cell r="AK1957" t="str">
            <v>0.427097</v>
          </cell>
          <cell r="AL1957" t="str">
            <v>2</v>
          </cell>
          <cell r="AM1957" t="str">
            <v>Q</v>
          </cell>
          <cell r="AN1957" t="str">
            <v>M0</v>
          </cell>
          <cell r="AO1957" t="str">
            <v>Active(Model)</v>
          </cell>
          <cell r="AP1957" t="str">
            <v/>
          </cell>
          <cell r="AQ1957" t="str">
            <v/>
          </cell>
          <cell r="AR1957" t="str">
            <v>Y</v>
          </cell>
          <cell r="AS1957" t="str">
            <v/>
          </cell>
          <cell r="AT1957" t="str">
            <v>CS</v>
          </cell>
          <cell r="AU1957" t="str">
            <v>Commercial Display_Signage</v>
          </cell>
          <cell r="AV1957" t="str">
            <v>CSTE</v>
          </cell>
          <cell r="AW1957" t="str">
            <v>Commercial_LED LCD TV</v>
          </cell>
          <cell r="AX1957" t="str">
            <v>CSTE85</v>
          </cell>
          <cell r="AY1957" t="str">
            <v>Commercial_LED LCD TV 85</v>
          </cell>
          <cell r="AZ1957" t="str">
            <v>CSTE85NU</v>
          </cell>
          <cell r="BA1957" t="str">
            <v>Commercial_LED LCD TV 85(UHD)</v>
          </cell>
        </row>
        <row r="1958">
          <cell r="E1958" t="str">
            <v>85QNED70BSA.ATV</v>
          </cell>
          <cell r="F1958">
            <v>9</v>
          </cell>
          <cell r="G1958">
            <v>0</v>
          </cell>
          <cell r="H1958">
            <v>0</v>
          </cell>
          <cell r="I1958">
            <v>9</v>
          </cell>
          <cell r="J1958">
            <v>1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13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1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0</v>
          </cell>
          <cell r="AF1958">
            <v>0</v>
          </cell>
          <cell r="AG1958" t="str">
            <v>LCDPREPLUS</v>
          </cell>
          <cell r="AH1958" t="str">
            <v>LCD_Premium Plus</v>
          </cell>
          <cell r="AI1958" t="str">
            <v/>
          </cell>
          <cell r="AJ1958" t="str">
            <v/>
          </cell>
          <cell r="AK1958" t="str">
            <v>0.427097</v>
          </cell>
          <cell r="AL1958" t="str">
            <v>2</v>
          </cell>
          <cell r="AM1958" t="str">
            <v>Q</v>
          </cell>
          <cell r="AN1958" t="str">
            <v>M0</v>
          </cell>
          <cell r="AO1958" t="str">
            <v>Active(Model)</v>
          </cell>
          <cell r="AP1958" t="str">
            <v/>
          </cell>
          <cell r="AQ1958" t="str">
            <v/>
          </cell>
          <cell r="AR1958" t="str">
            <v>Y</v>
          </cell>
          <cell r="AS1958" t="str">
            <v/>
          </cell>
          <cell r="AT1958" t="str">
            <v>TV</v>
          </cell>
          <cell r="AU1958" t="str">
            <v>TV</v>
          </cell>
          <cell r="AV1958" t="str">
            <v>TVLE</v>
          </cell>
          <cell r="AW1958" t="str">
            <v>LED LCD TV</v>
          </cell>
          <cell r="AX1958" t="str">
            <v>TVLE85</v>
          </cell>
          <cell r="AY1958" t="str">
            <v>LED LCD TV 85</v>
          </cell>
          <cell r="AZ1958" t="str">
            <v>TVLE85NU</v>
          </cell>
          <cell r="BA1958" t="str">
            <v>LED LCD TV 85 (UD)</v>
          </cell>
        </row>
        <row r="1959">
          <cell r="E1959" t="str">
            <v>85QNED80BSA.ATV</v>
          </cell>
          <cell r="F1959">
            <v>0</v>
          </cell>
          <cell r="G1959">
            <v>0</v>
          </cell>
          <cell r="H1959">
            <v>0</v>
          </cell>
          <cell r="I1959">
            <v>2</v>
          </cell>
          <cell r="J1959">
            <v>0</v>
          </cell>
          <cell r="K1959">
            <v>7</v>
          </cell>
          <cell r="L1959">
            <v>0</v>
          </cell>
          <cell r="M1959">
            <v>1</v>
          </cell>
          <cell r="N1959">
            <v>0</v>
          </cell>
          <cell r="O1959">
            <v>1</v>
          </cell>
          <cell r="P1959">
            <v>1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0</v>
          </cell>
          <cell r="AD1959">
            <v>0</v>
          </cell>
          <cell r="AE1959">
            <v>0</v>
          </cell>
          <cell r="AF1959">
            <v>0</v>
          </cell>
          <cell r="AG1959" t="str">
            <v>LCDPREPLUS</v>
          </cell>
          <cell r="AH1959" t="str">
            <v>LCD_Premium Plus</v>
          </cell>
          <cell r="AI1959" t="str">
            <v/>
          </cell>
          <cell r="AJ1959" t="str">
            <v/>
          </cell>
          <cell r="AK1959" t="str">
            <v>0.427097</v>
          </cell>
          <cell r="AL1959" t="str">
            <v>2</v>
          </cell>
          <cell r="AM1959" t="str">
            <v>Q</v>
          </cell>
          <cell r="AN1959" t="str">
            <v>M0</v>
          </cell>
          <cell r="AO1959" t="str">
            <v>Active(Model)</v>
          </cell>
          <cell r="AP1959" t="str">
            <v/>
          </cell>
          <cell r="AQ1959" t="str">
            <v/>
          </cell>
          <cell r="AR1959" t="str">
            <v>Y</v>
          </cell>
          <cell r="AS1959" t="str">
            <v/>
          </cell>
          <cell r="AT1959" t="str">
            <v>TV</v>
          </cell>
          <cell r="AU1959" t="str">
            <v>TV</v>
          </cell>
          <cell r="AV1959" t="str">
            <v>TVLE</v>
          </cell>
          <cell r="AW1959" t="str">
            <v>LED LCD TV</v>
          </cell>
          <cell r="AX1959" t="str">
            <v>TVLE85</v>
          </cell>
          <cell r="AY1959" t="str">
            <v>LED LCD TV 85</v>
          </cell>
          <cell r="AZ1959" t="str">
            <v>TVLE85NU</v>
          </cell>
          <cell r="BA1959" t="str">
            <v>LED LCD TV 85 (UD)</v>
          </cell>
        </row>
        <row r="1960">
          <cell r="E1960" t="str">
            <v>85QNED81BSA.ATV</v>
          </cell>
          <cell r="F1960">
            <v>0</v>
          </cell>
          <cell r="G1960">
            <v>0</v>
          </cell>
          <cell r="H1960">
            <v>0</v>
          </cell>
          <cell r="I1960">
            <v>1</v>
          </cell>
          <cell r="J1960">
            <v>0</v>
          </cell>
          <cell r="K1960">
            <v>4</v>
          </cell>
          <cell r="L1960">
            <v>0</v>
          </cell>
          <cell r="M1960">
            <v>0</v>
          </cell>
          <cell r="N1960">
            <v>1</v>
          </cell>
          <cell r="O1960">
            <v>5</v>
          </cell>
          <cell r="P1960">
            <v>1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3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0</v>
          </cell>
          <cell r="AF1960">
            <v>0</v>
          </cell>
          <cell r="AG1960" t="str">
            <v>LCDPREPLUS</v>
          </cell>
          <cell r="AH1960" t="str">
            <v>LCD_Premium Plus</v>
          </cell>
          <cell r="AI1960" t="str">
            <v/>
          </cell>
          <cell r="AJ1960" t="str">
            <v/>
          </cell>
          <cell r="AK1960" t="str">
            <v>0.442260</v>
          </cell>
          <cell r="AL1960" t="str">
            <v>2</v>
          </cell>
          <cell r="AM1960" t="str">
            <v>Q</v>
          </cell>
          <cell r="AN1960" t="str">
            <v>M0</v>
          </cell>
          <cell r="AO1960" t="str">
            <v>Active(Model)</v>
          </cell>
          <cell r="AP1960" t="str">
            <v/>
          </cell>
          <cell r="AQ1960" t="str">
            <v/>
          </cell>
          <cell r="AR1960" t="str">
            <v>Y</v>
          </cell>
          <cell r="AS1960" t="str">
            <v/>
          </cell>
          <cell r="AT1960" t="str">
            <v>TV</v>
          </cell>
          <cell r="AU1960" t="str">
            <v>TV</v>
          </cell>
          <cell r="AV1960" t="str">
            <v>TVLE</v>
          </cell>
          <cell r="AW1960" t="str">
            <v>LED LCD TV</v>
          </cell>
          <cell r="AX1960" t="str">
            <v>TVLE85</v>
          </cell>
          <cell r="AY1960" t="str">
            <v>LED LCD TV 85</v>
          </cell>
          <cell r="AZ1960" t="str">
            <v>TVLE85NU</v>
          </cell>
          <cell r="BA1960" t="str">
            <v>LED LCD TV 85 (UD)</v>
          </cell>
        </row>
        <row r="1961">
          <cell r="E1961" t="str">
            <v>86MRGB86BSA.ATV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 t="str">
            <v>LCDPREPLUS</v>
          </cell>
          <cell r="AH1961" t="str">
            <v>LCD_Premium Plus</v>
          </cell>
          <cell r="AI1961" t="str">
            <v/>
          </cell>
          <cell r="AJ1961" t="str">
            <v/>
          </cell>
          <cell r="AK1961" t="str">
            <v>0.642456</v>
          </cell>
          <cell r="AL1961" t="str">
            <v>2</v>
          </cell>
          <cell r="AM1961" t="str">
            <v>Q</v>
          </cell>
          <cell r="AN1961" t="str">
            <v>M0</v>
          </cell>
          <cell r="AO1961" t="str">
            <v>Active(Model)</v>
          </cell>
          <cell r="AP1961" t="str">
            <v/>
          </cell>
          <cell r="AQ1961" t="str">
            <v/>
          </cell>
          <cell r="AR1961" t="str">
            <v>Y</v>
          </cell>
          <cell r="AS1961" t="str">
            <v/>
          </cell>
          <cell r="AT1961" t="str">
            <v>TV</v>
          </cell>
          <cell r="AU1961" t="str">
            <v>TV</v>
          </cell>
          <cell r="AV1961" t="str">
            <v>TVLE</v>
          </cell>
          <cell r="AW1961" t="str">
            <v>LED LCD TV</v>
          </cell>
          <cell r="AX1961" t="str">
            <v>TVLE86</v>
          </cell>
          <cell r="AY1961" t="str">
            <v>LED LCD TV 86</v>
          </cell>
          <cell r="AZ1961" t="str">
            <v>TVLE86NU</v>
          </cell>
          <cell r="BA1961" t="str">
            <v>LED LCD TV 86 (UD)</v>
          </cell>
        </row>
        <row r="1962">
          <cell r="E1962" t="str">
            <v>86PK640S0SA.ATVQ</v>
          </cell>
          <cell r="F1962">
            <v>1</v>
          </cell>
          <cell r="G1962">
            <v>0</v>
          </cell>
          <cell r="H1962">
            <v>0</v>
          </cell>
          <cell r="I1962">
            <v>1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0</v>
          </cell>
          <cell r="AF1962">
            <v>0</v>
          </cell>
          <cell r="AG1962" t="str">
            <v/>
          </cell>
          <cell r="AH1962" t="str">
            <v/>
          </cell>
          <cell r="AI1962" t="str">
            <v/>
          </cell>
          <cell r="AJ1962" t="str">
            <v/>
          </cell>
          <cell r="AK1962" t="str">
            <v>0.574288</v>
          </cell>
          <cell r="AL1962" t="str">
            <v>2</v>
          </cell>
          <cell r="AM1962" t="str">
            <v>Q</v>
          </cell>
          <cell r="AN1962" t="str">
            <v>M0</v>
          </cell>
          <cell r="AO1962" t="str">
            <v>Active(Model)</v>
          </cell>
          <cell r="AP1962" t="str">
            <v/>
          </cell>
          <cell r="AQ1962" t="str">
            <v/>
          </cell>
          <cell r="AR1962" t="str">
            <v>Y</v>
          </cell>
          <cell r="AS1962" t="str">
            <v/>
          </cell>
          <cell r="AT1962" t="str">
            <v>CS</v>
          </cell>
          <cell r="AU1962" t="str">
            <v>Commercial Display_Signage</v>
          </cell>
          <cell r="AV1962" t="str">
            <v>CSTE</v>
          </cell>
          <cell r="AW1962" t="str">
            <v>Commercial_LED LCD TV</v>
          </cell>
          <cell r="AX1962" t="str">
            <v>CSTE86</v>
          </cell>
          <cell r="AY1962" t="str">
            <v>Commercial_LED LCD TV 86</v>
          </cell>
          <cell r="AZ1962" t="str">
            <v>CSTE86NU</v>
          </cell>
          <cell r="BA1962" t="str">
            <v>Commercial_LED LCD TV 86(UHD)</v>
          </cell>
        </row>
        <row r="1963">
          <cell r="E1963" t="str">
            <v>86QNED86BSA.ATV</v>
          </cell>
          <cell r="F1963">
            <v>0</v>
          </cell>
          <cell r="G1963">
            <v>0</v>
          </cell>
          <cell r="H1963">
            <v>0</v>
          </cell>
          <cell r="I1963">
            <v>3</v>
          </cell>
          <cell r="J1963">
            <v>0</v>
          </cell>
          <cell r="K1963">
            <v>10</v>
          </cell>
          <cell r="L1963">
            <v>0</v>
          </cell>
          <cell r="M1963">
            <v>2</v>
          </cell>
          <cell r="N1963">
            <v>0</v>
          </cell>
          <cell r="O1963">
            <v>1</v>
          </cell>
          <cell r="P1963">
            <v>2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0</v>
          </cell>
          <cell r="AE1963">
            <v>0</v>
          </cell>
          <cell r="AF1963">
            <v>0</v>
          </cell>
          <cell r="AG1963" t="str">
            <v>LCDPREPLUS</v>
          </cell>
          <cell r="AH1963" t="str">
            <v>LCD_Premium Plus</v>
          </cell>
          <cell r="AI1963" t="str">
            <v/>
          </cell>
          <cell r="AJ1963" t="str">
            <v/>
          </cell>
          <cell r="AK1963" t="str">
            <v>0.723715</v>
          </cell>
          <cell r="AL1963" t="str">
            <v>2</v>
          </cell>
          <cell r="AM1963" t="str">
            <v>Q</v>
          </cell>
          <cell r="AN1963" t="str">
            <v>M0</v>
          </cell>
          <cell r="AO1963" t="str">
            <v>Active(Model)</v>
          </cell>
          <cell r="AP1963" t="str">
            <v/>
          </cell>
          <cell r="AQ1963" t="str">
            <v/>
          </cell>
          <cell r="AR1963" t="str">
            <v>Y</v>
          </cell>
          <cell r="AS1963" t="str">
            <v/>
          </cell>
          <cell r="AT1963" t="str">
            <v>TV</v>
          </cell>
          <cell r="AU1963" t="str">
            <v>TV</v>
          </cell>
          <cell r="AV1963" t="str">
            <v>TVLE</v>
          </cell>
          <cell r="AW1963" t="str">
            <v>LED LCD TV</v>
          </cell>
          <cell r="AX1963" t="str">
            <v>TVLE86</v>
          </cell>
          <cell r="AY1963" t="str">
            <v>LED LCD TV 86</v>
          </cell>
          <cell r="AZ1963" t="str">
            <v>TVLE86NU</v>
          </cell>
          <cell r="BA1963" t="str">
            <v>LED LCD TV 86 (UD)</v>
          </cell>
        </row>
        <row r="1964">
          <cell r="E1964" t="str">
            <v>86TR3DQ-B.AUBQ</v>
          </cell>
          <cell r="F1964">
            <v>4</v>
          </cell>
          <cell r="G1964">
            <v>0</v>
          </cell>
          <cell r="H1964">
            <v>0</v>
          </cell>
          <cell r="I1964">
            <v>4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2</v>
          </cell>
          <cell r="P1964">
            <v>0</v>
          </cell>
          <cell r="Q1964">
            <v>10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B1964">
            <v>0</v>
          </cell>
          <cell r="AC1964">
            <v>0</v>
          </cell>
          <cell r="AD1964">
            <v>0</v>
          </cell>
          <cell r="AE1964">
            <v>0</v>
          </cell>
          <cell r="AF1964">
            <v>0</v>
          </cell>
          <cell r="AG1964" t="str">
            <v/>
          </cell>
          <cell r="AH1964" t="str">
            <v/>
          </cell>
          <cell r="AI1964" t="str">
            <v/>
          </cell>
          <cell r="AJ1964" t="str">
            <v/>
          </cell>
          <cell r="AK1964" t="str">
            <v>0.612902</v>
          </cell>
          <cell r="AL1964" t="str">
            <v>2</v>
          </cell>
          <cell r="AM1964" t="str">
            <v>Q</v>
          </cell>
          <cell r="AN1964" t="str">
            <v>M0</v>
          </cell>
          <cell r="AO1964" t="str">
            <v>Active(Model)</v>
          </cell>
          <cell r="AP1964" t="str">
            <v/>
          </cell>
          <cell r="AQ1964" t="str">
            <v/>
          </cell>
          <cell r="AR1964" t="str">
            <v>Y</v>
          </cell>
          <cell r="AS1964" t="str">
            <v/>
          </cell>
          <cell r="AT1964" t="str">
            <v>CS</v>
          </cell>
          <cell r="AU1964" t="str">
            <v>Commercial Display_Signage</v>
          </cell>
          <cell r="AV1964" t="str">
            <v>CSME</v>
          </cell>
          <cell r="AW1964" t="str">
            <v>Commercial_LED LCD Monitor</v>
          </cell>
          <cell r="AX1964" t="str">
            <v>CSME86</v>
          </cell>
          <cell r="AY1964" t="str">
            <v>Commercial_LED LCD Monitor 86</v>
          </cell>
          <cell r="AZ1964" t="str">
            <v>CSME86FW</v>
          </cell>
          <cell r="BA1964" t="str">
            <v>Commercial_LED LCD Monitor 86 (MFT WIDE)</v>
          </cell>
        </row>
        <row r="1965">
          <cell r="E1965" t="str">
            <v>98NU855BPSB.ATVQ</v>
          </cell>
          <cell r="F1965">
            <v>0</v>
          </cell>
          <cell r="G1965">
            <v>0</v>
          </cell>
          <cell r="H1965">
            <v>0</v>
          </cell>
          <cell r="I1965">
            <v>2</v>
          </cell>
          <cell r="J1965">
            <v>0</v>
          </cell>
          <cell r="K1965">
            <v>84</v>
          </cell>
          <cell r="L1965">
            <v>0</v>
          </cell>
          <cell r="M1965">
            <v>2</v>
          </cell>
          <cell r="N1965">
            <v>0</v>
          </cell>
          <cell r="O1965">
            <v>0</v>
          </cell>
          <cell r="P1965">
            <v>2</v>
          </cell>
          <cell r="Q1965">
            <v>0</v>
          </cell>
          <cell r="R1965">
            <v>0</v>
          </cell>
          <cell r="S1965">
            <v>7</v>
          </cell>
          <cell r="T1965">
            <v>0</v>
          </cell>
          <cell r="U1965">
            <v>0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0</v>
          </cell>
          <cell r="AG1965" t="str">
            <v>LCDPREPLUS</v>
          </cell>
          <cell r="AH1965" t="str">
            <v>LCD_Premium Plus</v>
          </cell>
          <cell r="AI1965" t="str">
            <v/>
          </cell>
          <cell r="AJ1965" t="str">
            <v/>
          </cell>
          <cell r="AK1965" t="str">
            <v>0.771120</v>
          </cell>
          <cell r="AL1965" t="str">
            <v>2</v>
          </cell>
          <cell r="AM1965" t="str">
            <v>Q</v>
          </cell>
          <cell r="AN1965" t="str">
            <v>M0</v>
          </cell>
          <cell r="AO1965" t="str">
            <v>Active(Model)</v>
          </cell>
          <cell r="AP1965" t="str">
            <v/>
          </cell>
          <cell r="AQ1965" t="str">
            <v/>
          </cell>
          <cell r="AR1965" t="str">
            <v>Y</v>
          </cell>
          <cell r="AS1965" t="str">
            <v/>
          </cell>
          <cell r="AT1965" t="str">
            <v>TV</v>
          </cell>
          <cell r="AU1965" t="str">
            <v>TV</v>
          </cell>
          <cell r="AV1965" t="str">
            <v>TVLE</v>
          </cell>
          <cell r="AW1965" t="str">
            <v>LED LCD TV</v>
          </cell>
          <cell r="AX1965" t="str">
            <v>TVLE98</v>
          </cell>
          <cell r="AY1965" t="str">
            <v>LED LCD TV 98</v>
          </cell>
          <cell r="AZ1965" t="str">
            <v>TVLE98OU</v>
          </cell>
          <cell r="BA1965" t="str">
            <v>LED LCD TV 98 (O/S, UD)</v>
          </cell>
        </row>
        <row r="1966">
          <cell r="E1966" t="str">
            <v>98UH5Q-H.ATVQ</v>
          </cell>
          <cell r="F1966">
            <v>7</v>
          </cell>
          <cell r="G1966">
            <v>0</v>
          </cell>
          <cell r="H1966">
            <v>0</v>
          </cell>
          <cell r="I1966">
            <v>7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1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0</v>
          </cell>
          <cell r="AG1966" t="str">
            <v/>
          </cell>
          <cell r="AH1966" t="str">
            <v/>
          </cell>
          <cell r="AI1966" t="str">
            <v/>
          </cell>
          <cell r="AJ1966" t="str">
            <v/>
          </cell>
          <cell r="AK1966" t="str">
            <v>0.941640</v>
          </cell>
          <cell r="AL1966" t="str">
            <v>2</v>
          </cell>
          <cell r="AM1966" t="str">
            <v>Q</v>
          </cell>
          <cell r="AN1966" t="str">
            <v>M0</v>
          </cell>
          <cell r="AO1966" t="str">
            <v>Active(Model)</v>
          </cell>
          <cell r="AP1966" t="str">
            <v/>
          </cell>
          <cell r="AQ1966" t="str">
            <v/>
          </cell>
          <cell r="AR1966" t="str">
            <v>Y</v>
          </cell>
          <cell r="AS1966" t="str">
            <v/>
          </cell>
          <cell r="AT1966" t="str">
            <v>CS</v>
          </cell>
          <cell r="AU1966" t="str">
            <v>Commercial Display_Signage</v>
          </cell>
          <cell r="AV1966" t="str">
            <v>CSME</v>
          </cell>
          <cell r="AW1966" t="str">
            <v>Commercial_LED LCD Monitor</v>
          </cell>
          <cell r="AX1966" t="str">
            <v>CSME98</v>
          </cell>
          <cell r="AY1966" t="str">
            <v>Commercial_LED LCD Monitor 98</v>
          </cell>
          <cell r="AZ1966" t="str">
            <v>CSME98NN</v>
          </cell>
          <cell r="BA1966" t="str">
            <v>Commercial_LED LCD Monitor 98 (MFT WIDE)</v>
          </cell>
        </row>
        <row r="1967">
          <cell r="E1967" t="str">
            <v>A9-ACE.BCBPLVN</v>
          </cell>
          <cell r="F1967">
            <v>191</v>
          </cell>
          <cell r="G1967">
            <v>0</v>
          </cell>
          <cell r="H1967">
            <v>0</v>
          </cell>
          <cell r="I1967">
            <v>230</v>
          </cell>
          <cell r="J1967">
            <v>0</v>
          </cell>
          <cell r="K1967">
            <v>0</v>
          </cell>
          <cell r="L1967">
            <v>0</v>
          </cell>
          <cell r="M1967">
            <v>2</v>
          </cell>
          <cell r="N1967">
            <v>0</v>
          </cell>
          <cell r="O1967">
            <v>5</v>
          </cell>
          <cell r="P1967">
            <v>2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2</v>
          </cell>
          <cell r="AD1967">
            <v>3</v>
          </cell>
          <cell r="AE1967">
            <v>1</v>
          </cell>
          <cell r="AF1967">
            <v>5</v>
          </cell>
          <cell r="AG1967" t="str">
            <v/>
          </cell>
          <cell r="AH1967" t="str">
            <v/>
          </cell>
          <cell r="AI1967" t="str">
            <v/>
          </cell>
          <cell r="AJ1967" t="str">
            <v/>
          </cell>
          <cell r="AK1967" t="str">
            <v>0.035141</v>
          </cell>
          <cell r="AL1967" t="str">
            <v>2</v>
          </cell>
          <cell r="AM1967" t="str">
            <v>Q</v>
          </cell>
          <cell r="AN1967" t="str">
            <v>M0</v>
          </cell>
          <cell r="AO1967" t="str">
            <v>Active(Model)</v>
          </cell>
          <cell r="AP1967" t="str">
            <v/>
          </cell>
          <cell r="AQ1967" t="str">
            <v/>
          </cell>
          <cell r="AR1967" t="str">
            <v>Y</v>
          </cell>
          <cell r="AS1967" t="str">
            <v/>
          </cell>
          <cell r="AT1967" t="str">
            <v>VC</v>
          </cell>
          <cell r="AU1967" t="str">
            <v>Vacuum Cleaner</v>
          </cell>
          <cell r="AV1967" t="str">
            <v>VCVC</v>
          </cell>
          <cell r="AW1967" t="str">
            <v>Vacuum Cleaner</v>
          </cell>
          <cell r="AX1967" t="str">
            <v>VCVCHS</v>
          </cell>
          <cell r="AY1967" t="str">
            <v>H/Stick</v>
          </cell>
          <cell r="AZ1967" t="str">
            <v>VCVCHSCL</v>
          </cell>
          <cell r="BA1967" t="str">
            <v>H/Stick(Cordless)</v>
          </cell>
        </row>
        <row r="1968">
          <cell r="E1968" t="str">
            <v>A9K-MAX.BBKPLVN</v>
          </cell>
          <cell r="F1968">
            <v>1</v>
          </cell>
          <cell r="G1968">
            <v>0</v>
          </cell>
          <cell r="H1968">
            <v>0</v>
          </cell>
          <cell r="I1968">
            <v>1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 t="str">
            <v>VCPREPLUS</v>
          </cell>
          <cell r="AH1968" t="str">
            <v>VC_Premium_Plus</v>
          </cell>
          <cell r="AI1968" t="str">
            <v/>
          </cell>
          <cell r="AJ1968" t="str">
            <v/>
          </cell>
          <cell r="AK1968" t="str">
            <v>0.030455</v>
          </cell>
          <cell r="AL1968" t="str">
            <v>2</v>
          </cell>
          <cell r="AM1968" t="str">
            <v>F</v>
          </cell>
          <cell r="AN1968" t="str">
            <v>M0</v>
          </cell>
          <cell r="AO1968" t="str">
            <v>Active(Model)</v>
          </cell>
          <cell r="AP1968" t="str">
            <v/>
          </cell>
          <cell r="AQ1968" t="str">
            <v/>
          </cell>
          <cell r="AR1968" t="str">
            <v>Y</v>
          </cell>
          <cell r="AS1968" t="str">
            <v/>
          </cell>
          <cell r="AT1968" t="str">
            <v>VC</v>
          </cell>
          <cell r="AU1968" t="str">
            <v>Vacuum Cleaner</v>
          </cell>
          <cell r="AV1968" t="str">
            <v>VCVC</v>
          </cell>
          <cell r="AW1968" t="str">
            <v>Vacuum Cleaner</v>
          </cell>
          <cell r="AX1968" t="str">
            <v>VCVCHS</v>
          </cell>
          <cell r="AY1968" t="str">
            <v>H/Stick</v>
          </cell>
          <cell r="AZ1968" t="str">
            <v>VCVCHSCL</v>
          </cell>
          <cell r="BA1968" t="str">
            <v>H/Stick(Cordless)</v>
          </cell>
        </row>
        <row r="1969">
          <cell r="E1969" t="str">
            <v>A9T-LITE.DEGPLVN</v>
          </cell>
          <cell r="F1969">
            <v>2</v>
          </cell>
          <cell r="G1969">
            <v>0</v>
          </cell>
          <cell r="H1969">
            <v>0</v>
          </cell>
          <cell r="I1969">
            <v>2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1</v>
          </cell>
          <cell r="AF1969">
            <v>0</v>
          </cell>
          <cell r="AG1969" t="str">
            <v/>
          </cell>
          <cell r="AH1969" t="str">
            <v/>
          </cell>
          <cell r="AI1969" t="str">
            <v/>
          </cell>
          <cell r="AJ1969" t="str">
            <v/>
          </cell>
          <cell r="AK1969" t="str">
            <v>0.146735</v>
          </cell>
          <cell r="AL1969" t="str">
            <v>2</v>
          </cell>
          <cell r="AM1969" t="str">
            <v>F</v>
          </cell>
          <cell r="AN1969" t="str">
            <v>M0</v>
          </cell>
          <cell r="AO1969" t="str">
            <v>Active(Model)</v>
          </cell>
          <cell r="AP1969" t="str">
            <v/>
          </cell>
          <cell r="AQ1969" t="str">
            <v/>
          </cell>
          <cell r="AR1969" t="str">
            <v>Y</v>
          </cell>
          <cell r="AS1969" t="str">
            <v/>
          </cell>
          <cell r="AT1969" t="str">
            <v>VC</v>
          </cell>
          <cell r="AU1969" t="str">
            <v>Vacuum Cleaner</v>
          </cell>
          <cell r="AV1969" t="str">
            <v>VCVC</v>
          </cell>
          <cell r="AW1969" t="str">
            <v>Vacuum Cleaner</v>
          </cell>
          <cell r="AX1969" t="str">
            <v>VCVCHS</v>
          </cell>
          <cell r="AY1969" t="str">
            <v>H/Stick</v>
          </cell>
          <cell r="AZ1969" t="str">
            <v>VCVCHSCL</v>
          </cell>
          <cell r="BA1969" t="str">
            <v>H/Stick(Cordless)</v>
          </cell>
        </row>
        <row r="1970">
          <cell r="E1970" t="str">
            <v>ABDPG.ENCXLEU</v>
          </cell>
          <cell r="F1970">
            <v>14</v>
          </cell>
          <cell r="G1970">
            <v>0</v>
          </cell>
          <cell r="H1970">
            <v>0</v>
          </cell>
          <cell r="I1970">
            <v>14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0</v>
          </cell>
          <cell r="AG1970" t="str">
            <v>CAC</v>
          </cell>
          <cell r="AH1970" t="str">
            <v>CAC</v>
          </cell>
          <cell r="AI1970" t="str">
            <v/>
          </cell>
          <cell r="AJ1970" t="str">
            <v/>
          </cell>
          <cell r="AK1970" t="str">
            <v>0.006286</v>
          </cell>
          <cell r="AL1970" t="str">
            <v>2</v>
          </cell>
          <cell r="AM1970" t="str">
            <v>Q</v>
          </cell>
          <cell r="AN1970" t="str">
            <v>M0</v>
          </cell>
          <cell r="AO1970" t="str">
            <v>Active(Model)</v>
          </cell>
          <cell r="AP1970" t="str">
            <v/>
          </cell>
          <cell r="AQ1970" t="str">
            <v/>
          </cell>
          <cell r="AR1970" t="str">
            <v>Y</v>
          </cell>
          <cell r="AS1970" t="str">
            <v/>
          </cell>
          <cell r="AT1970" t="str">
            <v>AC</v>
          </cell>
          <cell r="AU1970" t="str">
            <v>Airconditioner</v>
          </cell>
          <cell r="AV1970" t="str">
            <v>ACFS</v>
          </cell>
          <cell r="AW1970" t="str">
            <v>Fixed Single CAC</v>
          </cell>
          <cell r="AX1970" t="str">
            <v>ACFSCD</v>
          </cell>
          <cell r="AY1970" t="str">
            <v>Ceiling Concealed Duct</v>
          </cell>
          <cell r="AZ1970" t="str">
            <v>ACFSCDDP</v>
          </cell>
          <cell r="BA1970" t="str">
            <v>Duct_Mechanical option part</v>
          </cell>
        </row>
        <row r="1971">
          <cell r="E1971" t="str">
            <v>ACAH067LETB.AAAAAAA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1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  <cell r="AF1971">
            <v>0</v>
          </cell>
          <cell r="AG1971" t="str">
            <v>CHILLER</v>
          </cell>
          <cell r="AH1971" t="str">
            <v>Chiller</v>
          </cell>
          <cell r="AI1971" t="str">
            <v/>
          </cell>
          <cell r="AJ1971" t="str">
            <v/>
          </cell>
          <cell r="AK1971" t="str">
            <v>12.595444</v>
          </cell>
          <cell r="AL1971" t="str">
            <v>0</v>
          </cell>
          <cell r="AM1971" t="str">
            <v>Q</v>
          </cell>
          <cell r="AN1971" t="str">
            <v>M0</v>
          </cell>
          <cell r="AO1971" t="str">
            <v>Active(Model)</v>
          </cell>
          <cell r="AP1971" t="str">
            <v/>
          </cell>
          <cell r="AQ1971" t="str">
            <v/>
          </cell>
          <cell r="AR1971" t="str">
            <v>Y</v>
          </cell>
          <cell r="AS1971" t="str">
            <v/>
          </cell>
          <cell r="AT1971" t="str">
            <v>AC</v>
          </cell>
          <cell r="AU1971" t="str">
            <v>Airconditioner</v>
          </cell>
          <cell r="AV1971" t="str">
            <v>ACCL</v>
          </cell>
          <cell r="AW1971" t="str">
            <v>Commercial Chiller</v>
          </cell>
          <cell r="AX1971" t="str">
            <v>ACCLCL</v>
          </cell>
          <cell r="AY1971" t="str">
            <v>Commercial Chiller</v>
          </cell>
          <cell r="AZ1971" t="str">
            <v>ACCLCLAR</v>
          </cell>
          <cell r="BA1971" t="str">
            <v>Chiller AC Scroll  S&amp;T type_New</v>
          </cell>
        </row>
        <row r="1972">
          <cell r="E1972" t="str">
            <v>AHFT035H0.ENCXLEU</v>
          </cell>
          <cell r="F1972">
            <v>5</v>
          </cell>
          <cell r="G1972">
            <v>0</v>
          </cell>
          <cell r="H1972">
            <v>0</v>
          </cell>
          <cell r="I1972">
            <v>5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 t="str">
            <v>CAC</v>
          </cell>
          <cell r="AH1972" t="str">
            <v>CAC</v>
          </cell>
          <cell r="AI1972" t="str">
            <v/>
          </cell>
          <cell r="AJ1972" t="str">
            <v/>
          </cell>
          <cell r="AK1972" t="str">
            <v>0.007810</v>
          </cell>
          <cell r="AL1972" t="str">
            <v>2</v>
          </cell>
          <cell r="AM1972" t="str">
            <v>Q</v>
          </cell>
          <cell r="AN1972" t="str">
            <v>M0</v>
          </cell>
          <cell r="AO1972" t="str">
            <v>Active(Model)</v>
          </cell>
          <cell r="AP1972" t="str">
            <v/>
          </cell>
          <cell r="AQ1972" t="str">
            <v/>
          </cell>
          <cell r="AR1972" t="str">
            <v>Y</v>
          </cell>
          <cell r="AS1972" t="str">
            <v/>
          </cell>
          <cell r="AT1972" t="str">
            <v>AC</v>
          </cell>
          <cell r="AU1972" t="str">
            <v>Airconditioner</v>
          </cell>
          <cell r="AV1972" t="str">
            <v>ACVT</v>
          </cell>
          <cell r="AW1972" t="str">
            <v>Ventilation</v>
          </cell>
          <cell r="AX1972" t="str">
            <v>ACVTVT</v>
          </cell>
          <cell r="AY1972" t="str">
            <v>Ventilation</v>
          </cell>
          <cell r="AZ1972" t="str">
            <v>ACVTVTZP</v>
          </cell>
          <cell r="BA1972" t="str">
            <v>Ventilation Mechanical option part</v>
          </cell>
        </row>
        <row r="1973">
          <cell r="E1973" t="str">
            <v>AMNQ09GL1A0.ENWHEVH</v>
          </cell>
          <cell r="F1973">
            <v>5</v>
          </cell>
          <cell r="G1973">
            <v>0</v>
          </cell>
          <cell r="H1973">
            <v>0</v>
          </cell>
          <cell r="I1973">
            <v>5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0</v>
          </cell>
          <cell r="AG1973" t="str">
            <v>CAC</v>
          </cell>
          <cell r="AH1973" t="str">
            <v>CAC</v>
          </cell>
          <cell r="AI1973" t="str">
            <v/>
          </cell>
          <cell r="AJ1973" t="str">
            <v/>
          </cell>
          <cell r="AK1973" t="str">
            <v>0.171672</v>
          </cell>
          <cell r="AL1973" t="str">
            <v>0</v>
          </cell>
          <cell r="AM1973" t="str">
            <v>Q</v>
          </cell>
          <cell r="AN1973" t="str">
            <v>M0</v>
          </cell>
          <cell r="AO1973" t="str">
            <v>Active(Model)</v>
          </cell>
          <cell r="AP1973" t="str">
            <v/>
          </cell>
          <cell r="AQ1973" t="str">
            <v/>
          </cell>
          <cell r="AR1973" t="str">
            <v>Y</v>
          </cell>
          <cell r="AS1973" t="str">
            <v/>
          </cell>
          <cell r="AT1973" t="str">
            <v>AC</v>
          </cell>
          <cell r="AU1973" t="str">
            <v>Airconditioner</v>
          </cell>
          <cell r="AV1973" t="str">
            <v>ACMT</v>
          </cell>
          <cell r="AW1973" t="str">
            <v>Multi</v>
          </cell>
          <cell r="AX1973" t="str">
            <v>ACMTID</v>
          </cell>
          <cell r="AY1973" t="str">
            <v>Flexible Multi-I/D(Inv.&amp; MPS)</v>
          </cell>
          <cell r="AZ1973" t="str">
            <v>ACMTIDMD</v>
          </cell>
          <cell r="BA1973" t="str">
            <v>Flexible Multi_I/D_Duct</v>
          </cell>
        </row>
        <row r="1974">
          <cell r="E1974" t="str">
            <v>AMNQ09GSJA0.ENWHEVH</v>
          </cell>
          <cell r="F1974">
            <v>1</v>
          </cell>
          <cell r="G1974">
            <v>0</v>
          </cell>
          <cell r="H1974">
            <v>0</v>
          </cell>
          <cell r="I1974">
            <v>3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1</v>
          </cell>
          <cell r="O1974">
            <v>0</v>
          </cell>
          <cell r="P1974">
            <v>1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1</v>
          </cell>
          <cell r="AE1974">
            <v>0</v>
          </cell>
          <cell r="AF1974">
            <v>1</v>
          </cell>
          <cell r="AG1974" t="str">
            <v>CAC</v>
          </cell>
          <cell r="AH1974" t="str">
            <v>CAC</v>
          </cell>
          <cell r="AI1974" t="str">
            <v/>
          </cell>
          <cell r="AJ1974" t="str">
            <v/>
          </cell>
          <cell r="AK1974" t="str">
            <v>0.084623</v>
          </cell>
          <cell r="AL1974" t="str">
            <v>2</v>
          </cell>
          <cell r="AM1974" t="str">
            <v>Q</v>
          </cell>
          <cell r="AN1974" t="str">
            <v>M0</v>
          </cell>
          <cell r="AO1974" t="str">
            <v>Active(Model)</v>
          </cell>
          <cell r="AP1974" t="str">
            <v/>
          </cell>
          <cell r="AQ1974" t="str">
            <v/>
          </cell>
          <cell r="AR1974" t="str">
            <v>Y</v>
          </cell>
          <cell r="AS1974" t="str">
            <v/>
          </cell>
          <cell r="AT1974" t="str">
            <v>AC</v>
          </cell>
          <cell r="AU1974" t="str">
            <v>Airconditioner</v>
          </cell>
          <cell r="AV1974" t="str">
            <v>ACMT</v>
          </cell>
          <cell r="AW1974" t="str">
            <v>Multi</v>
          </cell>
          <cell r="AX1974" t="str">
            <v>ACMTID</v>
          </cell>
          <cell r="AY1974" t="str">
            <v>Flexible Multi-I/D(Inv.&amp; MPS)</v>
          </cell>
          <cell r="AZ1974" t="str">
            <v>ACMTIDMS</v>
          </cell>
          <cell r="BA1974" t="str">
            <v>Flexible Multi_I/D_Wall Mounted</v>
          </cell>
        </row>
        <row r="1975">
          <cell r="E1975" t="str">
            <v>AMNQ09GSJB0.ENWHEVH</v>
          </cell>
          <cell r="F1975">
            <v>1</v>
          </cell>
          <cell r="G1975">
            <v>0</v>
          </cell>
          <cell r="H1975">
            <v>0</v>
          </cell>
          <cell r="I1975">
            <v>2</v>
          </cell>
          <cell r="J1975">
            <v>0</v>
          </cell>
          <cell r="K1975">
            <v>2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0</v>
          </cell>
          <cell r="AG1975" t="str">
            <v>CAC</v>
          </cell>
          <cell r="AH1975" t="str">
            <v>CAC</v>
          </cell>
          <cell r="AI1975" t="str">
            <v/>
          </cell>
          <cell r="AJ1975" t="str">
            <v/>
          </cell>
          <cell r="AK1975" t="str">
            <v>0.084623</v>
          </cell>
          <cell r="AL1975" t="str">
            <v>2</v>
          </cell>
          <cell r="AM1975" t="str">
            <v>Q</v>
          </cell>
          <cell r="AN1975" t="str">
            <v>M0</v>
          </cell>
          <cell r="AO1975" t="str">
            <v>Active(Model)</v>
          </cell>
          <cell r="AP1975" t="str">
            <v/>
          </cell>
          <cell r="AQ1975" t="str">
            <v/>
          </cell>
          <cell r="AR1975" t="str">
            <v>Y</v>
          </cell>
          <cell r="AS1975" t="str">
            <v/>
          </cell>
          <cell r="AT1975" t="str">
            <v>AC</v>
          </cell>
          <cell r="AU1975" t="str">
            <v>Airconditioner</v>
          </cell>
          <cell r="AV1975" t="str">
            <v>ACMT</v>
          </cell>
          <cell r="AW1975" t="str">
            <v>Multi</v>
          </cell>
          <cell r="AX1975" t="str">
            <v>ACMTID</v>
          </cell>
          <cell r="AY1975" t="str">
            <v>Flexible Multi-I/D(Inv.&amp; MPS)</v>
          </cell>
          <cell r="AZ1975" t="str">
            <v>ACMTIDMS</v>
          </cell>
          <cell r="BA1975" t="str">
            <v>Flexible Multi_I/D_Wall Mounted</v>
          </cell>
        </row>
        <row r="1976">
          <cell r="E1976" t="str">
            <v>AMNQ09GTUA0.ENWHEVH</v>
          </cell>
          <cell r="F1976">
            <v>51</v>
          </cell>
          <cell r="G1976">
            <v>0</v>
          </cell>
          <cell r="H1976">
            <v>0</v>
          </cell>
          <cell r="I1976">
            <v>61</v>
          </cell>
          <cell r="J1976">
            <v>0</v>
          </cell>
          <cell r="K1976">
            <v>0</v>
          </cell>
          <cell r="L1976">
            <v>2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8</v>
          </cell>
          <cell r="AE1976">
            <v>0</v>
          </cell>
          <cell r="AF1976">
            <v>8</v>
          </cell>
          <cell r="AG1976" t="str">
            <v>CAC</v>
          </cell>
          <cell r="AH1976" t="str">
            <v>CAC</v>
          </cell>
          <cell r="AI1976" t="str">
            <v/>
          </cell>
          <cell r="AJ1976" t="str">
            <v/>
          </cell>
          <cell r="AK1976" t="str">
            <v>0.152523</v>
          </cell>
          <cell r="AL1976" t="str">
            <v>0</v>
          </cell>
          <cell r="AM1976" t="str">
            <v>Q</v>
          </cell>
          <cell r="AN1976" t="str">
            <v>M0</v>
          </cell>
          <cell r="AO1976" t="str">
            <v>Active(Model)</v>
          </cell>
          <cell r="AP1976" t="str">
            <v/>
          </cell>
          <cell r="AQ1976" t="str">
            <v/>
          </cell>
          <cell r="AR1976" t="str">
            <v>Y</v>
          </cell>
          <cell r="AS1976" t="str">
            <v/>
          </cell>
          <cell r="AT1976" t="str">
            <v>AC</v>
          </cell>
          <cell r="AU1976" t="str">
            <v>Airconditioner</v>
          </cell>
          <cell r="AV1976" t="str">
            <v>ACMT</v>
          </cell>
          <cell r="AW1976" t="str">
            <v>Multi</v>
          </cell>
          <cell r="AX1976" t="str">
            <v>ACMTID</v>
          </cell>
          <cell r="AY1976" t="str">
            <v>Flexible Multi-I/D(Inv.&amp; MPS)</v>
          </cell>
          <cell r="AZ1976" t="str">
            <v>ACMTIDMC</v>
          </cell>
          <cell r="BA1976" t="str">
            <v>Flexible Multi_I/D_Cassette</v>
          </cell>
        </row>
        <row r="1977">
          <cell r="E1977" t="str">
            <v>AMNQ12GSJA0.ENWHEVH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0</v>
          </cell>
          <cell r="AG1977" t="str">
            <v>CAC</v>
          </cell>
          <cell r="AH1977" t="str">
            <v>CAC</v>
          </cell>
          <cell r="AI1977" t="str">
            <v/>
          </cell>
          <cell r="AJ1977" t="str">
            <v/>
          </cell>
          <cell r="AK1977" t="str">
            <v>0.084623</v>
          </cell>
          <cell r="AL1977" t="str">
            <v>2</v>
          </cell>
          <cell r="AM1977" t="str">
            <v>Q</v>
          </cell>
          <cell r="AN1977" t="str">
            <v>M0</v>
          </cell>
          <cell r="AO1977" t="str">
            <v>Active(Model)</v>
          </cell>
          <cell r="AP1977" t="str">
            <v/>
          </cell>
          <cell r="AQ1977" t="str">
            <v/>
          </cell>
          <cell r="AR1977" t="str">
            <v>Y</v>
          </cell>
          <cell r="AS1977" t="str">
            <v/>
          </cell>
          <cell r="AT1977" t="str">
            <v>AC</v>
          </cell>
          <cell r="AU1977" t="str">
            <v>Airconditioner</v>
          </cell>
          <cell r="AV1977" t="str">
            <v>ACMT</v>
          </cell>
          <cell r="AW1977" t="str">
            <v>Multi</v>
          </cell>
          <cell r="AX1977" t="str">
            <v>ACMTID</v>
          </cell>
          <cell r="AY1977" t="str">
            <v>Flexible Multi-I/D(Inv.&amp; MPS)</v>
          </cell>
          <cell r="AZ1977" t="str">
            <v>ACMTIDMS</v>
          </cell>
          <cell r="BA1977" t="str">
            <v>Flexible Multi_I/D_Wall Mounted</v>
          </cell>
        </row>
        <row r="1978">
          <cell r="E1978" t="str">
            <v>AMNQ12GSJB0.ENWHEVH</v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0</v>
          </cell>
          <cell r="AF1978">
            <v>0</v>
          </cell>
          <cell r="AG1978" t="str">
            <v>CAC</v>
          </cell>
          <cell r="AH1978" t="str">
            <v>CAC</v>
          </cell>
          <cell r="AI1978" t="str">
            <v/>
          </cell>
          <cell r="AJ1978" t="str">
            <v/>
          </cell>
          <cell r="AK1978" t="str">
            <v>0.084623</v>
          </cell>
          <cell r="AL1978" t="str">
            <v>2</v>
          </cell>
          <cell r="AM1978" t="str">
            <v>Q</v>
          </cell>
          <cell r="AN1978" t="str">
            <v>M0</v>
          </cell>
          <cell r="AO1978" t="str">
            <v>Active(Model)</v>
          </cell>
          <cell r="AP1978" t="str">
            <v/>
          </cell>
          <cell r="AQ1978" t="str">
            <v/>
          </cell>
          <cell r="AR1978" t="str">
            <v>Y</v>
          </cell>
          <cell r="AS1978" t="str">
            <v/>
          </cell>
          <cell r="AT1978" t="str">
            <v>AC</v>
          </cell>
          <cell r="AU1978" t="str">
            <v>Airconditioner</v>
          </cell>
          <cell r="AV1978" t="str">
            <v>ACMT</v>
          </cell>
          <cell r="AW1978" t="str">
            <v>Multi</v>
          </cell>
          <cell r="AX1978" t="str">
            <v>ACMTID</v>
          </cell>
          <cell r="AY1978" t="str">
            <v>Flexible Multi-I/D(Inv.&amp; MPS)</v>
          </cell>
          <cell r="AZ1978" t="str">
            <v>ACMTIDMS</v>
          </cell>
          <cell r="BA1978" t="str">
            <v>Flexible Multi_I/D_Wall Mounted</v>
          </cell>
        </row>
        <row r="1979">
          <cell r="E1979" t="str">
            <v>AMNQ12GTUA0.ENWHEVH</v>
          </cell>
          <cell r="F1979">
            <v>102</v>
          </cell>
          <cell r="G1979">
            <v>0</v>
          </cell>
          <cell r="H1979">
            <v>0</v>
          </cell>
          <cell r="I1979">
            <v>117</v>
          </cell>
          <cell r="J1979">
            <v>0</v>
          </cell>
          <cell r="K1979">
            <v>0</v>
          </cell>
          <cell r="L1979">
            <v>3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10</v>
          </cell>
          <cell r="AE1979">
            <v>0</v>
          </cell>
          <cell r="AF1979">
            <v>10</v>
          </cell>
          <cell r="AG1979" t="str">
            <v>CAC</v>
          </cell>
          <cell r="AH1979" t="str">
            <v>CAC</v>
          </cell>
          <cell r="AI1979" t="str">
            <v/>
          </cell>
          <cell r="AJ1979" t="str">
            <v/>
          </cell>
          <cell r="AK1979" t="str">
            <v>0.152523</v>
          </cell>
          <cell r="AL1979" t="str">
            <v>0</v>
          </cell>
          <cell r="AM1979" t="str">
            <v>Q</v>
          </cell>
          <cell r="AN1979" t="str">
            <v>M0</v>
          </cell>
          <cell r="AO1979" t="str">
            <v>Active(Model)</v>
          </cell>
          <cell r="AP1979" t="str">
            <v/>
          </cell>
          <cell r="AQ1979" t="str">
            <v/>
          </cell>
          <cell r="AR1979" t="str">
            <v>Y</v>
          </cell>
          <cell r="AS1979" t="str">
            <v/>
          </cell>
          <cell r="AT1979" t="str">
            <v>AC</v>
          </cell>
          <cell r="AU1979" t="str">
            <v>Airconditioner</v>
          </cell>
          <cell r="AV1979" t="str">
            <v>ACMT</v>
          </cell>
          <cell r="AW1979" t="str">
            <v>Multi</v>
          </cell>
          <cell r="AX1979" t="str">
            <v>ACMTID</v>
          </cell>
          <cell r="AY1979" t="str">
            <v>Flexible Multi-I/D(Inv.&amp; MPS)</v>
          </cell>
          <cell r="AZ1979" t="str">
            <v>ACMTIDMC</v>
          </cell>
          <cell r="BA1979" t="str">
            <v>Flexible Multi_I/D_Cassette</v>
          </cell>
        </row>
        <row r="1980">
          <cell r="E1980" t="str">
            <v>AMNQ18GL2A0.ENWHEVH</v>
          </cell>
          <cell r="F1980">
            <v>5</v>
          </cell>
          <cell r="G1980">
            <v>0</v>
          </cell>
          <cell r="H1980">
            <v>0</v>
          </cell>
          <cell r="I1980">
            <v>5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0</v>
          </cell>
          <cell r="AF1980">
            <v>0</v>
          </cell>
          <cell r="AG1980" t="str">
            <v>CAC</v>
          </cell>
          <cell r="AH1980" t="str">
            <v>CAC</v>
          </cell>
          <cell r="AI1980" t="str">
            <v/>
          </cell>
          <cell r="AJ1980" t="str">
            <v/>
          </cell>
          <cell r="AK1980" t="str">
            <v>0.211503</v>
          </cell>
          <cell r="AL1980" t="str">
            <v>0</v>
          </cell>
          <cell r="AM1980" t="str">
            <v>Q</v>
          </cell>
          <cell r="AN1980" t="str">
            <v>M0</v>
          </cell>
          <cell r="AO1980" t="str">
            <v>Active(Model)</v>
          </cell>
          <cell r="AP1980" t="str">
            <v/>
          </cell>
          <cell r="AQ1980" t="str">
            <v/>
          </cell>
          <cell r="AR1980" t="str">
            <v>Y</v>
          </cell>
          <cell r="AS1980" t="str">
            <v/>
          </cell>
          <cell r="AT1980" t="str">
            <v>AC</v>
          </cell>
          <cell r="AU1980" t="str">
            <v>Airconditioner</v>
          </cell>
          <cell r="AV1980" t="str">
            <v>ACMT</v>
          </cell>
          <cell r="AW1980" t="str">
            <v>Multi</v>
          </cell>
          <cell r="AX1980" t="str">
            <v>ACMTID</v>
          </cell>
          <cell r="AY1980" t="str">
            <v>Flexible Multi-I/D(Inv.&amp; MPS)</v>
          </cell>
          <cell r="AZ1980" t="str">
            <v>ACMTIDMD</v>
          </cell>
          <cell r="BA1980" t="str">
            <v>Flexible Multi_I/D_Duct</v>
          </cell>
        </row>
        <row r="1981">
          <cell r="E1981" t="str">
            <v>AMNQ18GSKA0.ENWHEVH</v>
          </cell>
          <cell r="F1981">
            <v>0</v>
          </cell>
          <cell r="G1981">
            <v>0</v>
          </cell>
          <cell r="H1981">
            <v>0</v>
          </cell>
          <cell r="I1981">
            <v>1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1</v>
          </cell>
          <cell r="O1981">
            <v>0</v>
          </cell>
          <cell r="P1981">
            <v>1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  <cell r="AF1981">
            <v>0</v>
          </cell>
          <cell r="AG1981" t="str">
            <v>CAC</v>
          </cell>
          <cell r="AH1981" t="str">
            <v>CAC</v>
          </cell>
          <cell r="AI1981" t="str">
            <v/>
          </cell>
          <cell r="AJ1981" t="str">
            <v/>
          </cell>
          <cell r="AK1981" t="str">
            <v>0.122330</v>
          </cell>
          <cell r="AL1981" t="str">
            <v>2</v>
          </cell>
          <cell r="AM1981" t="str">
            <v>Q</v>
          </cell>
          <cell r="AN1981" t="str">
            <v>M0</v>
          </cell>
          <cell r="AO1981" t="str">
            <v>Active(Model)</v>
          </cell>
          <cell r="AP1981" t="str">
            <v/>
          </cell>
          <cell r="AQ1981" t="str">
            <v/>
          </cell>
          <cell r="AR1981" t="str">
            <v>Y</v>
          </cell>
          <cell r="AS1981" t="str">
            <v/>
          </cell>
          <cell r="AT1981" t="str">
            <v>AC</v>
          </cell>
          <cell r="AU1981" t="str">
            <v>Airconditioner</v>
          </cell>
          <cell r="AV1981" t="str">
            <v>ACMT</v>
          </cell>
          <cell r="AW1981" t="str">
            <v>Multi</v>
          </cell>
          <cell r="AX1981" t="str">
            <v>ACMTID</v>
          </cell>
          <cell r="AY1981" t="str">
            <v>Flexible Multi-I/D(Inv.&amp; MPS)</v>
          </cell>
          <cell r="AZ1981" t="str">
            <v>ACMTIDMS</v>
          </cell>
          <cell r="BA1981" t="str">
            <v>Flexible Multi_I/D_Wall Mounted</v>
          </cell>
        </row>
        <row r="1982">
          <cell r="E1982" t="str">
            <v>AMNQ18GSKB0.ENWHEVH</v>
          </cell>
          <cell r="F1982">
            <v>1</v>
          </cell>
          <cell r="G1982">
            <v>0</v>
          </cell>
          <cell r="H1982">
            <v>0</v>
          </cell>
          <cell r="I1982">
            <v>1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0</v>
          </cell>
          <cell r="AG1982" t="str">
            <v>CAC</v>
          </cell>
          <cell r="AH1982" t="str">
            <v>CAC</v>
          </cell>
          <cell r="AI1982" t="str">
            <v/>
          </cell>
          <cell r="AJ1982" t="str">
            <v/>
          </cell>
          <cell r="AK1982" t="str">
            <v>0.122330</v>
          </cell>
          <cell r="AL1982" t="str">
            <v>2</v>
          </cell>
          <cell r="AM1982" t="str">
            <v>Q</v>
          </cell>
          <cell r="AN1982" t="str">
            <v>M0</v>
          </cell>
          <cell r="AO1982" t="str">
            <v>Active(Model)</v>
          </cell>
          <cell r="AP1982" t="str">
            <v/>
          </cell>
          <cell r="AQ1982" t="str">
            <v/>
          </cell>
          <cell r="AR1982" t="str">
            <v>Y</v>
          </cell>
          <cell r="AS1982" t="str">
            <v/>
          </cell>
          <cell r="AT1982" t="str">
            <v>AC</v>
          </cell>
          <cell r="AU1982" t="str">
            <v>Airconditioner</v>
          </cell>
          <cell r="AV1982" t="str">
            <v>ACMT</v>
          </cell>
          <cell r="AW1982" t="str">
            <v>Multi</v>
          </cell>
          <cell r="AX1982" t="str">
            <v>ACMTID</v>
          </cell>
          <cell r="AY1982" t="str">
            <v>Flexible Multi-I/D(Inv.&amp; MPS)</v>
          </cell>
          <cell r="AZ1982" t="str">
            <v>ACMTIDMS</v>
          </cell>
          <cell r="BA1982" t="str">
            <v>Flexible Multi_I/D_Wall Mounted</v>
          </cell>
        </row>
        <row r="1983">
          <cell r="E1983" t="str">
            <v>AMNQ18GTTA0.ENWHEVH</v>
          </cell>
          <cell r="F1983">
            <v>13</v>
          </cell>
          <cell r="G1983">
            <v>0</v>
          </cell>
          <cell r="H1983">
            <v>0</v>
          </cell>
          <cell r="I1983">
            <v>15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0</v>
          </cell>
          <cell r="AG1983" t="str">
            <v>CAC</v>
          </cell>
          <cell r="AH1983" t="str">
            <v>CAC</v>
          </cell>
          <cell r="AI1983" t="str">
            <v/>
          </cell>
          <cell r="AJ1983" t="str">
            <v/>
          </cell>
          <cell r="AK1983" t="str">
            <v>0.195907</v>
          </cell>
          <cell r="AL1983" t="str">
            <v>0</v>
          </cell>
          <cell r="AM1983" t="str">
            <v>Q</v>
          </cell>
          <cell r="AN1983" t="str">
            <v>M0</v>
          </cell>
          <cell r="AO1983" t="str">
            <v>Active(Model)</v>
          </cell>
          <cell r="AP1983" t="str">
            <v/>
          </cell>
          <cell r="AQ1983" t="str">
            <v/>
          </cell>
          <cell r="AR1983" t="str">
            <v>Y</v>
          </cell>
          <cell r="AS1983" t="str">
            <v/>
          </cell>
          <cell r="AT1983" t="str">
            <v>AC</v>
          </cell>
          <cell r="AU1983" t="str">
            <v>Airconditioner</v>
          </cell>
          <cell r="AV1983" t="str">
            <v>ACMT</v>
          </cell>
          <cell r="AW1983" t="str">
            <v>Multi</v>
          </cell>
          <cell r="AX1983" t="str">
            <v>ACMTID</v>
          </cell>
          <cell r="AY1983" t="str">
            <v>Flexible Multi-I/D(Inv.&amp; MPS)</v>
          </cell>
          <cell r="AZ1983" t="str">
            <v>ACMTIDMC</v>
          </cell>
          <cell r="BA1983" t="str">
            <v>Flexible Multi_I/D_Cassette</v>
          </cell>
        </row>
        <row r="1984">
          <cell r="E1984" t="str">
            <v>AMNQ24GL3A0.ENWHEVH</v>
          </cell>
          <cell r="F1984">
            <v>19</v>
          </cell>
          <cell r="G1984">
            <v>0</v>
          </cell>
          <cell r="H1984">
            <v>0</v>
          </cell>
          <cell r="I1984">
            <v>19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0</v>
          </cell>
          <cell r="AE1984">
            <v>0</v>
          </cell>
          <cell r="AF1984">
            <v>0</v>
          </cell>
          <cell r="AG1984" t="str">
            <v>CAC</v>
          </cell>
          <cell r="AH1984" t="str">
            <v>CAC</v>
          </cell>
          <cell r="AI1984" t="str">
            <v/>
          </cell>
          <cell r="AJ1984" t="str">
            <v/>
          </cell>
          <cell r="AK1984" t="str">
            <v>0.251334</v>
          </cell>
          <cell r="AL1984" t="str">
            <v>0</v>
          </cell>
          <cell r="AM1984" t="str">
            <v>Q</v>
          </cell>
          <cell r="AN1984" t="str">
            <v>M0</v>
          </cell>
          <cell r="AO1984" t="str">
            <v>Active(Model)</v>
          </cell>
          <cell r="AP1984" t="str">
            <v/>
          </cell>
          <cell r="AQ1984" t="str">
            <v/>
          </cell>
          <cell r="AR1984" t="str">
            <v>Y</v>
          </cell>
          <cell r="AS1984" t="str">
            <v/>
          </cell>
          <cell r="AT1984" t="str">
            <v>AC</v>
          </cell>
          <cell r="AU1984" t="str">
            <v>Airconditioner</v>
          </cell>
          <cell r="AV1984" t="str">
            <v>ACMT</v>
          </cell>
          <cell r="AW1984" t="str">
            <v>Multi</v>
          </cell>
          <cell r="AX1984" t="str">
            <v>ACMTID</v>
          </cell>
          <cell r="AY1984" t="str">
            <v>Flexible Multi-I/D(Inv.&amp; MPS)</v>
          </cell>
          <cell r="AZ1984" t="str">
            <v>ACMTIDMD</v>
          </cell>
          <cell r="BA1984" t="str">
            <v>Flexible Multi_I/D_Duct</v>
          </cell>
        </row>
        <row r="1985">
          <cell r="E1985" t="str">
            <v>AMNQ24GSKA0.ENWHEVH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0</v>
          </cell>
          <cell r="AF1985">
            <v>0</v>
          </cell>
          <cell r="AG1985" t="str">
            <v>CAC</v>
          </cell>
          <cell r="AH1985" t="str">
            <v>CAC</v>
          </cell>
          <cell r="AI1985" t="str">
            <v/>
          </cell>
          <cell r="AJ1985" t="str">
            <v/>
          </cell>
          <cell r="AK1985" t="str">
            <v>0.122330</v>
          </cell>
          <cell r="AL1985" t="str">
            <v>2</v>
          </cell>
          <cell r="AM1985" t="str">
            <v>Q</v>
          </cell>
          <cell r="AN1985" t="str">
            <v>M0</v>
          </cell>
          <cell r="AO1985" t="str">
            <v>Active(Model)</v>
          </cell>
          <cell r="AP1985" t="str">
            <v/>
          </cell>
          <cell r="AQ1985" t="str">
            <v/>
          </cell>
          <cell r="AR1985" t="str">
            <v>Y</v>
          </cell>
          <cell r="AS1985" t="str">
            <v/>
          </cell>
          <cell r="AT1985" t="str">
            <v>AC</v>
          </cell>
          <cell r="AU1985" t="str">
            <v>Airconditioner</v>
          </cell>
          <cell r="AV1985" t="str">
            <v>ACMT</v>
          </cell>
          <cell r="AW1985" t="str">
            <v>Multi</v>
          </cell>
          <cell r="AX1985" t="str">
            <v>ACMTID</v>
          </cell>
          <cell r="AY1985" t="str">
            <v>Flexible Multi-I/D(Inv.&amp; MPS)</v>
          </cell>
          <cell r="AZ1985" t="str">
            <v>ACMTIDMS</v>
          </cell>
          <cell r="BA1985" t="str">
            <v>Flexible Multi_I/D_Wall Mounted</v>
          </cell>
        </row>
        <row r="1986">
          <cell r="E1986" t="str">
            <v>AMNQ24GSKB0.ENWHEVH</v>
          </cell>
          <cell r="F1986">
            <v>2</v>
          </cell>
          <cell r="G1986">
            <v>0</v>
          </cell>
          <cell r="H1986">
            <v>0</v>
          </cell>
          <cell r="I1986">
            <v>2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0</v>
          </cell>
          <cell r="AG1986" t="str">
            <v>CAC</v>
          </cell>
          <cell r="AH1986" t="str">
            <v>CAC</v>
          </cell>
          <cell r="AI1986" t="str">
            <v/>
          </cell>
          <cell r="AJ1986" t="str">
            <v/>
          </cell>
          <cell r="AK1986" t="str">
            <v>0.122330</v>
          </cell>
          <cell r="AL1986" t="str">
            <v>2</v>
          </cell>
          <cell r="AM1986" t="str">
            <v>Q</v>
          </cell>
          <cell r="AN1986" t="str">
            <v>M5</v>
          </cell>
          <cell r="AO1986" t="str">
            <v>To Be Obsolete(Model)</v>
          </cell>
          <cell r="AP1986" t="str">
            <v/>
          </cell>
          <cell r="AQ1986" t="str">
            <v/>
          </cell>
          <cell r="AR1986" t="str">
            <v>Y</v>
          </cell>
          <cell r="AS1986" t="str">
            <v/>
          </cell>
          <cell r="AT1986" t="str">
            <v>AC</v>
          </cell>
          <cell r="AU1986" t="str">
            <v>Airconditioner</v>
          </cell>
          <cell r="AV1986" t="str">
            <v>ACMT</v>
          </cell>
          <cell r="AW1986" t="str">
            <v>Multi</v>
          </cell>
          <cell r="AX1986" t="str">
            <v>ACMTID</v>
          </cell>
          <cell r="AY1986" t="str">
            <v>Flexible Multi-I/D(Inv.&amp; MPS)</v>
          </cell>
          <cell r="AZ1986" t="str">
            <v>ACMTIDMS</v>
          </cell>
          <cell r="BA1986" t="str">
            <v>Flexible Multi_I/D_Wall Mounted</v>
          </cell>
        </row>
        <row r="1987">
          <cell r="E1987" t="str">
            <v>AMNQ24GTTA0.ENWHEVH</v>
          </cell>
          <cell r="F1987">
            <v>56</v>
          </cell>
          <cell r="G1987">
            <v>0</v>
          </cell>
          <cell r="H1987">
            <v>0</v>
          </cell>
          <cell r="I1987">
            <v>67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10</v>
          </cell>
          <cell r="AE1987">
            <v>0</v>
          </cell>
          <cell r="AF1987">
            <v>10</v>
          </cell>
          <cell r="AG1987" t="str">
            <v>CAC</v>
          </cell>
          <cell r="AH1987" t="str">
            <v>CAC</v>
          </cell>
          <cell r="AI1987" t="str">
            <v/>
          </cell>
          <cell r="AJ1987" t="str">
            <v/>
          </cell>
          <cell r="AK1987" t="str">
            <v>0.195907</v>
          </cell>
          <cell r="AL1987" t="str">
            <v>0</v>
          </cell>
          <cell r="AM1987" t="str">
            <v>Q</v>
          </cell>
          <cell r="AN1987" t="str">
            <v>M0</v>
          </cell>
          <cell r="AO1987" t="str">
            <v>Active(Model)</v>
          </cell>
          <cell r="AP1987" t="str">
            <v/>
          </cell>
          <cell r="AQ1987" t="str">
            <v/>
          </cell>
          <cell r="AR1987" t="str">
            <v>Y</v>
          </cell>
          <cell r="AS1987" t="str">
            <v/>
          </cell>
          <cell r="AT1987" t="str">
            <v>AC</v>
          </cell>
          <cell r="AU1987" t="str">
            <v>Airconditioner</v>
          </cell>
          <cell r="AV1987" t="str">
            <v>ACMT</v>
          </cell>
          <cell r="AW1987" t="str">
            <v>Multi</v>
          </cell>
          <cell r="AX1987" t="str">
            <v>ACMTID</v>
          </cell>
          <cell r="AY1987" t="str">
            <v>Flexible Multi-I/D(Inv.&amp; MPS)</v>
          </cell>
          <cell r="AZ1987" t="str">
            <v>ACMTIDMC</v>
          </cell>
          <cell r="BA1987" t="str">
            <v>Flexible Multi_I/D_Cassette</v>
          </cell>
        </row>
        <row r="1988">
          <cell r="E1988" t="str">
            <v>AMNW09GTUA0.ENWHEVH</v>
          </cell>
          <cell r="F1988">
            <v>1</v>
          </cell>
          <cell r="G1988">
            <v>0</v>
          </cell>
          <cell r="H1988">
            <v>0</v>
          </cell>
          <cell r="I1988">
            <v>1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 t="str">
            <v>CAC</v>
          </cell>
          <cell r="AH1988" t="str">
            <v>CAC</v>
          </cell>
          <cell r="AI1988" t="str">
            <v/>
          </cell>
          <cell r="AJ1988" t="str">
            <v/>
          </cell>
          <cell r="AK1988" t="str">
            <v>0.152523</v>
          </cell>
          <cell r="AL1988" t="str">
            <v>0</v>
          </cell>
          <cell r="AM1988" t="str">
            <v>Q</v>
          </cell>
          <cell r="AN1988" t="str">
            <v>M0</v>
          </cell>
          <cell r="AO1988" t="str">
            <v>Active(Model)</v>
          </cell>
          <cell r="AP1988" t="str">
            <v/>
          </cell>
          <cell r="AQ1988" t="str">
            <v/>
          </cell>
          <cell r="AR1988" t="str">
            <v>Y</v>
          </cell>
          <cell r="AS1988" t="str">
            <v/>
          </cell>
          <cell r="AT1988" t="str">
            <v>AC</v>
          </cell>
          <cell r="AU1988" t="str">
            <v>Airconditioner</v>
          </cell>
          <cell r="AV1988" t="str">
            <v>ACMT</v>
          </cell>
          <cell r="AW1988" t="str">
            <v>Multi</v>
          </cell>
          <cell r="AX1988" t="str">
            <v>ACMTID</v>
          </cell>
          <cell r="AY1988" t="str">
            <v>Flexible Multi-I/D(Inv.&amp; MPS)</v>
          </cell>
          <cell r="AZ1988" t="str">
            <v>ACMTIDMC</v>
          </cell>
          <cell r="BA1988" t="str">
            <v>Flexible Multi_I/D_Cassette</v>
          </cell>
        </row>
        <row r="1989">
          <cell r="E1989" t="str">
            <v>APNQ100LFA0.EMWSEVH</v>
          </cell>
          <cell r="F1989">
            <v>0</v>
          </cell>
          <cell r="G1989">
            <v>0</v>
          </cell>
          <cell r="H1989">
            <v>0</v>
          </cell>
          <cell r="I1989">
            <v>20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20</v>
          </cell>
          <cell r="AE1989">
            <v>0</v>
          </cell>
          <cell r="AF1989">
            <v>20</v>
          </cell>
          <cell r="AG1989" t="str">
            <v/>
          </cell>
          <cell r="AH1989" t="str">
            <v/>
          </cell>
          <cell r="AI1989" t="str">
            <v/>
          </cell>
          <cell r="AJ1989" t="str">
            <v/>
          </cell>
          <cell r="AK1989" t="str">
            <v>1.347243</v>
          </cell>
          <cell r="AL1989" t="str">
            <v>0</v>
          </cell>
          <cell r="AM1989" t="str">
            <v>Q</v>
          </cell>
          <cell r="AN1989" t="str">
            <v>M0</v>
          </cell>
          <cell r="AO1989" t="str">
            <v>Active(Model)</v>
          </cell>
          <cell r="AP1989" t="str">
            <v/>
          </cell>
          <cell r="AQ1989" t="str">
            <v/>
          </cell>
          <cell r="AR1989" t="str">
            <v>Y</v>
          </cell>
          <cell r="AS1989" t="str">
            <v/>
          </cell>
          <cell r="AT1989" t="str">
            <v>AC</v>
          </cell>
          <cell r="AU1989" t="str">
            <v>Airconditioner</v>
          </cell>
          <cell r="AV1989" t="str">
            <v>ACPC</v>
          </cell>
          <cell r="AW1989" t="str">
            <v>PAC</v>
          </cell>
          <cell r="AX1989" t="str">
            <v>ACPCDH</v>
          </cell>
          <cell r="AY1989" t="str">
            <v>PAC_Inverter Cooling</v>
          </cell>
          <cell r="AZ1989" t="str">
            <v>ACPCDHAA</v>
          </cell>
          <cell r="BA1989" t="str">
            <v>PAC_Inverter C/O_I/D</v>
          </cell>
        </row>
        <row r="1990">
          <cell r="E1990" t="str">
            <v>APNQ150LNA0.EMWBASA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0</v>
          </cell>
          <cell r="AG1990" t="str">
            <v>CAC</v>
          </cell>
          <cell r="AH1990" t="str">
            <v>CAC</v>
          </cell>
          <cell r="AI1990" t="str">
            <v/>
          </cell>
          <cell r="AJ1990" t="str">
            <v/>
          </cell>
          <cell r="AK1990" t="str">
            <v>2.743545</v>
          </cell>
          <cell r="AL1990" t="str">
            <v>2</v>
          </cell>
          <cell r="AM1990" t="str">
            <v>Q</v>
          </cell>
          <cell r="AN1990" t="str">
            <v>M0</v>
          </cell>
          <cell r="AO1990" t="str">
            <v>Active(Model)</v>
          </cell>
          <cell r="AP1990" t="str">
            <v/>
          </cell>
          <cell r="AQ1990" t="str">
            <v/>
          </cell>
          <cell r="AR1990" t="str">
            <v>Y</v>
          </cell>
          <cell r="AS1990" t="str">
            <v/>
          </cell>
          <cell r="AT1990" t="str">
            <v>AC</v>
          </cell>
          <cell r="AU1990" t="str">
            <v>Airconditioner</v>
          </cell>
          <cell r="AV1990" t="str">
            <v>ACPC</v>
          </cell>
          <cell r="AW1990" t="str">
            <v>PAC</v>
          </cell>
          <cell r="AX1990" t="str">
            <v>ACPCDH</v>
          </cell>
          <cell r="AY1990" t="str">
            <v>PAC_Inverter Cooling</v>
          </cell>
          <cell r="AZ1990" t="str">
            <v>ACPCDHAA</v>
          </cell>
          <cell r="BA1990" t="str">
            <v>PAC_Inverter C/O_I/D</v>
          </cell>
        </row>
        <row r="1991">
          <cell r="E1991" t="str">
            <v>APNQ200LNA0.EMWBASA</v>
          </cell>
          <cell r="F1991">
            <v>5</v>
          </cell>
          <cell r="G1991">
            <v>0</v>
          </cell>
          <cell r="H1991">
            <v>0</v>
          </cell>
          <cell r="I1991">
            <v>5</v>
          </cell>
          <cell r="J1991">
            <v>0</v>
          </cell>
          <cell r="K1991">
            <v>40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0</v>
          </cell>
          <cell r="AG1991" t="str">
            <v>CAC</v>
          </cell>
          <cell r="AH1991" t="str">
            <v>CAC</v>
          </cell>
          <cell r="AI1991" t="str">
            <v/>
          </cell>
          <cell r="AJ1991" t="str">
            <v/>
          </cell>
          <cell r="AK1991" t="str">
            <v>2.743545</v>
          </cell>
          <cell r="AL1991" t="str">
            <v>2</v>
          </cell>
          <cell r="AM1991" t="str">
            <v>Q</v>
          </cell>
          <cell r="AN1991" t="str">
            <v>M0</v>
          </cell>
          <cell r="AO1991" t="str">
            <v>Active(Model)</v>
          </cell>
          <cell r="AP1991" t="str">
            <v/>
          </cell>
          <cell r="AQ1991" t="str">
            <v/>
          </cell>
          <cell r="AR1991" t="str">
            <v>Y</v>
          </cell>
          <cell r="AS1991" t="str">
            <v/>
          </cell>
          <cell r="AT1991" t="str">
            <v>AC</v>
          </cell>
          <cell r="AU1991" t="str">
            <v>Airconditioner</v>
          </cell>
          <cell r="AV1991" t="str">
            <v>ACPC</v>
          </cell>
          <cell r="AW1991" t="str">
            <v>PAC</v>
          </cell>
          <cell r="AX1991" t="str">
            <v>ACPCDH</v>
          </cell>
          <cell r="AY1991" t="str">
            <v>PAC_Inverter Cooling</v>
          </cell>
          <cell r="AZ1991" t="str">
            <v>ACPCDHAA</v>
          </cell>
          <cell r="BA1991" t="str">
            <v>PAC_Inverter C/O_I/D</v>
          </cell>
        </row>
        <row r="1992">
          <cell r="E1992" t="str">
            <v>APUQ100LFA0.EMWBEVH</v>
          </cell>
          <cell r="F1992">
            <v>0</v>
          </cell>
          <cell r="G1992">
            <v>0</v>
          </cell>
          <cell r="H1992">
            <v>0</v>
          </cell>
          <cell r="I1992">
            <v>19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19</v>
          </cell>
          <cell r="AE1992">
            <v>0</v>
          </cell>
          <cell r="AF1992">
            <v>19</v>
          </cell>
          <cell r="AG1992" t="str">
            <v>CAC</v>
          </cell>
          <cell r="AH1992" t="str">
            <v>CAC</v>
          </cell>
          <cell r="AI1992" t="str">
            <v/>
          </cell>
          <cell r="AJ1992" t="str">
            <v/>
          </cell>
          <cell r="AK1992" t="str">
            <v>1.097686</v>
          </cell>
          <cell r="AL1992" t="str">
            <v>2</v>
          </cell>
          <cell r="AM1992" t="str">
            <v>Q</v>
          </cell>
          <cell r="AN1992" t="str">
            <v>M0</v>
          </cell>
          <cell r="AO1992" t="str">
            <v>Active(Model)</v>
          </cell>
          <cell r="AP1992" t="str">
            <v/>
          </cell>
          <cell r="AQ1992" t="str">
            <v/>
          </cell>
          <cell r="AR1992" t="str">
            <v>Y</v>
          </cell>
          <cell r="AS1992" t="str">
            <v/>
          </cell>
          <cell r="AT1992" t="str">
            <v>AC</v>
          </cell>
          <cell r="AU1992" t="str">
            <v>Airconditioner</v>
          </cell>
          <cell r="AV1992" t="str">
            <v>ACPC</v>
          </cell>
          <cell r="AW1992" t="str">
            <v>PAC</v>
          </cell>
          <cell r="AX1992" t="str">
            <v>ACPCDH</v>
          </cell>
          <cell r="AY1992" t="str">
            <v>PAC_Inverter Cooling</v>
          </cell>
          <cell r="AZ1992" t="str">
            <v>ACPCDHAB</v>
          </cell>
          <cell r="BA1992" t="str">
            <v>PAC_Inverter C/O_O/D</v>
          </cell>
        </row>
        <row r="1993">
          <cell r="E1993" t="str">
            <v>APUQ150LNA0.EMWBASA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0</v>
          </cell>
          <cell r="AF1993">
            <v>0</v>
          </cell>
          <cell r="AG1993" t="str">
            <v>CAC</v>
          </cell>
          <cell r="AH1993" t="str">
            <v>CAC</v>
          </cell>
          <cell r="AI1993" t="str">
            <v/>
          </cell>
          <cell r="AJ1993" t="str">
            <v/>
          </cell>
          <cell r="AK1993" t="str">
            <v>1.882517</v>
          </cell>
          <cell r="AL1993" t="str">
            <v>2</v>
          </cell>
          <cell r="AM1993" t="str">
            <v>Q</v>
          </cell>
          <cell r="AN1993" t="str">
            <v>M0</v>
          </cell>
          <cell r="AO1993" t="str">
            <v>Active(Model)</v>
          </cell>
          <cell r="AP1993" t="str">
            <v/>
          </cell>
          <cell r="AQ1993" t="str">
            <v/>
          </cell>
          <cell r="AR1993" t="str">
            <v>Y</v>
          </cell>
          <cell r="AS1993" t="str">
            <v/>
          </cell>
          <cell r="AT1993" t="str">
            <v>AC</v>
          </cell>
          <cell r="AU1993" t="str">
            <v>Airconditioner</v>
          </cell>
          <cell r="AV1993" t="str">
            <v>ACPC</v>
          </cell>
          <cell r="AW1993" t="str">
            <v>PAC</v>
          </cell>
          <cell r="AX1993" t="str">
            <v>ACPCDH</v>
          </cell>
          <cell r="AY1993" t="str">
            <v>PAC_Inverter Cooling</v>
          </cell>
          <cell r="AZ1993" t="str">
            <v>ACPCDHAB</v>
          </cell>
          <cell r="BA1993" t="str">
            <v>PAC_Inverter C/O_O/D</v>
          </cell>
        </row>
        <row r="1994">
          <cell r="E1994" t="str">
            <v>APUQ200LNA0.EMWBASA</v>
          </cell>
          <cell r="F1994">
            <v>5</v>
          </cell>
          <cell r="G1994">
            <v>0</v>
          </cell>
          <cell r="H1994">
            <v>0</v>
          </cell>
          <cell r="I1994">
            <v>5</v>
          </cell>
          <cell r="J1994">
            <v>0</v>
          </cell>
          <cell r="K1994">
            <v>40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 t="str">
            <v>CAC</v>
          </cell>
          <cell r="AH1994" t="str">
            <v>CAC</v>
          </cell>
          <cell r="AI1994" t="str">
            <v/>
          </cell>
          <cell r="AJ1994" t="str">
            <v/>
          </cell>
          <cell r="AK1994" t="str">
            <v>1.882517</v>
          </cell>
          <cell r="AL1994" t="str">
            <v>2</v>
          </cell>
          <cell r="AM1994" t="str">
            <v>Q</v>
          </cell>
          <cell r="AN1994" t="str">
            <v>M0</v>
          </cell>
          <cell r="AO1994" t="str">
            <v>Active(Model)</v>
          </cell>
          <cell r="AP1994" t="str">
            <v/>
          </cell>
          <cell r="AQ1994" t="str">
            <v/>
          </cell>
          <cell r="AR1994" t="str">
            <v>Y</v>
          </cell>
          <cell r="AS1994" t="str">
            <v/>
          </cell>
          <cell r="AT1994" t="str">
            <v>AC</v>
          </cell>
          <cell r="AU1994" t="str">
            <v>Airconditioner</v>
          </cell>
          <cell r="AV1994" t="str">
            <v>ACPC</v>
          </cell>
          <cell r="AW1994" t="str">
            <v>PAC</v>
          </cell>
          <cell r="AX1994" t="str">
            <v>ACPCDH</v>
          </cell>
          <cell r="AY1994" t="str">
            <v>PAC_Inverter Cooling</v>
          </cell>
          <cell r="AZ1994" t="str">
            <v>ACPCDHAB</v>
          </cell>
          <cell r="BA1994" t="str">
            <v>PAC_Inverter C/O_O/D</v>
          </cell>
        </row>
        <row r="1995">
          <cell r="E1995" t="str">
            <v>ARBLN01621.ENCXLEU</v>
          </cell>
          <cell r="F1995">
            <v>361</v>
          </cell>
          <cell r="G1995">
            <v>0</v>
          </cell>
          <cell r="H1995">
            <v>0</v>
          </cell>
          <cell r="I1995">
            <v>376</v>
          </cell>
          <cell r="J1995">
            <v>0</v>
          </cell>
          <cell r="K1995">
            <v>0</v>
          </cell>
          <cell r="L1995">
            <v>4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0</v>
          </cell>
          <cell r="AG1995" t="str">
            <v>CAC</v>
          </cell>
          <cell r="AH1995" t="str">
            <v>CAC</v>
          </cell>
          <cell r="AI1995" t="str">
            <v/>
          </cell>
          <cell r="AJ1995" t="str">
            <v/>
          </cell>
          <cell r="AK1995" t="str">
            <v>0.006120</v>
          </cell>
          <cell r="AL1995" t="str">
            <v>0</v>
          </cell>
          <cell r="AM1995" t="str">
            <v>Q</v>
          </cell>
          <cell r="AN1995" t="str">
            <v>M0</v>
          </cell>
          <cell r="AO1995" t="str">
            <v>Active(Model)</v>
          </cell>
          <cell r="AP1995" t="str">
            <v/>
          </cell>
          <cell r="AQ1995" t="str">
            <v/>
          </cell>
          <cell r="AR1995" t="str">
            <v>Y</v>
          </cell>
          <cell r="AS1995" t="str">
            <v/>
          </cell>
          <cell r="AT1995" t="str">
            <v>AC</v>
          </cell>
          <cell r="AU1995" t="str">
            <v>Airconditioner</v>
          </cell>
          <cell r="AV1995" t="str">
            <v>ACMV</v>
          </cell>
          <cell r="AW1995" t="str">
            <v>Multi V</v>
          </cell>
          <cell r="AX1995" t="str">
            <v>ACMVID</v>
          </cell>
          <cell r="AY1995" t="str">
            <v>Multi V I/D</v>
          </cell>
          <cell r="AZ1995" t="str">
            <v>ACMVIDPP</v>
          </cell>
          <cell r="BA1995" t="str">
            <v>Multi V_Mechanical option part</v>
          </cell>
        </row>
        <row r="1996">
          <cell r="E1996" t="str">
            <v>ARBLN03321.ENCXLEU</v>
          </cell>
          <cell r="F1996">
            <v>385</v>
          </cell>
          <cell r="G1996">
            <v>0</v>
          </cell>
          <cell r="H1996">
            <v>0</v>
          </cell>
          <cell r="I1996">
            <v>446</v>
          </cell>
          <cell r="J1996">
            <v>0</v>
          </cell>
          <cell r="K1996">
            <v>0</v>
          </cell>
          <cell r="L1996">
            <v>50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0</v>
          </cell>
          <cell r="AG1996" t="str">
            <v>CAC</v>
          </cell>
          <cell r="AH1996" t="str">
            <v>CAC</v>
          </cell>
          <cell r="AI1996" t="str">
            <v/>
          </cell>
          <cell r="AJ1996" t="str">
            <v/>
          </cell>
          <cell r="AK1996" t="str">
            <v>0.007920</v>
          </cell>
          <cell r="AL1996" t="str">
            <v>0</v>
          </cell>
          <cell r="AM1996" t="str">
            <v>Q</v>
          </cell>
          <cell r="AN1996" t="str">
            <v>M0</v>
          </cell>
          <cell r="AO1996" t="str">
            <v>Active(Model)</v>
          </cell>
          <cell r="AP1996" t="str">
            <v/>
          </cell>
          <cell r="AQ1996" t="str">
            <v/>
          </cell>
          <cell r="AR1996" t="str">
            <v>Y</v>
          </cell>
          <cell r="AS1996" t="str">
            <v/>
          </cell>
          <cell r="AT1996" t="str">
            <v>AC</v>
          </cell>
          <cell r="AU1996" t="str">
            <v>Airconditioner</v>
          </cell>
          <cell r="AV1996" t="str">
            <v>ACMV</v>
          </cell>
          <cell r="AW1996" t="str">
            <v>Multi V</v>
          </cell>
          <cell r="AX1996" t="str">
            <v>ACMVID</v>
          </cell>
          <cell r="AY1996" t="str">
            <v>Multi V I/D</v>
          </cell>
          <cell r="AZ1996" t="str">
            <v>ACMVIDPP</v>
          </cell>
          <cell r="BA1996" t="str">
            <v>Multi V_Mechanical option part</v>
          </cell>
        </row>
        <row r="1997">
          <cell r="E1997" t="str">
            <v>ARBLN07121.ENCXLEU</v>
          </cell>
          <cell r="F1997">
            <v>291</v>
          </cell>
          <cell r="G1997">
            <v>0</v>
          </cell>
          <cell r="H1997">
            <v>0</v>
          </cell>
          <cell r="I1997">
            <v>320</v>
          </cell>
          <cell r="J1997">
            <v>0</v>
          </cell>
          <cell r="K1997">
            <v>0</v>
          </cell>
          <cell r="L1997">
            <v>26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  <cell r="AF1997">
            <v>0</v>
          </cell>
          <cell r="AG1997" t="str">
            <v>CAC</v>
          </cell>
          <cell r="AH1997" t="str">
            <v>CAC</v>
          </cell>
          <cell r="AI1997" t="str">
            <v/>
          </cell>
          <cell r="AJ1997" t="str">
            <v/>
          </cell>
          <cell r="AK1997" t="str">
            <v>0.018135</v>
          </cell>
          <cell r="AL1997" t="str">
            <v>0</v>
          </cell>
          <cell r="AM1997" t="str">
            <v>Q</v>
          </cell>
          <cell r="AN1997" t="str">
            <v>M0</v>
          </cell>
          <cell r="AO1997" t="str">
            <v>Active(Model)</v>
          </cell>
          <cell r="AP1997" t="str">
            <v/>
          </cell>
          <cell r="AQ1997" t="str">
            <v/>
          </cell>
          <cell r="AR1997" t="str">
            <v>Y</v>
          </cell>
          <cell r="AS1997" t="str">
            <v/>
          </cell>
          <cell r="AT1997" t="str">
            <v>AC</v>
          </cell>
          <cell r="AU1997" t="str">
            <v>Airconditioner</v>
          </cell>
          <cell r="AV1997" t="str">
            <v>ACMV</v>
          </cell>
          <cell r="AW1997" t="str">
            <v>Multi V</v>
          </cell>
          <cell r="AX1997" t="str">
            <v>ACMVID</v>
          </cell>
          <cell r="AY1997" t="str">
            <v>Multi V I/D</v>
          </cell>
          <cell r="AZ1997" t="str">
            <v>ACMVIDPP</v>
          </cell>
          <cell r="BA1997" t="str">
            <v>Multi V_Mechanical option part</v>
          </cell>
        </row>
        <row r="1998">
          <cell r="E1998" t="str">
            <v>ARBLN14521.ENCXLEU</v>
          </cell>
          <cell r="F1998">
            <v>160</v>
          </cell>
          <cell r="G1998">
            <v>0</v>
          </cell>
          <cell r="H1998">
            <v>0</v>
          </cell>
          <cell r="I1998">
            <v>178</v>
          </cell>
          <cell r="J1998">
            <v>0</v>
          </cell>
          <cell r="K1998">
            <v>0</v>
          </cell>
          <cell r="L1998">
            <v>18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0</v>
          </cell>
          <cell r="AG1998" t="str">
            <v>CAC</v>
          </cell>
          <cell r="AH1998" t="str">
            <v>CAC</v>
          </cell>
          <cell r="AI1998" t="str">
            <v/>
          </cell>
          <cell r="AJ1998" t="str">
            <v/>
          </cell>
          <cell r="AK1998" t="str">
            <v>0.019130</v>
          </cell>
          <cell r="AL1998" t="str">
            <v>0</v>
          </cell>
          <cell r="AM1998" t="str">
            <v>Q</v>
          </cell>
          <cell r="AN1998" t="str">
            <v>M0</v>
          </cell>
          <cell r="AO1998" t="str">
            <v>Active(Model)</v>
          </cell>
          <cell r="AP1998" t="str">
            <v/>
          </cell>
          <cell r="AQ1998" t="str">
            <v/>
          </cell>
          <cell r="AR1998" t="str">
            <v>Y</v>
          </cell>
          <cell r="AS1998" t="str">
            <v/>
          </cell>
          <cell r="AT1998" t="str">
            <v>AC</v>
          </cell>
          <cell r="AU1998" t="str">
            <v>Airconditioner</v>
          </cell>
          <cell r="AV1998" t="str">
            <v>ACMV</v>
          </cell>
          <cell r="AW1998" t="str">
            <v>Multi V</v>
          </cell>
          <cell r="AX1998" t="str">
            <v>ACMVID</v>
          </cell>
          <cell r="AY1998" t="str">
            <v>Multi V I/D</v>
          </cell>
          <cell r="AZ1998" t="str">
            <v>ACMVIDPP</v>
          </cell>
          <cell r="BA1998" t="str">
            <v>Multi V_Mechanical option part</v>
          </cell>
        </row>
        <row r="1999">
          <cell r="E1999" t="str">
            <v>ARBLN23220.ENCXLEU</v>
          </cell>
          <cell r="F1999">
            <v>2</v>
          </cell>
          <cell r="G1999">
            <v>0</v>
          </cell>
          <cell r="H1999">
            <v>0</v>
          </cell>
          <cell r="I1999">
            <v>9</v>
          </cell>
          <cell r="J1999">
            <v>0</v>
          </cell>
          <cell r="K1999">
            <v>0</v>
          </cell>
          <cell r="L1999">
            <v>7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 t="str">
            <v>CAC</v>
          </cell>
          <cell r="AH1999" t="str">
            <v>CAC</v>
          </cell>
          <cell r="AI1999" t="str">
            <v/>
          </cell>
          <cell r="AJ1999" t="str">
            <v/>
          </cell>
          <cell r="AK1999" t="str">
            <v>0.022770</v>
          </cell>
          <cell r="AL1999" t="str">
            <v>0</v>
          </cell>
          <cell r="AM1999" t="str">
            <v>Q</v>
          </cell>
          <cell r="AN1999" t="str">
            <v>M0</v>
          </cell>
          <cell r="AO1999" t="str">
            <v>Active(Model)</v>
          </cell>
          <cell r="AP1999" t="str">
            <v/>
          </cell>
          <cell r="AQ1999" t="str">
            <v/>
          </cell>
          <cell r="AR1999" t="str">
            <v>Y</v>
          </cell>
          <cell r="AS1999" t="str">
            <v/>
          </cell>
          <cell r="AT1999" t="str">
            <v>AC</v>
          </cell>
          <cell r="AU1999" t="str">
            <v>Airconditioner</v>
          </cell>
          <cell r="AV1999" t="str">
            <v>ACMV</v>
          </cell>
          <cell r="AW1999" t="str">
            <v>Multi V</v>
          </cell>
          <cell r="AX1999" t="str">
            <v>ACMVID</v>
          </cell>
          <cell r="AY1999" t="str">
            <v>Multi V I/D</v>
          </cell>
          <cell r="AZ1999" t="str">
            <v>ACMVIDPP</v>
          </cell>
          <cell r="BA1999" t="str">
            <v>Multi V_Mechanical option part</v>
          </cell>
        </row>
        <row r="2000">
          <cell r="E2000" t="str">
            <v>ARCNN21.ENCXLEU</v>
          </cell>
          <cell r="F2000">
            <v>38</v>
          </cell>
          <cell r="G2000">
            <v>0</v>
          </cell>
          <cell r="H2000">
            <v>0</v>
          </cell>
          <cell r="I2000">
            <v>109</v>
          </cell>
          <cell r="J2000">
            <v>0</v>
          </cell>
          <cell r="K2000">
            <v>0</v>
          </cell>
          <cell r="L2000">
            <v>7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28</v>
          </cell>
          <cell r="AE2000">
            <v>0</v>
          </cell>
          <cell r="AF2000">
            <v>28</v>
          </cell>
          <cell r="AG2000" t="str">
            <v>CAC</v>
          </cell>
          <cell r="AH2000" t="str">
            <v>CAC</v>
          </cell>
          <cell r="AI2000" t="str">
            <v/>
          </cell>
          <cell r="AJ2000" t="str">
            <v/>
          </cell>
          <cell r="AK2000" t="str">
            <v>0.022770</v>
          </cell>
          <cell r="AL2000" t="str">
            <v>0</v>
          </cell>
          <cell r="AM2000" t="str">
            <v>Q</v>
          </cell>
          <cell r="AN2000" t="str">
            <v>M0</v>
          </cell>
          <cell r="AO2000" t="str">
            <v>Active(Model)</v>
          </cell>
          <cell r="AP2000" t="str">
            <v/>
          </cell>
          <cell r="AQ2000" t="str">
            <v/>
          </cell>
          <cell r="AR2000" t="str">
            <v>Y</v>
          </cell>
          <cell r="AS2000" t="str">
            <v/>
          </cell>
          <cell r="AT2000" t="str">
            <v>AC</v>
          </cell>
          <cell r="AU2000" t="str">
            <v>Airconditioner</v>
          </cell>
          <cell r="AV2000" t="str">
            <v>ACMV</v>
          </cell>
          <cell r="AW2000" t="str">
            <v>Multi V</v>
          </cell>
          <cell r="AX2000" t="str">
            <v>ACMVID</v>
          </cell>
          <cell r="AY2000" t="str">
            <v>Multi V I/D</v>
          </cell>
          <cell r="AZ2000" t="str">
            <v>ACMVIDPP</v>
          </cell>
          <cell r="BA2000" t="str">
            <v>Multi V_Mechanical option part</v>
          </cell>
        </row>
        <row r="2001">
          <cell r="E2001" t="str">
            <v>ARCNN31.ENCXLEU</v>
          </cell>
          <cell r="F2001">
            <v>3</v>
          </cell>
          <cell r="G2001">
            <v>0</v>
          </cell>
          <cell r="H2001">
            <v>0</v>
          </cell>
          <cell r="I2001">
            <v>14</v>
          </cell>
          <cell r="J2001">
            <v>0</v>
          </cell>
          <cell r="K2001">
            <v>0</v>
          </cell>
          <cell r="L2001">
            <v>4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 t="str">
            <v>CAC</v>
          </cell>
          <cell r="AH2001" t="str">
            <v>CAC</v>
          </cell>
          <cell r="AI2001" t="str">
            <v/>
          </cell>
          <cell r="AJ2001" t="str">
            <v/>
          </cell>
          <cell r="AK2001" t="str">
            <v>0.022770</v>
          </cell>
          <cell r="AL2001" t="str">
            <v>0</v>
          </cell>
          <cell r="AM2001" t="str">
            <v>Q</v>
          </cell>
          <cell r="AN2001" t="str">
            <v>M0</v>
          </cell>
          <cell r="AO2001" t="str">
            <v>Active(Model)</v>
          </cell>
          <cell r="AP2001" t="str">
            <v/>
          </cell>
          <cell r="AQ2001" t="str">
            <v/>
          </cell>
          <cell r="AR2001" t="str">
            <v>Y</v>
          </cell>
          <cell r="AS2001" t="str">
            <v/>
          </cell>
          <cell r="AT2001" t="str">
            <v>AC</v>
          </cell>
          <cell r="AU2001" t="str">
            <v>Airconditioner</v>
          </cell>
          <cell r="AV2001" t="str">
            <v>ACMV</v>
          </cell>
          <cell r="AW2001" t="str">
            <v>Multi V</v>
          </cell>
          <cell r="AX2001" t="str">
            <v>ACMVID</v>
          </cell>
          <cell r="AY2001" t="str">
            <v>Multi V I/D</v>
          </cell>
          <cell r="AZ2001" t="str">
            <v>ACMVIDPP</v>
          </cell>
          <cell r="BA2001" t="str">
            <v>Multi V_Mechanical option part</v>
          </cell>
        </row>
        <row r="2002">
          <cell r="E2002" t="str">
            <v>ARCNN41.ENCXLEU</v>
          </cell>
          <cell r="F2002">
            <v>0</v>
          </cell>
          <cell r="G2002">
            <v>0</v>
          </cell>
          <cell r="H2002">
            <v>0</v>
          </cell>
          <cell r="I2002">
            <v>4</v>
          </cell>
          <cell r="J2002">
            <v>0</v>
          </cell>
          <cell r="K2002">
            <v>0</v>
          </cell>
          <cell r="L2002">
            <v>4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0</v>
          </cell>
          <cell r="AE2002">
            <v>0</v>
          </cell>
          <cell r="AF2002">
            <v>0</v>
          </cell>
          <cell r="AG2002" t="str">
            <v>CAC</v>
          </cell>
          <cell r="AH2002" t="str">
            <v>CAC</v>
          </cell>
          <cell r="AI2002" t="str">
            <v/>
          </cell>
          <cell r="AJ2002" t="str">
            <v/>
          </cell>
          <cell r="AK2002" t="str">
            <v>0.018740</v>
          </cell>
          <cell r="AL2002" t="str">
            <v>0</v>
          </cell>
          <cell r="AM2002" t="str">
            <v>Q</v>
          </cell>
          <cell r="AN2002" t="str">
            <v>M0</v>
          </cell>
          <cell r="AO2002" t="str">
            <v>Active(Model)</v>
          </cell>
          <cell r="AP2002" t="str">
            <v/>
          </cell>
          <cell r="AQ2002" t="str">
            <v/>
          </cell>
          <cell r="AR2002" t="str">
            <v>Y</v>
          </cell>
          <cell r="AS2002" t="str">
            <v/>
          </cell>
          <cell r="AT2002" t="str">
            <v>AC</v>
          </cell>
          <cell r="AU2002" t="str">
            <v>Airconditioner</v>
          </cell>
          <cell r="AV2002" t="str">
            <v>ACMV</v>
          </cell>
          <cell r="AW2002" t="str">
            <v>Multi V</v>
          </cell>
          <cell r="AX2002" t="str">
            <v>ACMVID</v>
          </cell>
          <cell r="AY2002" t="str">
            <v>Multi V I/D</v>
          </cell>
          <cell r="AZ2002" t="str">
            <v>ACMVIDPP</v>
          </cell>
          <cell r="BA2002" t="str">
            <v>Multi V_Mechanical option part</v>
          </cell>
        </row>
        <row r="2003">
          <cell r="E2003" t="str">
            <v>ARNU05GSJN4.AMBBASE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0</v>
          </cell>
          <cell r="AG2003" t="str">
            <v>CAC</v>
          </cell>
          <cell r="AH2003" t="str">
            <v>CAC</v>
          </cell>
          <cell r="AI2003" t="str">
            <v/>
          </cell>
          <cell r="AJ2003" t="str">
            <v/>
          </cell>
          <cell r="AK2003" t="str">
            <v>0.084623</v>
          </cell>
          <cell r="AL2003" t="str">
            <v>2</v>
          </cell>
          <cell r="AM2003" t="str">
            <v>Q</v>
          </cell>
          <cell r="AN2003" t="str">
            <v>M0</v>
          </cell>
          <cell r="AO2003" t="str">
            <v>Active(Model)</v>
          </cell>
          <cell r="AP2003" t="str">
            <v/>
          </cell>
          <cell r="AQ2003" t="str">
            <v/>
          </cell>
          <cell r="AR2003" t="str">
            <v>Y</v>
          </cell>
          <cell r="AS2003" t="str">
            <v/>
          </cell>
          <cell r="AT2003" t="str">
            <v>AC</v>
          </cell>
          <cell r="AU2003" t="str">
            <v>Airconditioner</v>
          </cell>
          <cell r="AV2003" t="str">
            <v>ACMV</v>
          </cell>
          <cell r="AW2003" t="str">
            <v>Multi V</v>
          </cell>
          <cell r="AX2003" t="str">
            <v>ACMVID</v>
          </cell>
          <cell r="AY2003" t="str">
            <v>Multi V I/D</v>
          </cell>
          <cell r="AZ2003" t="str">
            <v>ACMVIDMS</v>
          </cell>
          <cell r="BA2003" t="str">
            <v>Multi V_I/D_Wall Mounted</v>
          </cell>
        </row>
        <row r="2004">
          <cell r="E2004" t="str">
            <v>ARNU07GM1A4.ANCSASE</v>
          </cell>
          <cell r="F2004">
            <v>7</v>
          </cell>
          <cell r="G2004">
            <v>0</v>
          </cell>
          <cell r="H2004">
            <v>0</v>
          </cell>
          <cell r="I2004">
            <v>7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0</v>
          </cell>
          <cell r="AG2004" t="str">
            <v/>
          </cell>
          <cell r="AH2004" t="str">
            <v/>
          </cell>
          <cell r="AI2004" t="str">
            <v/>
          </cell>
          <cell r="AJ2004" t="str">
            <v/>
          </cell>
          <cell r="AK2004" t="str">
            <v>0.287401</v>
          </cell>
          <cell r="AL2004" t="str">
            <v>0</v>
          </cell>
          <cell r="AM2004" t="str">
            <v>Q</v>
          </cell>
          <cell r="AN2004" t="str">
            <v>M0</v>
          </cell>
          <cell r="AO2004" t="str">
            <v>Active(Model)</v>
          </cell>
          <cell r="AP2004" t="str">
            <v/>
          </cell>
          <cell r="AQ2004" t="str">
            <v/>
          </cell>
          <cell r="AR2004" t="str">
            <v>Y</v>
          </cell>
          <cell r="AS2004" t="str">
            <v/>
          </cell>
          <cell r="AT2004" t="str">
            <v>AC</v>
          </cell>
          <cell r="AU2004" t="str">
            <v>Airconditioner</v>
          </cell>
          <cell r="AV2004" t="str">
            <v>ACMV</v>
          </cell>
          <cell r="AW2004" t="str">
            <v>Multi V</v>
          </cell>
          <cell r="AX2004" t="str">
            <v>ACMVID</v>
          </cell>
          <cell r="AY2004" t="str">
            <v>Multi V I/D</v>
          </cell>
          <cell r="AZ2004" t="str">
            <v>ACMVIDMD</v>
          </cell>
          <cell r="BA2004" t="str">
            <v>Multi V_I/D_Duct</v>
          </cell>
        </row>
        <row r="2005">
          <cell r="E2005" t="str">
            <v>ARNU07GSJN4.AMBBASE</v>
          </cell>
          <cell r="F2005">
            <v>5</v>
          </cell>
          <cell r="G2005">
            <v>0</v>
          </cell>
          <cell r="H2005">
            <v>0</v>
          </cell>
          <cell r="I2005">
            <v>6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 t="str">
            <v>CAC</v>
          </cell>
          <cell r="AH2005" t="str">
            <v>CAC</v>
          </cell>
          <cell r="AI2005" t="str">
            <v/>
          </cell>
          <cell r="AJ2005" t="str">
            <v/>
          </cell>
          <cell r="AK2005" t="str">
            <v>0.084623</v>
          </cell>
          <cell r="AL2005" t="str">
            <v>2</v>
          </cell>
          <cell r="AM2005" t="str">
            <v>Q</v>
          </cell>
          <cell r="AN2005" t="str">
            <v>M0</v>
          </cell>
          <cell r="AO2005" t="str">
            <v>Active(Model)</v>
          </cell>
          <cell r="AP2005" t="str">
            <v/>
          </cell>
          <cell r="AQ2005" t="str">
            <v/>
          </cell>
          <cell r="AR2005" t="str">
            <v>Y</v>
          </cell>
          <cell r="AS2005" t="str">
            <v/>
          </cell>
          <cell r="AT2005" t="str">
            <v>AC</v>
          </cell>
          <cell r="AU2005" t="str">
            <v>Airconditioner</v>
          </cell>
          <cell r="AV2005" t="str">
            <v>ACMV</v>
          </cell>
          <cell r="AW2005" t="str">
            <v>Multi V</v>
          </cell>
          <cell r="AX2005" t="str">
            <v>ACMVID</v>
          </cell>
          <cell r="AY2005" t="str">
            <v>Multi V I/D</v>
          </cell>
          <cell r="AZ2005" t="str">
            <v>ACMVIDMS</v>
          </cell>
          <cell r="BA2005" t="str">
            <v>Multi V_I/D_Wall Mounted</v>
          </cell>
        </row>
        <row r="2006">
          <cell r="E2006" t="str">
            <v>ARNU07GTUB4.ANWBASE</v>
          </cell>
          <cell r="F2006">
            <v>3</v>
          </cell>
          <cell r="G2006">
            <v>0</v>
          </cell>
          <cell r="H2006">
            <v>0</v>
          </cell>
          <cell r="I2006">
            <v>10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 t="str">
            <v>CAC</v>
          </cell>
          <cell r="AH2006" t="str">
            <v>CAC</v>
          </cell>
          <cell r="AI2006" t="str">
            <v/>
          </cell>
          <cell r="AJ2006" t="str">
            <v/>
          </cell>
          <cell r="AK2006" t="str">
            <v>0.152523</v>
          </cell>
          <cell r="AL2006" t="str">
            <v>2</v>
          </cell>
          <cell r="AM2006" t="str">
            <v>Q</v>
          </cell>
          <cell r="AN2006" t="str">
            <v>M0</v>
          </cell>
          <cell r="AO2006" t="str">
            <v>Active(Model)</v>
          </cell>
          <cell r="AP2006" t="str">
            <v/>
          </cell>
          <cell r="AQ2006" t="str">
            <v/>
          </cell>
          <cell r="AR2006" t="str">
            <v>Y</v>
          </cell>
          <cell r="AS2006" t="str">
            <v/>
          </cell>
          <cell r="AT2006" t="str">
            <v>AC</v>
          </cell>
          <cell r="AU2006" t="str">
            <v>Airconditioner</v>
          </cell>
          <cell r="AV2006" t="str">
            <v>ACMV</v>
          </cell>
          <cell r="AW2006" t="str">
            <v>Multi V</v>
          </cell>
          <cell r="AX2006" t="str">
            <v>ACMVID</v>
          </cell>
          <cell r="AY2006" t="str">
            <v>Multi V I/D</v>
          </cell>
          <cell r="AZ2006" t="str">
            <v>ACMVIDMC</v>
          </cell>
          <cell r="BA2006" t="str">
            <v>Multi V_I/D_Cassette</v>
          </cell>
        </row>
        <row r="2007">
          <cell r="E2007" t="str">
            <v>ARNU09GM1A4.ANCSASE</v>
          </cell>
          <cell r="F2007">
            <v>7</v>
          </cell>
          <cell r="G2007">
            <v>0</v>
          </cell>
          <cell r="H2007">
            <v>0</v>
          </cell>
          <cell r="I2007">
            <v>11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0</v>
          </cell>
          <cell r="AG2007" t="str">
            <v/>
          </cell>
          <cell r="AH2007" t="str">
            <v/>
          </cell>
          <cell r="AI2007" t="str">
            <v/>
          </cell>
          <cell r="AJ2007" t="str">
            <v/>
          </cell>
          <cell r="AK2007" t="str">
            <v>0.287401</v>
          </cell>
          <cell r="AL2007" t="str">
            <v>0</v>
          </cell>
          <cell r="AM2007" t="str">
            <v>Q</v>
          </cell>
          <cell r="AN2007" t="str">
            <v>M0</v>
          </cell>
          <cell r="AO2007" t="str">
            <v>Active(Model)</v>
          </cell>
          <cell r="AP2007" t="str">
            <v/>
          </cell>
          <cell r="AQ2007" t="str">
            <v/>
          </cell>
          <cell r="AR2007" t="str">
            <v>Y</v>
          </cell>
          <cell r="AS2007" t="str">
            <v/>
          </cell>
          <cell r="AT2007" t="str">
            <v>AC</v>
          </cell>
          <cell r="AU2007" t="str">
            <v>Airconditioner</v>
          </cell>
          <cell r="AV2007" t="str">
            <v>ACMV</v>
          </cell>
          <cell r="AW2007" t="str">
            <v>Multi V</v>
          </cell>
          <cell r="AX2007" t="str">
            <v>ACMVID</v>
          </cell>
          <cell r="AY2007" t="str">
            <v>Multi V I/D</v>
          </cell>
          <cell r="AZ2007" t="str">
            <v>ACMVIDMD</v>
          </cell>
          <cell r="BA2007" t="str">
            <v>Multi V_I/D_Duct</v>
          </cell>
        </row>
        <row r="2008">
          <cell r="E2008" t="str">
            <v>ARNU09GSJN4.AMBBASE</v>
          </cell>
          <cell r="F2008">
            <v>1</v>
          </cell>
          <cell r="G2008">
            <v>0</v>
          </cell>
          <cell r="H2008">
            <v>0</v>
          </cell>
          <cell r="I2008">
            <v>6</v>
          </cell>
          <cell r="J2008">
            <v>4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 t="str">
            <v>CAC</v>
          </cell>
          <cell r="AH2008" t="str">
            <v>CAC</v>
          </cell>
          <cell r="AI2008" t="str">
            <v/>
          </cell>
          <cell r="AJ2008" t="str">
            <v/>
          </cell>
          <cell r="AK2008" t="str">
            <v>0.084623</v>
          </cell>
          <cell r="AL2008" t="str">
            <v>2</v>
          </cell>
          <cell r="AM2008" t="str">
            <v>Q</v>
          </cell>
          <cell r="AN2008" t="str">
            <v>M0</v>
          </cell>
          <cell r="AO2008" t="str">
            <v>Active(Model)</v>
          </cell>
          <cell r="AP2008" t="str">
            <v/>
          </cell>
          <cell r="AQ2008" t="str">
            <v/>
          </cell>
          <cell r="AR2008" t="str">
            <v>Y</v>
          </cell>
          <cell r="AS2008" t="str">
            <v/>
          </cell>
          <cell r="AT2008" t="str">
            <v>AC</v>
          </cell>
          <cell r="AU2008" t="str">
            <v>Airconditioner</v>
          </cell>
          <cell r="AV2008" t="str">
            <v>ACMV</v>
          </cell>
          <cell r="AW2008" t="str">
            <v>Multi V</v>
          </cell>
          <cell r="AX2008" t="str">
            <v>ACMVID</v>
          </cell>
          <cell r="AY2008" t="str">
            <v>Multi V I/D</v>
          </cell>
          <cell r="AZ2008" t="str">
            <v>ACMVIDMS</v>
          </cell>
          <cell r="BA2008" t="str">
            <v>Multi V_I/D_Wall Mounted</v>
          </cell>
        </row>
        <row r="2009">
          <cell r="E2009" t="str">
            <v>ARNU09GTRB4.ANWBASE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 t="str">
            <v>CAC</v>
          </cell>
          <cell r="AH2009" t="str">
            <v>CAC</v>
          </cell>
          <cell r="AI2009" t="str">
            <v/>
          </cell>
          <cell r="AJ2009" t="str">
            <v/>
          </cell>
          <cell r="AK2009" t="str">
            <v>0.122801</v>
          </cell>
          <cell r="AL2009" t="str">
            <v>2</v>
          </cell>
          <cell r="AM2009" t="str">
            <v>Q</v>
          </cell>
          <cell r="AN2009" t="str">
            <v>M0</v>
          </cell>
          <cell r="AO2009" t="str">
            <v>Active(Model)</v>
          </cell>
          <cell r="AP2009" t="str">
            <v/>
          </cell>
          <cell r="AQ2009" t="str">
            <v/>
          </cell>
          <cell r="AR2009" t="str">
            <v>Y</v>
          </cell>
          <cell r="AS2009" t="str">
            <v/>
          </cell>
          <cell r="AT2009" t="str">
            <v>AC</v>
          </cell>
          <cell r="AU2009" t="str">
            <v>Airconditioner</v>
          </cell>
          <cell r="AV2009" t="str">
            <v>ACMV</v>
          </cell>
          <cell r="AW2009" t="str">
            <v>Multi V</v>
          </cell>
          <cell r="AX2009" t="str">
            <v>ACMVID</v>
          </cell>
          <cell r="AY2009" t="str">
            <v>Multi V I/D</v>
          </cell>
          <cell r="AZ2009" t="str">
            <v>ACMVIDMC</v>
          </cell>
          <cell r="BA2009" t="str">
            <v>Multi V_I/D_Cassette</v>
          </cell>
        </row>
        <row r="2010">
          <cell r="E2010" t="str">
            <v>ARNU09GTUB4.ANWBASE</v>
          </cell>
          <cell r="F2010">
            <v>3</v>
          </cell>
          <cell r="G2010">
            <v>0</v>
          </cell>
          <cell r="H2010">
            <v>0</v>
          </cell>
          <cell r="I2010">
            <v>49</v>
          </cell>
          <cell r="J2010">
            <v>0</v>
          </cell>
          <cell r="K2010">
            <v>0</v>
          </cell>
          <cell r="L2010">
            <v>1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 t="str">
            <v>CAC</v>
          </cell>
          <cell r="AH2010" t="str">
            <v>CAC</v>
          </cell>
          <cell r="AI2010" t="str">
            <v/>
          </cell>
          <cell r="AJ2010" t="str">
            <v/>
          </cell>
          <cell r="AK2010" t="str">
            <v>0.152523</v>
          </cell>
          <cell r="AL2010" t="str">
            <v>2</v>
          </cell>
          <cell r="AM2010" t="str">
            <v>Q</v>
          </cell>
          <cell r="AN2010" t="str">
            <v>M0</v>
          </cell>
          <cell r="AO2010" t="str">
            <v>Active(Model)</v>
          </cell>
          <cell r="AP2010" t="str">
            <v/>
          </cell>
          <cell r="AQ2010" t="str">
            <v/>
          </cell>
          <cell r="AR2010" t="str">
            <v>Y</v>
          </cell>
          <cell r="AS2010" t="str">
            <v/>
          </cell>
          <cell r="AT2010" t="str">
            <v>AC</v>
          </cell>
          <cell r="AU2010" t="str">
            <v>Airconditioner</v>
          </cell>
          <cell r="AV2010" t="str">
            <v>ACMV</v>
          </cell>
          <cell r="AW2010" t="str">
            <v>Multi V</v>
          </cell>
          <cell r="AX2010" t="str">
            <v>ACMVID</v>
          </cell>
          <cell r="AY2010" t="str">
            <v>Multi V I/D</v>
          </cell>
          <cell r="AZ2010" t="str">
            <v>ACMVIDMC</v>
          </cell>
          <cell r="BA2010" t="str">
            <v>Multi V_I/D_Cassette</v>
          </cell>
        </row>
        <row r="2011">
          <cell r="E2011" t="str">
            <v>ARNU12GL2G4.ANCBASE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 t="str">
            <v>CAC</v>
          </cell>
          <cell r="AH2011" t="str">
            <v>CAC</v>
          </cell>
          <cell r="AI2011" t="str">
            <v/>
          </cell>
          <cell r="AJ2011" t="str">
            <v/>
          </cell>
          <cell r="AK2011" t="str">
            <v>0.211503</v>
          </cell>
          <cell r="AL2011" t="str">
            <v>2</v>
          </cell>
          <cell r="AM2011" t="str">
            <v>Q</v>
          </cell>
          <cell r="AN2011" t="str">
            <v>M0</v>
          </cell>
          <cell r="AO2011" t="str">
            <v>Active(Model)</v>
          </cell>
          <cell r="AP2011" t="str">
            <v/>
          </cell>
          <cell r="AQ2011" t="str">
            <v/>
          </cell>
          <cell r="AR2011" t="str">
            <v>Y</v>
          </cell>
          <cell r="AS2011" t="str">
            <v/>
          </cell>
          <cell r="AT2011" t="str">
            <v>AC</v>
          </cell>
          <cell r="AU2011" t="str">
            <v>Airconditioner</v>
          </cell>
          <cell r="AV2011" t="str">
            <v>ACMV</v>
          </cell>
          <cell r="AW2011" t="str">
            <v>Multi V</v>
          </cell>
          <cell r="AX2011" t="str">
            <v>ACMVID</v>
          </cell>
          <cell r="AY2011" t="str">
            <v>Multi V I/D</v>
          </cell>
          <cell r="AZ2011" t="str">
            <v>ACMVIDMD</v>
          </cell>
          <cell r="BA2011" t="str">
            <v>Multi V_I/D_Duct</v>
          </cell>
        </row>
        <row r="2012">
          <cell r="E2012" t="str">
            <v>ARNU12GM1A4.ANCSASE</v>
          </cell>
          <cell r="F2012">
            <v>2</v>
          </cell>
          <cell r="G2012">
            <v>0</v>
          </cell>
          <cell r="H2012">
            <v>0</v>
          </cell>
          <cell r="I2012">
            <v>2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 t="str">
            <v/>
          </cell>
          <cell r="AH2012" t="str">
            <v/>
          </cell>
          <cell r="AI2012" t="str">
            <v/>
          </cell>
          <cell r="AJ2012" t="str">
            <v/>
          </cell>
          <cell r="AK2012" t="str">
            <v>0.287401</v>
          </cell>
          <cell r="AL2012" t="str">
            <v>0</v>
          </cell>
          <cell r="AM2012" t="str">
            <v>Q</v>
          </cell>
          <cell r="AN2012" t="str">
            <v>M0</v>
          </cell>
          <cell r="AO2012" t="str">
            <v>Active(Model)</v>
          </cell>
          <cell r="AP2012" t="str">
            <v/>
          </cell>
          <cell r="AQ2012" t="str">
            <v/>
          </cell>
          <cell r="AR2012" t="str">
            <v>Y</v>
          </cell>
          <cell r="AS2012" t="str">
            <v/>
          </cell>
          <cell r="AT2012" t="str">
            <v>AC</v>
          </cell>
          <cell r="AU2012" t="str">
            <v>Airconditioner</v>
          </cell>
          <cell r="AV2012" t="str">
            <v>ACMV</v>
          </cell>
          <cell r="AW2012" t="str">
            <v>Multi V</v>
          </cell>
          <cell r="AX2012" t="str">
            <v>ACMVID</v>
          </cell>
          <cell r="AY2012" t="str">
            <v>Multi V I/D</v>
          </cell>
          <cell r="AZ2012" t="str">
            <v>ACMVIDMD</v>
          </cell>
          <cell r="BA2012" t="str">
            <v>Multi V_I/D_Duct</v>
          </cell>
        </row>
        <row r="2013">
          <cell r="E2013" t="str">
            <v>ARNU12GSJN4.AMBBASE</v>
          </cell>
          <cell r="F2013">
            <v>15</v>
          </cell>
          <cell r="G2013">
            <v>0</v>
          </cell>
          <cell r="H2013">
            <v>0</v>
          </cell>
          <cell r="I2013">
            <v>17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0</v>
          </cell>
          <cell r="AG2013" t="str">
            <v>CAC</v>
          </cell>
          <cell r="AH2013" t="str">
            <v>CAC</v>
          </cell>
          <cell r="AI2013" t="str">
            <v/>
          </cell>
          <cell r="AJ2013" t="str">
            <v/>
          </cell>
          <cell r="AK2013" t="str">
            <v>0.084623</v>
          </cell>
          <cell r="AL2013" t="str">
            <v>2</v>
          </cell>
          <cell r="AM2013" t="str">
            <v>Q</v>
          </cell>
          <cell r="AN2013" t="str">
            <v>M0</v>
          </cell>
          <cell r="AO2013" t="str">
            <v>Active(Model)</v>
          </cell>
          <cell r="AP2013" t="str">
            <v/>
          </cell>
          <cell r="AQ2013" t="str">
            <v/>
          </cell>
          <cell r="AR2013" t="str">
            <v>Y</v>
          </cell>
          <cell r="AS2013" t="str">
            <v/>
          </cell>
          <cell r="AT2013" t="str">
            <v>AC</v>
          </cell>
          <cell r="AU2013" t="str">
            <v>Airconditioner</v>
          </cell>
          <cell r="AV2013" t="str">
            <v>ACMV</v>
          </cell>
          <cell r="AW2013" t="str">
            <v>Multi V</v>
          </cell>
          <cell r="AX2013" t="str">
            <v>ACMVID</v>
          </cell>
          <cell r="AY2013" t="str">
            <v>Multi V I/D</v>
          </cell>
          <cell r="AZ2013" t="str">
            <v>ACMVIDMS</v>
          </cell>
          <cell r="BA2013" t="str">
            <v>Multi V_I/D_Wall Mounted</v>
          </cell>
        </row>
        <row r="2014">
          <cell r="E2014" t="str">
            <v>ARNU12GTRB4.ANWBASE</v>
          </cell>
          <cell r="F2014">
            <v>11</v>
          </cell>
          <cell r="G2014">
            <v>0</v>
          </cell>
          <cell r="H2014">
            <v>0</v>
          </cell>
          <cell r="I2014">
            <v>11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0</v>
          </cell>
          <cell r="AG2014" t="str">
            <v>CAC</v>
          </cell>
          <cell r="AH2014" t="str">
            <v>CAC</v>
          </cell>
          <cell r="AI2014" t="str">
            <v/>
          </cell>
          <cell r="AJ2014" t="str">
            <v/>
          </cell>
          <cell r="AK2014" t="str">
            <v>0.122801</v>
          </cell>
          <cell r="AL2014" t="str">
            <v>2</v>
          </cell>
          <cell r="AM2014" t="str">
            <v>Q</v>
          </cell>
          <cell r="AN2014" t="str">
            <v>M0</v>
          </cell>
          <cell r="AO2014" t="str">
            <v>Active(Model)</v>
          </cell>
          <cell r="AP2014" t="str">
            <v/>
          </cell>
          <cell r="AQ2014" t="str">
            <v/>
          </cell>
          <cell r="AR2014" t="str">
            <v>Y</v>
          </cell>
          <cell r="AS2014" t="str">
            <v/>
          </cell>
          <cell r="AT2014" t="str">
            <v>AC</v>
          </cell>
          <cell r="AU2014" t="str">
            <v>Airconditioner</v>
          </cell>
          <cell r="AV2014" t="str">
            <v>ACMV</v>
          </cell>
          <cell r="AW2014" t="str">
            <v>Multi V</v>
          </cell>
          <cell r="AX2014" t="str">
            <v>ACMVID</v>
          </cell>
          <cell r="AY2014" t="str">
            <v>Multi V I/D</v>
          </cell>
          <cell r="AZ2014" t="str">
            <v>ACMVIDMC</v>
          </cell>
          <cell r="BA2014" t="str">
            <v>Multi V_I/D_Cassette</v>
          </cell>
        </row>
        <row r="2015">
          <cell r="E2015" t="str">
            <v>ARNU12GTSA4.ANWBASE</v>
          </cell>
          <cell r="F2015">
            <v>1</v>
          </cell>
          <cell r="G2015">
            <v>0</v>
          </cell>
          <cell r="H2015">
            <v>0</v>
          </cell>
          <cell r="I2015">
            <v>1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  <cell r="AF2015">
            <v>0</v>
          </cell>
          <cell r="AG2015" t="str">
            <v>CAC</v>
          </cell>
          <cell r="AH2015" t="str">
            <v>CAC</v>
          </cell>
          <cell r="AI2015" t="str">
            <v/>
          </cell>
          <cell r="AJ2015" t="str">
            <v/>
          </cell>
          <cell r="AK2015" t="str">
            <v>0.182686</v>
          </cell>
          <cell r="AL2015" t="str">
            <v>2</v>
          </cell>
          <cell r="AM2015" t="str">
            <v>Q</v>
          </cell>
          <cell r="AN2015" t="str">
            <v>M0</v>
          </cell>
          <cell r="AO2015" t="str">
            <v>Active(Model)</v>
          </cell>
          <cell r="AP2015" t="str">
            <v/>
          </cell>
          <cell r="AQ2015" t="str">
            <v/>
          </cell>
          <cell r="AR2015" t="str">
            <v>Y</v>
          </cell>
          <cell r="AS2015" t="str">
            <v/>
          </cell>
          <cell r="AT2015" t="str">
            <v>AC</v>
          </cell>
          <cell r="AU2015" t="str">
            <v>Airconditioner</v>
          </cell>
          <cell r="AV2015" t="str">
            <v>ACMV</v>
          </cell>
          <cell r="AW2015" t="str">
            <v>Multi V</v>
          </cell>
          <cell r="AX2015" t="str">
            <v>ACMVID</v>
          </cell>
          <cell r="AY2015" t="str">
            <v>Multi V I/D</v>
          </cell>
          <cell r="AZ2015" t="str">
            <v>ACMVIDMC</v>
          </cell>
          <cell r="BA2015" t="str">
            <v>Multi V_I/D_Cassette</v>
          </cell>
        </row>
        <row r="2016">
          <cell r="E2016" t="str">
            <v>ARNU12GTUB4.ANWBASE</v>
          </cell>
          <cell r="F2016">
            <v>6</v>
          </cell>
          <cell r="G2016">
            <v>0</v>
          </cell>
          <cell r="H2016">
            <v>0</v>
          </cell>
          <cell r="I2016">
            <v>156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 t="str">
            <v>CAC</v>
          </cell>
          <cell r="AH2016" t="str">
            <v>CAC</v>
          </cell>
          <cell r="AI2016" t="str">
            <v/>
          </cell>
          <cell r="AJ2016" t="str">
            <v/>
          </cell>
          <cell r="AK2016" t="str">
            <v>0.152523</v>
          </cell>
          <cell r="AL2016" t="str">
            <v>2</v>
          </cell>
          <cell r="AM2016" t="str">
            <v>Q</v>
          </cell>
          <cell r="AN2016" t="str">
            <v>M0</v>
          </cell>
          <cell r="AO2016" t="str">
            <v>Active(Model)</v>
          </cell>
          <cell r="AP2016" t="str">
            <v/>
          </cell>
          <cell r="AQ2016" t="str">
            <v/>
          </cell>
          <cell r="AR2016" t="str">
            <v>Y</v>
          </cell>
          <cell r="AS2016" t="str">
            <v/>
          </cell>
          <cell r="AT2016" t="str">
            <v>AC</v>
          </cell>
          <cell r="AU2016" t="str">
            <v>Airconditioner</v>
          </cell>
          <cell r="AV2016" t="str">
            <v>ACMV</v>
          </cell>
          <cell r="AW2016" t="str">
            <v>Multi V</v>
          </cell>
          <cell r="AX2016" t="str">
            <v>ACMVID</v>
          </cell>
          <cell r="AY2016" t="str">
            <v>Multi V I/D</v>
          </cell>
          <cell r="AZ2016" t="str">
            <v>ACMVIDMC</v>
          </cell>
          <cell r="BA2016" t="str">
            <v>Multi V_I/D_Cassette</v>
          </cell>
        </row>
        <row r="2017">
          <cell r="E2017" t="str">
            <v>ARNU15GM1A4.ANCSASE</v>
          </cell>
          <cell r="F2017">
            <v>61</v>
          </cell>
          <cell r="G2017">
            <v>0</v>
          </cell>
          <cell r="H2017">
            <v>0</v>
          </cell>
          <cell r="I2017">
            <v>69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 t="str">
            <v/>
          </cell>
          <cell r="AH2017" t="str">
            <v/>
          </cell>
          <cell r="AI2017" t="str">
            <v/>
          </cell>
          <cell r="AJ2017" t="str">
            <v/>
          </cell>
          <cell r="AK2017" t="str">
            <v>0.287401</v>
          </cell>
          <cell r="AL2017" t="str">
            <v>0</v>
          </cell>
          <cell r="AM2017" t="str">
            <v>Q</v>
          </cell>
          <cell r="AN2017" t="str">
            <v>M0</v>
          </cell>
          <cell r="AO2017" t="str">
            <v>Active(Model)</v>
          </cell>
          <cell r="AP2017" t="str">
            <v/>
          </cell>
          <cell r="AQ2017" t="str">
            <v/>
          </cell>
          <cell r="AR2017" t="str">
            <v>Y</v>
          </cell>
          <cell r="AS2017" t="str">
            <v/>
          </cell>
          <cell r="AT2017" t="str">
            <v>AC</v>
          </cell>
          <cell r="AU2017" t="str">
            <v>Airconditioner</v>
          </cell>
          <cell r="AV2017" t="str">
            <v>ACMV</v>
          </cell>
          <cell r="AW2017" t="str">
            <v>Multi V</v>
          </cell>
          <cell r="AX2017" t="str">
            <v>ACMVID</v>
          </cell>
          <cell r="AY2017" t="str">
            <v>Multi V I/D</v>
          </cell>
          <cell r="AZ2017" t="str">
            <v>ACMVIDMD</v>
          </cell>
          <cell r="BA2017" t="str">
            <v>Multi V_I/D_Duct</v>
          </cell>
        </row>
        <row r="2018">
          <cell r="E2018" t="str">
            <v>ARNU15GSJN4.AMBBASE</v>
          </cell>
          <cell r="F2018">
            <v>8</v>
          </cell>
          <cell r="G2018">
            <v>0</v>
          </cell>
          <cell r="H2018">
            <v>0</v>
          </cell>
          <cell r="I2018">
            <v>8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 t="str">
            <v>CAC</v>
          </cell>
          <cell r="AH2018" t="str">
            <v>CAC</v>
          </cell>
          <cell r="AI2018" t="str">
            <v/>
          </cell>
          <cell r="AJ2018" t="str">
            <v/>
          </cell>
          <cell r="AK2018" t="str">
            <v>0.084623</v>
          </cell>
          <cell r="AL2018" t="str">
            <v>2</v>
          </cell>
          <cell r="AM2018" t="str">
            <v>Q</v>
          </cell>
          <cell r="AN2018" t="str">
            <v>M0</v>
          </cell>
          <cell r="AO2018" t="str">
            <v>Active(Model)</v>
          </cell>
          <cell r="AP2018" t="str">
            <v/>
          </cell>
          <cell r="AQ2018" t="str">
            <v/>
          </cell>
          <cell r="AR2018" t="str">
            <v>Y</v>
          </cell>
          <cell r="AS2018" t="str">
            <v/>
          </cell>
          <cell r="AT2018" t="str">
            <v>AC</v>
          </cell>
          <cell r="AU2018" t="str">
            <v>Airconditioner</v>
          </cell>
          <cell r="AV2018" t="str">
            <v>ACMV</v>
          </cell>
          <cell r="AW2018" t="str">
            <v>Multi V</v>
          </cell>
          <cell r="AX2018" t="str">
            <v>ACMVID</v>
          </cell>
          <cell r="AY2018" t="str">
            <v>Multi V I/D</v>
          </cell>
          <cell r="AZ2018" t="str">
            <v>ACMVIDMS</v>
          </cell>
          <cell r="BA2018" t="str">
            <v>Multi V_I/D_Wall Mounted</v>
          </cell>
        </row>
        <row r="2019">
          <cell r="E2019" t="str">
            <v>ARNU15GTQB4.ANWBASE</v>
          </cell>
          <cell r="F2019">
            <v>0</v>
          </cell>
          <cell r="G2019">
            <v>0</v>
          </cell>
          <cell r="H2019">
            <v>0</v>
          </cell>
          <cell r="I2019">
            <v>2</v>
          </cell>
          <cell r="J2019">
            <v>0</v>
          </cell>
          <cell r="K2019">
            <v>0</v>
          </cell>
          <cell r="L2019">
            <v>2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0</v>
          </cell>
          <cell r="AG2019" t="str">
            <v>CAC</v>
          </cell>
          <cell r="AH2019" t="str">
            <v>CAC</v>
          </cell>
          <cell r="AI2019" t="str">
            <v/>
          </cell>
          <cell r="AJ2019" t="str">
            <v/>
          </cell>
          <cell r="AK2019" t="str">
            <v>0.140898</v>
          </cell>
          <cell r="AL2019" t="str">
            <v>2</v>
          </cell>
          <cell r="AM2019" t="str">
            <v>Q</v>
          </cell>
          <cell r="AN2019" t="str">
            <v>M0</v>
          </cell>
          <cell r="AO2019" t="str">
            <v>Active(Model)</v>
          </cell>
          <cell r="AP2019" t="str">
            <v/>
          </cell>
          <cell r="AQ2019" t="str">
            <v/>
          </cell>
          <cell r="AR2019" t="str">
            <v>Y</v>
          </cell>
          <cell r="AS2019" t="str">
            <v/>
          </cell>
          <cell r="AT2019" t="str">
            <v>AC</v>
          </cell>
          <cell r="AU2019" t="str">
            <v>Airconditioner</v>
          </cell>
          <cell r="AV2019" t="str">
            <v>ACMV</v>
          </cell>
          <cell r="AW2019" t="str">
            <v>Multi V</v>
          </cell>
          <cell r="AX2019" t="str">
            <v>ACMVID</v>
          </cell>
          <cell r="AY2019" t="str">
            <v>Multi V I/D</v>
          </cell>
          <cell r="AZ2019" t="str">
            <v>ACMVIDMC</v>
          </cell>
          <cell r="BA2019" t="str">
            <v>Multi V_I/D_Cassette</v>
          </cell>
        </row>
        <row r="2020">
          <cell r="E2020" t="str">
            <v>ARNU18GL2G4.ANCBASE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  <cell r="AF2020">
            <v>0</v>
          </cell>
          <cell r="AG2020" t="str">
            <v>CAC</v>
          </cell>
          <cell r="AH2020" t="str">
            <v>CAC</v>
          </cell>
          <cell r="AI2020" t="str">
            <v/>
          </cell>
          <cell r="AJ2020" t="str">
            <v/>
          </cell>
          <cell r="AK2020" t="str">
            <v>0.211503</v>
          </cell>
          <cell r="AL2020" t="str">
            <v>2</v>
          </cell>
          <cell r="AM2020" t="str">
            <v>Q</v>
          </cell>
          <cell r="AN2020" t="str">
            <v>M0</v>
          </cell>
          <cell r="AO2020" t="str">
            <v>Active(Model)</v>
          </cell>
          <cell r="AP2020" t="str">
            <v/>
          </cell>
          <cell r="AQ2020" t="str">
            <v/>
          </cell>
          <cell r="AR2020" t="str">
            <v>Y</v>
          </cell>
          <cell r="AS2020" t="str">
            <v/>
          </cell>
          <cell r="AT2020" t="str">
            <v>AC</v>
          </cell>
          <cell r="AU2020" t="str">
            <v>Airconditioner</v>
          </cell>
          <cell r="AV2020" t="str">
            <v>ACMV</v>
          </cell>
          <cell r="AW2020" t="str">
            <v>Multi V</v>
          </cell>
          <cell r="AX2020" t="str">
            <v>ACMVID</v>
          </cell>
          <cell r="AY2020" t="str">
            <v>Multi V I/D</v>
          </cell>
          <cell r="AZ2020" t="str">
            <v>ACMVIDMD</v>
          </cell>
          <cell r="BA2020" t="str">
            <v>Multi V_I/D_Duct</v>
          </cell>
        </row>
        <row r="2021">
          <cell r="E2021" t="str">
            <v>ARNU18GM1A4.ANCSASE</v>
          </cell>
          <cell r="F2021">
            <v>6</v>
          </cell>
          <cell r="G2021">
            <v>0</v>
          </cell>
          <cell r="H2021">
            <v>0</v>
          </cell>
          <cell r="I2021">
            <v>16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 t="str">
            <v/>
          </cell>
          <cell r="AH2021" t="str">
            <v/>
          </cell>
          <cell r="AI2021" t="str">
            <v/>
          </cell>
          <cell r="AJ2021" t="str">
            <v/>
          </cell>
          <cell r="AK2021" t="str">
            <v>0.287401</v>
          </cell>
          <cell r="AL2021" t="str">
            <v>0</v>
          </cell>
          <cell r="AM2021" t="str">
            <v>Q</v>
          </cell>
          <cell r="AN2021" t="str">
            <v>M0</v>
          </cell>
          <cell r="AO2021" t="str">
            <v>Active(Model)</v>
          </cell>
          <cell r="AP2021" t="str">
            <v/>
          </cell>
          <cell r="AQ2021" t="str">
            <v/>
          </cell>
          <cell r="AR2021" t="str">
            <v>Y</v>
          </cell>
          <cell r="AS2021" t="str">
            <v/>
          </cell>
          <cell r="AT2021" t="str">
            <v>AC</v>
          </cell>
          <cell r="AU2021" t="str">
            <v>Airconditioner</v>
          </cell>
          <cell r="AV2021" t="str">
            <v>ACMV</v>
          </cell>
          <cell r="AW2021" t="str">
            <v>Multi V</v>
          </cell>
          <cell r="AX2021" t="str">
            <v>ACMVID</v>
          </cell>
          <cell r="AY2021" t="str">
            <v>Multi V I/D</v>
          </cell>
          <cell r="AZ2021" t="str">
            <v>ACMVIDMD</v>
          </cell>
          <cell r="BA2021" t="str">
            <v>Multi V_I/D_Duct</v>
          </cell>
        </row>
        <row r="2022">
          <cell r="E2022" t="str">
            <v>ARNU18GSKN4.AMBBASE</v>
          </cell>
          <cell r="F2022">
            <v>2</v>
          </cell>
          <cell r="G2022">
            <v>0</v>
          </cell>
          <cell r="H2022">
            <v>0</v>
          </cell>
          <cell r="I2022">
            <v>2</v>
          </cell>
          <cell r="J2022">
            <v>1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0</v>
          </cell>
          <cell r="AG2022" t="str">
            <v>CAC</v>
          </cell>
          <cell r="AH2022" t="str">
            <v>CAC</v>
          </cell>
          <cell r="AI2022" t="str">
            <v/>
          </cell>
          <cell r="AJ2022" t="str">
            <v/>
          </cell>
          <cell r="AK2022" t="str">
            <v>0.122330</v>
          </cell>
          <cell r="AL2022" t="str">
            <v>2</v>
          </cell>
          <cell r="AM2022" t="str">
            <v>Q</v>
          </cell>
          <cell r="AN2022" t="str">
            <v>M0</v>
          </cell>
          <cell r="AO2022" t="str">
            <v>Active(Model)</v>
          </cell>
          <cell r="AP2022" t="str">
            <v/>
          </cell>
          <cell r="AQ2022" t="str">
            <v/>
          </cell>
          <cell r="AR2022" t="str">
            <v>Y</v>
          </cell>
          <cell r="AS2022" t="str">
            <v/>
          </cell>
          <cell r="AT2022" t="str">
            <v>AC</v>
          </cell>
          <cell r="AU2022" t="str">
            <v>Airconditioner</v>
          </cell>
          <cell r="AV2022" t="str">
            <v>ACMV</v>
          </cell>
          <cell r="AW2022" t="str">
            <v>Multi V</v>
          </cell>
          <cell r="AX2022" t="str">
            <v>ACMVID</v>
          </cell>
          <cell r="AY2022" t="str">
            <v>Multi V I/D</v>
          </cell>
          <cell r="AZ2022" t="str">
            <v>ACMVIDMS</v>
          </cell>
          <cell r="BA2022" t="str">
            <v>Multi V_I/D_Wall Mounted</v>
          </cell>
        </row>
        <row r="2023">
          <cell r="E2023" t="str">
            <v>ARNU18GTQB4.ANWBASE</v>
          </cell>
          <cell r="F2023">
            <v>2</v>
          </cell>
          <cell r="G2023">
            <v>0</v>
          </cell>
          <cell r="H2023">
            <v>0</v>
          </cell>
          <cell r="I2023">
            <v>2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0</v>
          </cell>
          <cell r="AG2023" t="str">
            <v>CAC</v>
          </cell>
          <cell r="AH2023" t="str">
            <v>CAC</v>
          </cell>
          <cell r="AI2023" t="str">
            <v/>
          </cell>
          <cell r="AJ2023" t="str">
            <v/>
          </cell>
          <cell r="AK2023" t="str">
            <v>0.140898</v>
          </cell>
          <cell r="AL2023" t="str">
            <v>2</v>
          </cell>
          <cell r="AM2023" t="str">
            <v>Q</v>
          </cell>
          <cell r="AN2023" t="str">
            <v>M0</v>
          </cell>
          <cell r="AO2023" t="str">
            <v>Active(Model)</v>
          </cell>
          <cell r="AP2023" t="str">
            <v/>
          </cell>
          <cell r="AQ2023" t="str">
            <v/>
          </cell>
          <cell r="AR2023" t="str">
            <v>Y</v>
          </cell>
          <cell r="AS2023" t="str">
            <v/>
          </cell>
          <cell r="AT2023" t="str">
            <v>AC</v>
          </cell>
          <cell r="AU2023" t="str">
            <v>Airconditioner</v>
          </cell>
          <cell r="AV2023" t="str">
            <v>ACMV</v>
          </cell>
          <cell r="AW2023" t="str">
            <v>Multi V</v>
          </cell>
          <cell r="AX2023" t="str">
            <v>ACMVID</v>
          </cell>
          <cell r="AY2023" t="str">
            <v>Multi V I/D</v>
          </cell>
          <cell r="AZ2023" t="str">
            <v>ACMVIDMC</v>
          </cell>
          <cell r="BA2023" t="str">
            <v>Multi V_I/D_Cassette</v>
          </cell>
        </row>
        <row r="2024">
          <cell r="E2024" t="str">
            <v>ARNU18GTSA4.ANWBASE</v>
          </cell>
          <cell r="F2024">
            <v>18</v>
          </cell>
          <cell r="G2024">
            <v>0</v>
          </cell>
          <cell r="H2024">
            <v>0</v>
          </cell>
          <cell r="I2024">
            <v>18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  <cell r="AF2024">
            <v>0</v>
          </cell>
          <cell r="AG2024" t="str">
            <v>CAC</v>
          </cell>
          <cell r="AH2024" t="str">
            <v>CAC</v>
          </cell>
          <cell r="AI2024" t="str">
            <v/>
          </cell>
          <cell r="AJ2024" t="str">
            <v/>
          </cell>
          <cell r="AK2024" t="str">
            <v>0.208658</v>
          </cell>
          <cell r="AL2024" t="str">
            <v>2</v>
          </cell>
          <cell r="AM2024" t="str">
            <v>Q</v>
          </cell>
          <cell r="AN2024" t="str">
            <v>M0</v>
          </cell>
          <cell r="AO2024" t="str">
            <v>Active(Model)</v>
          </cell>
          <cell r="AP2024" t="str">
            <v/>
          </cell>
          <cell r="AQ2024" t="str">
            <v/>
          </cell>
          <cell r="AR2024" t="str">
            <v>Y</v>
          </cell>
          <cell r="AS2024" t="str">
            <v/>
          </cell>
          <cell r="AT2024" t="str">
            <v>AC</v>
          </cell>
          <cell r="AU2024" t="str">
            <v>Airconditioner</v>
          </cell>
          <cell r="AV2024" t="str">
            <v>ACMV</v>
          </cell>
          <cell r="AW2024" t="str">
            <v>Multi V</v>
          </cell>
          <cell r="AX2024" t="str">
            <v>ACMVID</v>
          </cell>
          <cell r="AY2024" t="str">
            <v>Multi V I/D</v>
          </cell>
          <cell r="AZ2024" t="str">
            <v>ACMVIDMC</v>
          </cell>
          <cell r="BA2024" t="str">
            <v>Multi V_I/D_Cassette</v>
          </cell>
        </row>
        <row r="2025">
          <cell r="E2025" t="str">
            <v>ARNU18GTTB4.ANWBASE</v>
          </cell>
          <cell r="F2025">
            <v>0</v>
          </cell>
          <cell r="G2025">
            <v>0</v>
          </cell>
          <cell r="H2025">
            <v>0</v>
          </cell>
          <cell r="I2025">
            <v>87</v>
          </cell>
          <cell r="J2025">
            <v>0</v>
          </cell>
          <cell r="K2025">
            <v>0</v>
          </cell>
          <cell r="L2025">
            <v>1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0</v>
          </cell>
          <cell r="AG2025" t="str">
            <v>CAC</v>
          </cell>
          <cell r="AH2025" t="str">
            <v>CAC</v>
          </cell>
          <cell r="AI2025" t="str">
            <v/>
          </cell>
          <cell r="AJ2025" t="str">
            <v/>
          </cell>
          <cell r="AK2025" t="str">
            <v>0.195907</v>
          </cell>
          <cell r="AL2025" t="str">
            <v>2</v>
          </cell>
          <cell r="AM2025" t="str">
            <v>Q</v>
          </cell>
          <cell r="AN2025" t="str">
            <v>M0</v>
          </cell>
          <cell r="AO2025" t="str">
            <v>Active(Model)</v>
          </cell>
          <cell r="AP2025" t="str">
            <v/>
          </cell>
          <cell r="AQ2025" t="str">
            <v/>
          </cell>
          <cell r="AR2025" t="str">
            <v>Y</v>
          </cell>
          <cell r="AS2025" t="str">
            <v/>
          </cell>
          <cell r="AT2025" t="str">
            <v>AC</v>
          </cell>
          <cell r="AU2025" t="str">
            <v>Airconditioner</v>
          </cell>
          <cell r="AV2025" t="str">
            <v>ACMV</v>
          </cell>
          <cell r="AW2025" t="str">
            <v>Multi V</v>
          </cell>
          <cell r="AX2025" t="str">
            <v>ACMVID</v>
          </cell>
          <cell r="AY2025" t="str">
            <v>Multi V I/D</v>
          </cell>
          <cell r="AZ2025" t="str">
            <v>ACMVIDMC</v>
          </cell>
          <cell r="BA2025" t="str">
            <v>Multi V_I/D_Cassette</v>
          </cell>
        </row>
        <row r="2026">
          <cell r="E2026" t="str">
            <v>ARNU21GTQB4.ANWBASE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 t="str">
            <v>CAC</v>
          </cell>
          <cell r="AH2026" t="str">
            <v>CAC</v>
          </cell>
          <cell r="AI2026" t="str">
            <v/>
          </cell>
          <cell r="AJ2026" t="str">
            <v/>
          </cell>
          <cell r="AK2026" t="str">
            <v>0.140898</v>
          </cell>
          <cell r="AL2026" t="str">
            <v>2</v>
          </cell>
          <cell r="AM2026" t="str">
            <v>Q</v>
          </cell>
          <cell r="AN2026" t="str">
            <v>M0</v>
          </cell>
          <cell r="AO2026" t="str">
            <v>Active(Model)</v>
          </cell>
          <cell r="AP2026" t="str">
            <v/>
          </cell>
          <cell r="AQ2026" t="str">
            <v/>
          </cell>
          <cell r="AR2026" t="str">
            <v>Y</v>
          </cell>
          <cell r="AS2026" t="str">
            <v/>
          </cell>
          <cell r="AT2026" t="str">
            <v>AC</v>
          </cell>
          <cell r="AU2026" t="str">
            <v>Airconditioner</v>
          </cell>
          <cell r="AV2026" t="str">
            <v>ACMV</v>
          </cell>
          <cell r="AW2026" t="str">
            <v>Multi V</v>
          </cell>
          <cell r="AX2026" t="str">
            <v>ACMVID</v>
          </cell>
          <cell r="AY2026" t="str">
            <v>Multi V I/D</v>
          </cell>
          <cell r="AZ2026" t="str">
            <v>ACMVIDMC</v>
          </cell>
          <cell r="BA2026" t="str">
            <v>Multi V_I/D_Cassette</v>
          </cell>
        </row>
        <row r="2027">
          <cell r="E2027" t="str">
            <v>ARNU24GM1A4.ANCSASE</v>
          </cell>
          <cell r="F2027">
            <v>6</v>
          </cell>
          <cell r="G2027">
            <v>0</v>
          </cell>
          <cell r="H2027">
            <v>0</v>
          </cell>
          <cell r="I2027">
            <v>12</v>
          </cell>
          <cell r="J2027">
            <v>2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 t="str">
            <v/>
          </cell>
          <cell r="AH2027" t="str">
            <v/>
          </cell>
          <cell r="AI2027" t="str">
            <v/>
          </cell>
          <cell r="AJ2027" t="str">
            <v/>
          </cell>
          <cell r="AK2027" t="str">
            <v>0.287401</v>
          </cell>
          <cell r="AL2027" t="str">
            <v>0</v>
          </cell>
          <cell r="AM2027" t="str">
            <v>Q</v>
          </cell>
          <cell r="AN2027" t="str">
            <v>M0</v>
          </cell>
          <cell r="AO2027" t="str">
            <v>Active(Model)</v>
          </cell>
          <cell r="AP2027" t="str">
            <v/>
          </cell>
          <cell r="AQ2027" t="str">
            <v/>
          </cell>
          <cell r="AR2027" t="str">
            <v>Y</v>
          </cell>
          <cell r="AS2027" t="str">
            <v/>
          </cell>
          <cell r="AT2027" t="str">
            <v>AC</v>
          </cell>
          <cell r="AU2027" t="str">
            <v>Airconditioner</v>
          </cell>
          <cell r="AV2027" t="str">
            <v>ACMV</v>
          </cell>
          <cell r="AW2027" t="str">
            <v>Multi V</v>
          </cell>
          <cell r="AX2027" t="str">
            <v>ACMVID</v>
          </cell>
          <cell r="AY2027" t="str">
            <v>Multi V I/D</v>
          </cell>
          <cell r="AZ2027" t="str">
            <v>ACMVIDMD</v>
          </cell>
          <cell r="BA2027" t="str">
            <v>Multi V_I/D_Duct</v>
          </cell>
        </row>
        <row r="2028">
          <cell r="E2028" t="str">
            <v>ARNU24GSKN4.AMBBASE</v>
          </cell>
          <cell r="F2028">
            <v>0</v>
          </cell>
          <cell r="G2028">
            <v>0</v>
          </cell>
          <cell r="H2028">
            <v>0</v>
          </cell>
          <cell r="I2028">
            <v>20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0</v>
          </cell>
          <cell r="AG2028" t="str">
            <v>CAC</v>
          </cell>
          <cell r="AH2028" t="str">
            <v>CAC</v>
          </cell>
          <cell r="AI2028" t="str">
            <v/>
          </cell>
          <cell r="AJ2028" t="str">
            <v/>
          </cell>
          <cell r="AK2028" t="str">
            <v>0.122330</v>
          </cell>
          <cell r="AL2028" t="str">
            <v>2</v>
          </cell>
          <cell r="AM2028" t="str">
            <v>Q</v>
          </cell>
          <cell r="AN2028" t="str">
            <v>M0</v>
          </cell>
          <cell r="AO2028" t="str">
            <v>Active(Model)</v>
          </cell>
          <cell r="AP2028" t="str">
            <v/>
          </cell>
          <cell r="AQ2028" t="str">
            <v/>
          </cell>
          <cell r="AR2028" t="str">
            <v>Y</v>
          </cell>
          <cell r="AS2028" t="str">
            <v/>
          </cell>
          <cell r="AT2028" t="str">
            <v>AC</v>
          </cell>
          <cell r="AU2028" t="str">
            <v>Airconditioner</v>
          </cell>
          <cell r="AV2028" t="str">
            <v>ACMV</v>
          </cell>
          <cell r="AW2028" t="str">
            <v>Multi V</v>
          </cell>
          <cell r="AX2028" t="str">
            <v>ACMVID</v>
          </cell>
          <cell r="AY2028" t="str">
            <v>Multi V I/D</v>
          </cell>
          <cell r="AZ2028" t="str">
            <v>ACMVIDMS</v>
          </cell>
          <cell r="BA2028" t="str">
            <v>Multi V_I/D_Wall Mounted</v>
          </cell>
        </row>
        <row r="2029">
          <cell r="E2029" t="str">
            <v>ARNU24GTBB4.ENWBASE</v>
          </cell>
          <cell r="F2029">
            <v>2</v>
          </cell>
          <cell r="G2029">
            <v>0</v>
          </cell>
          <cell r="H2029">
            <v>0</v>
          </cell>
          <cell r="I2029">
            <v>4</v>
          </cell>
          <cell r="J2029">
            <v>0</v>
          </cell>
          <cell r="K2029">
            <v>0</v>
          </cell>
          <cell r="L2029">
            <v>2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0</v>
          </cell>
          <cell r="AG2029" t="str">
            <v/>
          </cell>
          <cell r="AH2029" t="str">
            <v/>
          </cell>
          <cell r="AI2029" t="str">
            <v/>
          </cell>
          <cell r="AJ2029" t="str">
            <v/>
          </cell>
          <cell r="AK2029" t="str">
            <v>0.233351</v>
          </cell>
          <cell r="AL2029" t="str">
            <v>2</v>
          </cell>
          <cell r="AM2029" t="str">
            <v>Q</v>
          </cell>
          <cell r="AN2029" t="str">
            <v>M0</v>
          </cell>
          <cell r="AO2029" t="str">
            <v>Active(Model)</v>
          </cell>
          <cell r="AP2029" t="str">
            <v/>
          </cell>
          <cell r="AQ2029" t="str">
            <v/>
          </cell>
          <cell r="AR2029" t="str">
            <v>Y</v>
          </cell>
          <cell r="AS2029" t="str">
            <v/>
          </cell>
          <cell r="AT2029" t="str">
            <v>AC</v>
          </cell>
          <cell r="AU2029" t="str">
            <v>Airconditioner</v>
          </cell>
          <cell r="AV2029" t="str">
            <v>ACMV</v>
          </cell>
          <cell r="AW2029" t="str">
            <v>Multi V</v>
          </cell>
          <cell r="AX2029" t="str">
            <v>ACMVID</v>
          </cell>
          <cell r="AY2029" t="str">
            <v>Multi V I/D</v>
          </cell>
          <cell r="AZ2029" t="str">
            <v>ACMVIDMC</v>
          </cell>
          <cell r="BA2029" t="str">
            <v>Multi V_I/D_Cassette</v>
          </cell>
        </row>
        <row r="2030">
          <cell r="E2030" t="str">
            <v>ARNU24GTPA4.ANWBASE</v>
          </cell>
          <cell r="F2030">
            <v>1</v>
          </cell>
          <cell r="G2030">
            <v>0</v>
          </cell>
          <cell r="H2030">
            <v>0</v>
          </cell>
          <cell r="I2030">
            <v>11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10</v>
          </cell>
          <cell r="AE2030">
            <v>0</v>
          </cell>
          <cell r="AF2030">
            <v>10</v>
          </cell>
          <cell r="AG2030" t="str">
            <v>CAC</v>
          </cell>
          <cell r="AH2030" t="str">
            <v>CAC</v>
          </cell>
          <cell r="AI2030" t="str">
            <v/>
          </cell>
          <cell r="AJ2030" t="str">
            <v/>
          </cell>
          <cell r="AK2030" t="str">
            <v>0.233351</v>
          </cell>
          <cell r="AL2030" t="str">
            <v>2</v>
          </cell>
          <cell r="AM2030" t="str">
            <v>Q</v>
          </cell>
          <cell r="AN2030" t="str">
            <v>M0</v>
          </cell>
          <cell r="AO2030" t="str">
            <v>Active(Model)</v>
          </cell>
          <cell r="AP2030" t="str">
            <v/>
          </cell>
          <cell r="AQ2030" t="str">
            <v/>
          </cell>
          <cell r="AR2030" t="str">
            <v>Y</v>
          </cell>
          <cell r="AS2030" t="str">
            <v/>
          </cell>
          <cell r="AT2030" t="str">
            <v>AC</v>
          </cell>
          <cell r="AU2030" t="str">
            <v>Airconditioner</v>
          </cell>
          <cell r="AV2030" t="str">
            <v>ACMV</v>
          </cell>
          <cell r="AW2030" t="str">
            <v>Multi V</v>
          </cell>
          <cell r="AX2030" t="str">
            <v>ACMVID</v>
          </cell>
          <cell r="AY2030" t="str">
            <v>Multi V I/D</v>
          </cell>
          <cell r="AZ2030" t="str">
            <v>ACMVIDMC</v>
          </cell>
          <cell r="BA2030" t="str">
            <v>Multi V_I/D_Cassette</v>
          </cell>
        </row>
        <row r="2031">
          <cell r="E2031" t="str">
            <v>ARNU24GTTB4.ANWBASE</v>
          </cell>
          <cell r="F2031">
            <v>6</v>
          </cell>
          <cell r="G2031">
            <v>0</v>
          </cell>
          <cell r="H2031">
            <v>0</v>
          </cell>
          <cell r="I2031">
            <v>67</v>
          </cell>
          <cell r="J2031">
            <v>0</v>
          </cell>
          <cell r="K2031">
            <v>0</v>
          </cell>
          <cell r="L2031">
            <v>2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1</v>
          </cell>
          <cell r="AE2031">
            <v>0</v>
          </cell>
          <cell r="AF2031">
            <v>1</v>
          </cell>
          <cell r="AG2031" t="str">
            <v>CAC</v>
          </cell>
          <cell r="AH2031" t="str">
            <v>CAC</v>
          </cell>
          <cell r="AI2031" t="str">
            <v/>
          </cell>
          <cell r="AJ2031" t="str">
            <v/>
          </cell>
          <cell r="AK2031" t="str">
            <v>0.195907</v>
          </cell>
          <cell r="AL2031" t="str">
            <v>2</v>
          </cell>
          <cell r="AM2031" t="str">
            <v>Q</v>
          </cell>
          <cell r="AN2031" t="str">
            <v>M0</v>
          </cell>
          <cell r="AO2031" t="str">
            <v>Active(Model)</v>
          </cell>
          <cell r="AP2031" t="str">
            <v/>
          </cell>
          <cell r="AQ2031" t="str">
            <v/>
          </cell>
          <cell r="AR2031" t="str">
            <v>Y</v>
          </cell>
          <cell r="AS2031" t="str">
            <v/>
          </cell>
          <cell r="AT2031" t="str">
            <v>AC</v>
          </cell>
          <cell r="AU2031" t="str">
            <v>Airconditioner</v>
          </cell>
          <cell r="AV2031" t="str">
            <v>ACMV</v>
          </cell>
          <cell r="AW2031" t="str">
            <v>Multi V</v>
          </cell>
          <cell r="AX2031" t="str">
            <v>ACMVID</v>
          </cell>
          <cell r="AY2031" t="str">
            <v>Multi V I/D</v>
          </cell>
          <cell r="AZ2031" t="str">
            <v>ACMVIDMC</v>
          </cell>
          <cell r="BA2031" t="str">
            <v>Multi V_I/D_Cassette</v>
          </cell>
        </row>
        <row r="2032">
          <cell r="E2032" t="str">
            <v>ARNU24GTYA4.ENCBASE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7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0</v>
          </cell>
          <cell r="AG2032" t="str">
            <v/>
          </cell>
          <cell r="AH2032" t="str">
            <v/>
          </cell>
          <cell r="AI2032" t="str">
            <v/>
          </cell>
          <cell r="AJ2032" t="str">
            <v/>
          </cell>
          <cell r="AK2032" t="str">
            <v>0.508398</v>
          </cell>
          <cell r="AL2032" t="str">
            <v>2</v>
          </cell>
          <cell r="AM2032" t="str">
            <v>Q</v>
          </cell>
          <cell r="AN2032" t="str">
            <v>M0</v>
          </cell>
          <cell r="AO2032" t="str">
            <v>Active(Model)</v>
          </cell>
          <cell r="AP2032" t="str">
            <v/>
          </cell>
          <cell r="AQ2032" t="str">
            <v/>
          </cell>
          <cell r="AR2032" t="str">
            <v>Y</v>
          </cell>
          <cell r="AS2032" t="str">
            <v/>
          </cell>
          <cell r="AT2032" t="str">
            <v>AC</v>
          </cell>
          <cell r="AU2032" t="str">
            <v>Airconditioner</v>
          </cell>
          <cell r="AV2032" t="str">
            <v>ACMV</v>
          </cell>
          <cell r="AW2032" t="str">
            <v>Multi V</v>
          </cell>
          <cell r="AX2032" t="str">
            <v>ACMVID</v>
          </cell>
          <cell r="AY2032" t="str">
            <v>Multi V I/D</v>
          </cell>
          <cell r="AZ2032" t="str">
            <v>ACMVIDMC</v>
          </cell>
          <cell r="BA2032" t="str">
            <v>Multi V_I/D_Cassette</v>
          </cell>
        </row>
        <row r="2033">
          <cell r="E2033" t="str">
            <v>ARNU28GM2A4.ANCSASE</v>
          </cell>
          <cell r="F2033">
            <v>6</v>
          </cell>
          <cell r="G2033">
            <v>0</v>
          </cell>
          <cell r="H2033">
            <v>0</v>
          </cell>
          <cell r="I2033">
            <v>6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  <cell r="AF2033">
            <v>0</v>
          </cell>
          <cell r="AG2033" t="str">
            <v/>
          </cell>
          <cell r="AH2033" t="str">
            <v/>
          </cell>
          <cell r="AI2033" t="str">
            <v/>
          </cell>
          <cell r="AJ2033" t="str">
            <v/>
          </cell>
          <cell r="AK2033" t="str">
            <v>0.378847</v>
          </cell>
          <cell r="AL2033" t="str">
            <v>0</v>
          </cell>
          <cell r="AM2033" t="str">
            <v>Q</v>
          </cell>
          <cell r="AN2033" t="str">
            <v>M0</v>
          </cell>
          <cell r="AO2033" t="str">
            <v>Active(Model)</v>
          </cell>
          <cell r="AP2033" t="str">
            <v/>
          </cell>
          <cell r="AQ2033" t="str">
            <v/>
          </cell>
          <cell r="AR2033" t="str">
            <v>Y</v>
          </cell>
          <cell r="AS2033" t="str">
            <v/>
          </cell>
          <cell r="AT2033" t="str">
            <v>AC</v>
          </cell>
          <cell r="AU2033" t="str">
            <v>Airconditioner</v>
          </cell>
          <cell r="AV2033" t="str">
            <v>ACMV</v>
          </cell>
          <cell r="AW2033" t="str">
            <v>Multi V</v>
          </cell>
          <cell r="AX2033" t="str">
            <v>ACMVID</v>
          </cell>
          <cell r="AY2033" t="str">
            <v>Multi V I/D</v>
          </cell>
          <cell r="AZ2033" t="str">
            <v>ACMVIDMD</v>
          </cell>
          <cell r="BA2033" t="str">
            <v>Multi V_I/D_Duct</v>
          </cell>
        </row>
        <row r="2034">
          <cell r="E2034" t="str">
            <v>ARNU28GTBB4.ENWBASE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  <cell r="K2034">
            <v>2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0</v>
          </cell>
          <cell r="AG2034" t="str">
            <v/>
          </cell>
          <cell r="AH2034" t="str">
            <v/>
          </cell>
          <cell r="AI2034" t="str">
            <v/>
          </cell>
          <cell r="AJ2034" t="str">
            <v/>
          </cell>
          <cell r="AK2034" t="str">
            <v>0.233351</v>
          </cell>
          <cell r="AL2034" t="str">
            <v>2</v>
          </cell>
          <cell r="AM2034" t="str">
            <v>Q</v>
          </cell>
          <cell r="AN2034" t="str">
            <v>M0</v>
          </cell>
          <cell r="AO2034" t="str">
            <v>Active(Model)</v>
          </cell>
          <cell r="AP2034" t="str">
            <v/>
          </cell>
          <cell r="AQ2034" t="str">
            <v/>
          </cell>
          <cell r="AR2034" t="str">
            <v>Y</v>
          </cell>
          <cell r="AS2034" t="str">
            <v/>
          </cell>
          <cell r="AT2034" t="str">
            <v>AC</v>
          </cell>
          <cell r="AU2034" t="str">
            <v>Airconditioner</v>
          </cell>
          <cell r="AV2034" t="str">
            <v>ACMV</v>
          </cell>
          <cell r="AW2034" t="str">
            <v>Multi V</v>
          </cell>
          <cell r="AX2034" t="str">
            <v>ACMVID</v>
          </cell>
          <cell r="AY2034" t="str">
            <v>Multi V I/D</v>
          </cell>
          <cell r="AZ2034" t="str">
            <v>ACMVIDMC</v>
          </cell>
          <cell r="BA2034" t="str">
            <v>Multi V_I/D_Cassette</v>
          </cell>
        </row>
        <row r="2035">
          <cell r="E2035" t="str">
            <v>ARNU28GTPA4.ANWBASE</v>
          </cell>
          <cell r="F2035">
            <v>0</v>
          </cell>
          <cell r="G2035">
            <v>0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0</v>
          </cell>
          <cell r="AG2035" t="str">
            <v>CAC</v>
          </cell>
          <cell r="AH2035" t="str">
            <v>CAC</v>
          </cell>
          <cell r="AI2035" t="str">
            <v/>
          </cell>
          <cell r="AJ2035" t="str">
            <v/>
          </cell>
          <cell r="AK2035" t="str">
            <v>0.233351</v>
          </cell>
          <cell r="AL2035" t="str">
            <v>2</v>
          </cell>
          <cell r="AM2035" t="str">
            <v>Q</v>
          </cell>
          <cell r="AN2035" t="str">
            <v>M0</v>
          </cell>
          <cell r="AO2035" t="str">
            <v>Active(Model)</v>
          </cell>
          <cell r="AP2035" t="str">
            <v/>
          </cell>
          <cell r="AQ2035" t="str">
            <v/>
          </cell>
          <cell r="AR2035" t="str">
            <v>Y</v>
          </cell>
          <cell r="AS2035" t="str">
            <v/>
          </cell>
          <cell r="AT2035" t="str">
            <v>AC</v>
          </cell>
          <cell r="AU2035" t="str">
            <v>Airconditioner</v>
          </cell>
          <cell r="AV2035" t="str">
            <v>ACMV</v>
          </cell>
          <cell r="AW2035" t="str">
            <v>Multi V</v>
          </cell>
          <cell r="AX2035" t="str">
            <v>ACMVID</v>
          </cell>
          <cell r="AY2035" t="str">
            <v>Multi V I/D</v>
          </cell>
          <cell r="AZ2035" t="str">
            <v>ACMVIDMC</v>
          </cell>
          <cell r="BA2035" t="str">
            <v>Multi V_I/D_Cassette</v>
          </cell>
        </row>
        <row r="2036">
          <cell r="E2036" t="str">
            <v>ARNU30GTBB4.ENWBASE</v>
          </cell>
          <cell r="F2036">
            <v>2</v>
          </cell>
          <cell r="G2036">
            <v>0</v>
          </cell>
          <cell r="H2036">
            <v>0</v>
          </cell>
          <cell r="I2036">
            <v>9</v>
          </cell>
          <cell r="J2036">
            <v>0</v>
          </cell>
          <cell r="K2036">
            <v>0</v>
          </cell>
          <cell r="L2036">
            <v>7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0</v>
          </cell>
          <cell r="AG2036" t="str">
            <v/>
          </cell>
          <cell r="AH2036" t="str">
            <v/>
          </cell>
          <cell r="AI2036" t="str">
            <v/>
          </cell>
          <cell r="AJ2036" t="str">
            <v/>
          </cell>
          <cell r="AK2036" t="str">
            <v>0.233351</v>
          </cell>
          <cell r="AL2036" t="str">
            <v>2</v>
          </cell>
          <cell r="AM2036" t="str">
            <v>Q</v>
          </cell>
          <cell r="AN2036" t="str">
            <v>M0</v>
          </cell>
          <cell r="AO2036" t="str">
            <v>Active(Model)</v>
          </cell>
          <cell r="AP2036" t="str">
            <v/>
          </cell>
          <cell r="AQ2036" t="str">
            <v/>
          </cell>
          <cell r="AR2036" t="str">
            <v>Y</v>
          </cell>
          <cell r="AS2036" t="str">
            <v/>
          </cell>
          <cell r="AT2036" t="str">
            <v>AC</v>
          </cell>
          <cell r="AU2036" t="str">
            <v>Airconditioner</v>
          </cell>
          <cell r="AV2036" t="str">
            <v>ACMV</v>
          </cell>
          <cell r="AW2036" t="str">
            <v>Multi V</v>
          </cell>
          <cell r="AX2036" t="str">
            <v>ACMVID</v>
          </cell>
          <cell r="AY2036" t="str">
            <v>Multi V I/D</v>
          </cell>
          <cell r="AZ2036" t="str">
            <v>ACMVIDMC</v>
          </cell>
          <cell r="BA2036" t="str">
            <v>Multi V_I/D_Cassette</v>
          </cell>
        </row>
        <row r="2037">
          <cell r="E2037" t="str">
            <v>ARNU36GM2A4.ANCSASE</v>
          </cell>
          <cell r="F2037">
            <v>41</v>
          </cell>
          <cell r="G2037">
            <v>0</v>
          </cell>
          <cell r="H2037">
            <v>0</v>
          </cell>
          <cell r="I2037">
            <v>52</v>
          </cell>
          <cell r="J2037">
            <v>0</v>
          </cell>
          <cell r="K2037">
            <v>0</v>
          </cell>
          <cell r="L2037">
            <v>1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0</v>
          </cell>
          <cell r="AG2037" t="str">
            <v/>
          </cell>
          <cell r="AH2037" t="str">
            <v/>
          </cell>
          <cell r="AI2037" t="str">
            <v/>
          </cell>
          <cell r="AJ2037" t="str">
            <v/>
          </cell>
          <cell r="AK2037" t="str">
            <v>0.378847</v>
          </cell>
          <cell r="AL2037" t="str">
            <v>0</v>
          </cell>
          <cell r="AM2037" t="str">
            <v>Q</v>
          </cell>
          <cell r="AN2037" t="str">
            <v>M0</v>
          </cell>
          <cell r="AO2037" t="str">
            <v>Active(Model)</v>
          </cell>
          <cell r="AP2037" t="str">
            <v/>
          </cell>
          <cell r="AQ2037" t="str">
            <v/>
          </cell>
          <cell r="AR2037" t="str">
            <v>Y</v>
          </cell>
          <cell r="AS2037" t="str">
            <v/>
          </cell>
          <cell r="AT2037" t="str">
            <v>AC</v>
          </cell>
          <cell r="AU2037" t="str">
            <v>Airconditioner</v>
          </cell>
          <cell r="AV2037" t="str">
            <v>ACMV</v>
          </cell>
          <cell r="AW2037" t="str">
            <v>Multi V</v>
          </cell>
          <cell r="AX2037" t="str">
            <v>ACMVID</v>
          </cell>
          <cell r="AY2037" t="str">
            <v>Multi V I/D</v>
          </cell>
          <cell r="AZ2037" t="str">
            <v>ACMVIDMD</v>
          </cell>
          <cell r="BA2037" t="str">
            <v>Multi V_I/D_Duct</v>
          </cell>
        </row>
        <row r="2038">
          <cell r="E2038" t="str">
            <v>ARNU36GTAB4.ENWBASE</v>
          </cell>
          <cell r="F2038">
            <v>6</v>
          </cell>
          <cell r="G2038">
            <v>0</v>
          </cell>
          <cell r="H2038">
            <v>0</v>
          </cell>
          <cell r="I2038">
            <v>14</v>
          </cell>
          <cell r="J2038">
            <v>0</v>
          </cell>
          <cell r="K2038">
            <v>0</v>
          </cell>
          <cell r="L2038">
            <v>8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0</v>
          </cell>
          <cell r="AG2038" t="str">
            <v/>
          </cell>
          <cell r="AH2038" t="str">
            <v/>
          </cell>
          <cell r="AI2038" t="str">
            <v/>
          </cell>
          <cell r="AJ2038" t="str">
            <v/>
          </cell>
          <cell r="AK2038" t="str">
            <v>0.304371</v>
          </cell>
          <cell r="AL2038" t="str">
            <v>2</v>
          </cell>
          <cell r="AM2038" t="str">
            <v>Q</v>
          </cell>
          <cell r="AN2038" t="str">
            <v>M0</v>
          </cell>
          <cell r="AO2038" t="str">
            <v>Active(Model)</v>
          </cell>
          <cell r="AP2038" t="str">
            <v/>
          </cell>
          <cell r="AQ2038" t="str">
            <v/>
          </cell>
          <cell r="AR2038" t="str">
            <v>Y</v>
          </cell>
          <cell r="AS2038" t="str">
            <v/>
          </cell>
          <cell r="AT2038" t="str">
            <v>AC</v>
          </cell>
          <cell r="AU2038" t="str">
            <v>Airconditioner</v>
          </cell>
          <cell r="AV2038" t="str">
            <v>ACMV</v>
          </cell>
          <cell r="AW2038" t="str">
            <v>Multi V</v>
          </cell>
          <cell r="AX2038" t="str">
            <v>ACMVID</v>
          </cell>
          <cell r="AY2038" t="str">
            <v>Multi V I/D</v>
          </cell>
          <cell r="AZ2038" t="str">
            <v>ACMVIDMC</v>
          </cell>
          <cell r="BA2038" t="str">
            <v>Multi V_I/D_Cassette</v>
          </cell>
        </row>
        <row r="2039">
          <cell r="E2039" t="str">
            <v>ARNU36GTNA4.ANWBASE</v>
          </cell>
          <cell r="F2039">
            <v>1</v>
          </cell>
          <cell r="G2039">
            <v>0</v>
          </cell>
          <cell r="H2039">
            <v>0</v>
          </cell>
          <cell r="I2039">
            <v>1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 t="str">
            <v>CAC</v>
          </cell>
          <cell r="AH2039" t="str">
            <v>CAC</v>
          </cell>
          <cell r="AI2039" t="str">
            <v/>
          </cell>
          <cell r="AJ2039" t="str">
            <v/>
          </cell>
          <cell r="AK2039" t="str">
            <v>0.268861</v>
          </cell>
          <cell r="AL2039" t="str">
            <v>2</v>
          </cell>
          <cell r="AM2039" t="str">
            <v>Q</v>
          </cell>
          <cell r="AN2039" t="str">
            <v>M0</v>
          </cell>
          <cell r="AO2039" t="str">
            <v>Active(Model)</v>
          </cell>
          <cell r="AP2039" t="str">
            <v/>
          </cell>
          <cell r="AQ2039" t="str">
            <v/>
          </cell>
          <cell r="AR2039" t="str">
            <v>Y</v>
          </cell>
          <cell r="AS2039" t="str">
            <v/>
          </cell>
          <cell r="AT2039" t="str">
            <v>AC</v>
          </cell>
          <cell r="AU2039" t="str">
            <v>Airconditioner</v>
          </cell>
          <cell r="AV2039" t="str">
            <v>ACMV</v>
          </cell>
          <cell r="AW2039" t="str">
            <v>Multi V</v>
          </cell>
          <cell r="AX2039" t="str">
            <v>ACMVID</v>
          </cell>
          <cell r="AY2039" t="str">
            <v>Multi V I/D</v>
          </cell>
          <cell r="AZ2039" t="str">
            <v>ACMVIDMC</v>
          </cell>
          <cell r="BA2039" t="str">
            <v>Multi V_I/D_Cassette</v>
          </cell>
        </row>
        <row r="2040">
          <cell r="E2040" t="str">
            <v>ARNU36GV2A4.ANWTASE</v>
          </cell>
          <cell r="F2040">
            <v>0</v>
          </cell>
          <cell r="G2040">
            <v>0</v>
          </cell>
          <cell r="H2040">
            <v>0</v>
          </cell>
          <cell r="I2040">
            <v>2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2</v>
          </cell>
          <cell r="AE2040">
            <v>0</v>
          </cell>
          <cell r="AF2040">
            <v>2</v>
          </cell>
          <cell r="AG2040" t="str">
            <v/>
          </cell>
          <cell r="AH2040" t="str">
            <v/>
          </cell>
          <cell r="AI2040" t="str">
            <v/>
          </cell>
          <cell r="AJ2040" t="str">
            <v/>
          </cell>
          <cell r="AK2040" t="str">
            <v>0.419702</v>
          </cell>
          <cell r="AL2040" t="str">
            <v>2</v>
          </cell>
          <cell r="AM2040" t="str">
            <v>Q</v>
          </cell>
          <cell r="AN2040" t="str">
            <v>M0</v>
          </cell>
          <cell r="AO2040" t="str">
            <v>Active(Model)</v>
          </cell>
          <cell r="AP2040" t="str">
            <v/>
          </cell>
          <cell r="AQ2040" t="str">
            <v/>
          </cell>
          <cell r="AR2040" t="str">
            <v>Y</v>
          </cell>
          <cell r="AS2040" t="str">
            <v/>
          </cell>
          <cell r="AT2040" t="str">
            <v>AC</v>
          </cell>
          <cell r="AU2040" t="str">
            <v>Airconditioner</v>
          </cell>
          <cell r="AV2040" t="str">
            <v>ACMV</v>
          </cell>
          <cell r="AW2040" t="str">
            <v>Multi V</v>
          </cell>
          <cell r="AX2040" t="str">
            <v>ACMVID</v>
          </cell>
          <cell r="AY2040" t="str">
            <v>Multi V I/D</v>
          </cell>
          <cell r="AZ2040" t="str">
            <v>ACMVIDMF</v>
          </cell>
          <cell r="BA2040" t="str">
            <v>Multi V_I/D_Convertible</v>
          </cell>
        </row>
        <row r="2041">
          <cell r="E2041" t="str">
            <v>ARNU42GM2A4.ANCSASE</v>
          </cell>
          <cell r="F2041">
            <v>0</v>
          </cell>
          <cell r="G2041">
            <v>0</v>
          </cell>
          <cell r="H2041">
            <v>0</v>
          </cell>
          <cell r="I2041">
            <v>12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 t="str">
            <v/>
          </cell>
          <cell r="AH2041" t="str">
            <v/>
          </cell>
          <cell r="AI2041" t="str">
            <v/>
          </cell>
          <cell r="AJ2041" t="str">
            <v/>
          </cell>
          <cell r="AK2041" t="str">
            <v>0.378847</v>
          </cell>
          <cell r="AL2041" t="str">
            <v>0</v>
          </cell>
          <cell r="AM2041" t="str">
            <v>Q</v>
          </cell>
          <cell r="AN2041" t="str">
            <v>M0</v>
          </cell>
          <cell r="AO2041" t="str">
            <v>Active(Model)</v>
          </cell>
          <cell r="AP2041" t="str">
            <v/>
          </cell>
          <cell r="AQ2041" t="str">
            <v/>
          </cell>
          <cell r="AR2041" t="str">
            <v>Y</v>
          </cell>
          <cell r="AS2041" t="str">
            <v/>
          </cell>
          <cell r="AT2041" t="str">
            <v>AC</v>
          </cell>
          <cell r="AU2041" t="str">
            <v>Airconditioner</v>
          </cell>
          <cell r="AV2041" t="str">
            <v>ACMV</v>
          </cell>
          <cell r="AW2041" t="str">
            <v>Multi V</v>
          </cell>
          <cell r="AX2041" t="str">
            <v>ACMVID</v>
          </cell>
          <cell r="AY2041" t="str">
            <v>Multi V I/D</v>
          </cell>
          <cell r="AZ2041" t="str">
            <v>ACMVIDMD</v>
          </cell>
          <cell r="BA2041" t="str">
            <v>Multi V_I/D_Duct</v>
          </cell>
        </row>
        <row r="2042">
          <cell r="E2042" t="str">
            <v>ARNU42GTAB4.ENWBASE</v>
          </cell>
          <cell r="F2042">
            <v>0</v>
          </cell>
          <cell r="G2042">
            <v>0</v>
          </cell>
          <cell r="H2042">
            <v>0</v>
          </cell>
          <cell r="I2042">
            <v>15</v>
          </cell>
          <cell r="J2042">
            <v>0</v>
          </cell>
          <cell r="K2042">
            <v>3</v>
          </cell>
          <cell r="L2042">
            <v>15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 t="str">
            <v/>
          </cell>
          <cell r="AH2042" t="str">
            <v/>
          </cell>
          <cell r="AI2042" t="str">
            <v/>
          </cell>
          <cell r="AJ2042" t="str">
            <v/>
          </cell>
          <cell r="AK2042" t="str">
            <v>0.304371</v>
          </cell>
          <cell r="AL2042" t="str">
            <v>2</v>
          </cell>
          <cell r="AM2042" t="str">
            <v>Q</v>
          </cell>
          <cell r="AN2042" t="str">
            <v>M0</v>
          </cell>
          <cell r="AO2042" t="str">
            <v>Active(Model)</v>
          </cell>
          <cell r="AP2042" t="str">
            <v/>
          </cell>
          <cell r="AQ2042" t="str">
            <v/>
          </cell>
          <cell r="AR2042" t="str">
            <v>Y</v>
          </cell>
          <cell r="AS2042" t="str">
            <v/>
          </cell>
          <cell r="AT2042" t="str">
            <v>AC</v>
          </cell>
          <cell r="AU2042" t="str">
            <v>Airconditioner</v>
          </cell>
          <cell r="AV2042" t="str">
            <v>ACMV</v>
          </cell>
          <cell r="AW2042" t="str">
            <v>Multi V</v>
          </cell>
          <cell r="AX2042" t="str">
            <v>ACMVID</v>
          </cell>
          <cell r="AY2042" t="str">
            <v>Multi V I/D</v>
          </cell>
          <cell r="AZ2042" t="str">
            <v>ACMVIDMC</v>
          </cell>
          <cell r="BA2042" t="str">
            <v>Multi V_I/D_Cassette</v>
          </cell>
        </row>
        <row r="2043">
          <cell r="E2043" t="str">
            <v>ARNU42GTMA4.ANWBASE</v>
          </cell>
          <cell r="F2043">
            <v>1</v>
          </cell>
          <cell r="G2043">
            <v>0</v>
          </cell>
          <cell r="H2043">
            <v>0</v>
          </cell>
          <cell r="I2043">
            <v>1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0</v>
          </cell>
          <cell r="AG2043" t="str">
            <v>CAC</v>
          </cell>
          <cell r="AH2043" t="str">
            <v>CAC</v>
          </cell>
          <cell r="AI2043" t="str">
            <v/>
          </cell>
          <cell r="AJ2043" t="str">
            <v/>
          </cell>
          <cell r="AK2043" t="str">
            <v>0.304371</v>
          </cell>
          <cell r="AL2043" t="str">
            <v>2</v>
          </cell>
          <cell r="AM2043" t="str">
            <v>Q</v>
          </cell>
          <cell r="AN2043" t="str">
            <v>M0</v>
          </cell>
          <cell r="AO2043" t="str">
            <v>Active(Model)</v>
          </cell>
          <cell r="AP2043" t="str">
            <v/>
          </cell>
          <cell r="AQ2043" t="str">
            <v/>
          </cell>
          <cell r="AR2043" t="str">
            <v>Y</v>
          </cell>
          <cell r="AS2043" t="str">
            <v/>
          </cell>
          <cell r="AT2043" t="str">
            <v>AC</v>
          </cell>
          <cell r="AU2043" t="str">
            <v>Airconditioner</v>
          </cell>
          <cell r="AV2043" t="str">
            <v>ACMV</v>
          </cell>
          <cell r="AW2043" t="str">
            <v>Multi V</v>
          </cell>
          <cell r="AX2043" t="str">
            <v>ACMVID</v>
          </cell>
          <cell r="AY2043" t="str">
            <v>Multi V I/D</v>
          </cell>
          <cell r="AZ2043" t="str">
            <v>ACMVIDMC</v>
          </cell>
          <cell r="BA2043" t="str">
            <v>Multi V_I/D_Cassette</v>
          </cell>
        </row>
        <row r="2044">
          <cell r="E2044" t="str">
            <v>ARNU48GM3A4.ANCSASE</v>
          </cell>
          <cell r="F2044">
            <v>25</v>
          </cell>
          <cell r="G2044">
            <v>0</v>
          </cell>
          <cell r="H2044">
            <v>0</v>
          </cell>
          <cell r="I2044">
            <v>48</v>
          </cell>
          <cell r="J2044">
            <v>0</v>
          </cell>
          <cell r="K2044">
            <v>0</v>
          </cell>
          <cell r="L2044">
            <v>2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0</v>
          </cell>
          <cell r="AG2044" t="str">
            <v/>
          </cell>
          <cell r="AH2044" t="str">
            <v/>
          </cell>
          <cell r="AI2044" t="str">
            <v/>
          </cell>
          <cell r="AJ2044" t="str">
            <v/>
          </cell>
          <cell r="AK2044" t="str">
            <v>0.479724</v>
          </cell>
          <cell r="AL2044" t="str">
            <v>0</v>
          </cell>
          <cell r="AM2044" t="str">
            <v>Q</v>
          </cell>
          <cell r="AN2044" t="str">
            <v>M0</v>
          </cell>
          <cell r="AO2044" t="str">
            <v>Active(Model)</v>
          </cell>
          <cell r="AP2044" t="str">
            <v/>
          </cell>
          <cell r="AQ2044" t="str">
            <v/>
          </cell>
          <cell r="AR2044" t="str">
            <v>Y</v>
          </cell>
          <cell r="AS2044" t="str">
            <v/>
          </cell>
          <cell r="AT2044" t="str">
            <v>AC</v>
          </cell>
          <cell r="AU2044" t="str">
            <v>Airconditioner</v>
          </cell>
          <cell r="AV2044" t="str">
            <v>ACMV</v>
          </cell>
          <cell r="AW2044" t="str">
            <v>Multi V</v>
          </cell>
          <cell r="AX2044" t="str">
            <v>ACMVID</v>
          </cell>
          <cell r="AY2044" t="str">
            <v>Multi V I/D</v>
          </cell>
          <cell r="AZ2044" t="str">
            <v>ACMVIDMD</v>
          </cell>
          <cell r="BA2044" t="str">
            <v>Multi V_I/D_Duct</v>
          </cell>
        </row>
        <row r="2045">
          <cell r="E2045" t="str">
            <v>ARNU48GM3Z4.ANCBASE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 t="str">
            <v/>
          </cell>
          <cell r="AH2045" t="str">
            <v/>
          </cell>
          <cell r="AI2045" t="str">
            <v/>
          </cell>
          <cell r="AJ2045" t="str">
            <v/>
          </cell>
          <cell r="AK2045" t="str">
            <v>0.479724</v>
          </cell>
          <cell r="AL2045" t="str">
            <v>0</v>
          </cell>
          <cell r="AM2045" t="str">
            <v>Q</v>
          </cell>
          <cell r="AN2045" t="str">
            <v>M0</v>
          </cell>
          <cell r="AO2045" t="str">
            <v>Active(Model)</v>
          </cell>
          <cell r="AP2045" t="str">
            <v/>
          </cell>
          <cell r="AQ2045" t="str">
            <v/>
          </cell>
          <cell r="AR2045" t="str">
            <v>Y</v>
          </cell>
          <cell r="AS2045" t="str">
            <v/>
          </cell>
          <cell r="AT2045" t="str">
            <v>AC</v>
          </cell>
          <cell r="AU2045" t="str">
            <v>Airconditioner</v>
          </cell>
          <cell r="AV2045" t="str">
            <v>ACMV</v>
          </cell>
          <cell r="AW2045" t="str">
            <v>Multi V</v>
          </cell>
          <cell r="AX2045" t="str">
            <v>ACMVID</v>
          </cell>
          <cell r="AY2045" t="str">
            <v>Multi V I/D</v>
          </cell>
          <cell r="AZ2045" t="str">
            <v>ACMVIDMD</v>
          </cell>
          <cell r="BA2045" t="str">
            <v>Multi V_I/D_Duct</v>
          </cell>
        </row>
        <row r="2046">
          <cell r="E2046" t="str">
            <v>ARNU48GPTA4.ENWSASE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0</v>
          </cell>
          <cell r="AG2046" t="str">
            <v/>
          </cell>
          <cell r="AH2046" t="str">
            <v/>
          </cell>
          <cell r="AI2046" t="str">
            <v/>
          </cell>
          <cell r="AJ2046" t="str">
            <v/>
          </cell>
          <cell r="AK2046" t="str">
            <v>0.710797</v>
          </cell>
          <cell r="AL2046" t="str">
            <v>0</v>
          </cell>
          <cell r="AM2046" t="str">
            <v>Q</v>
          </cell>
          <cell r="AN2046" t="str">
            <v>M0</v>
          </cell>
          <cell r="AO2046" t="str">
            <v>Active(Model)</v>
          </cell>
          <cell r="AP2046" t="str">
            <v/>
          </cell>
          <cell r="AQ2046" t="str">
            <v/>
          </cell>
          <cell r="AR2046" t="str">
            <v>Y</v>
          </cell>
          <cell r="AS2046" t="str">
            <v/>
          </cell>
          <cell r="AT2046" t="str">
            <v>AC</v>
          </cell>
          <cell r="AU2046" t="str">
            <v>Airconditioner</v>
          </cell>
          <cell r="AV2046" t="str">
            <v>ACMV</v>
          </cell>
          <cell r="AW2046" t="str">
            <v>Multi V</v>
          </cell>
          <cell r="AX2046" t="str">
            <v>ACMVID</v>
          </cell>
          <cell r="AY2046" t="str">
            <v>Multi V I/D</v>
          </cell>
          <cell r="AZ2046" t="str">
            <v>ACMVIDPA</v>
          </cell>
          <cell r="BA2046" t="str">
            <v>Multi V_I/D_PAC</v>
          </cell>
        </row>
        <row r="2047">
          <cell r="E2047" t="str">
            <v>ARNU48GTAB4.ENWBASE</v>
          </cell>
          <cell r="F2047">
            <v>0</v>
          </cell>
          <cell r="G2047">
            <v>0</v>
          </cell>
          <cell r="H2047">
            <v>0</v>
          </cell>
          <cell r="I2047">
            <v>2</v>
          </cell>
          <cell r="J2047">
            <v>0</v>
          </cell>
          <cell r="K2047">
            <v>15</v>
          </cell>
          <cell r="L2047">
            <v>2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  <cell r="AF2047">
            <v>0</v>
          </cell>
          <cell r="AG2047" t="str">
            <v/>
          </cell>
          <cell r="AH2047" t="str">
            <v/>
          </cell>
          <cell r="AI2047" t="str">
            <v/>
          </cell>
          <cell r="AJ2047" t="str">
            <v/>
          </cell>
          <cell r="AK2047" t="str">
            <v>0.304371</v>
          </cell>
          <cell r="AL2047" t="str">
            <v>2</v>
          </cell>
          <cell r="AM2047" t="str">
            <v>Q</v>
          </cell>
          <cell r="AN2047" t="str">
            <v>M0</v>
          </cell>
          <cell r="AO2047" t="str">
            <v>Active(Model)</v>
          </cell>
          <cell r="AP2047" t="str">
            <v/>
          </cell>
          <cell r="AQ2047" t="str">
            <v/>
          </cell>
          <cell r="AR2047" t="str">
            <v>Y</v>
          </cell>
          <cell r="AS2047" t="str">
            <v/>
          </cell>
          <cell r="AT2047" t="str">
            <v>AC</v>
          </cell>
          <cell r="AU2047" t="str">
            <v>Airconditioner</v>
          </cell>
          <cell r="AV2047" t="str">
            <v>ACMV</v>
          </cell>
          <cell r="AW2047" t="str">
            <v>Multi V</v>
          </cell>
          <cell r="AX2047" t="str">
            <v>ACMVID</v>
          </cell>
          <cell r="AY2047" t="str">
            <v>Multi V I/D</v>
          </cell>
          <cell r="AZ2047" t="str">
            <v>ACMVIDMC</v>
          </cell>
          <cell r="BA2047" t="str">
            <v>Multi V_I/D_Cassette</v>
          </cell>
        </row>
        <row r="2048">
          <cell r="E2048" t="str">
            <v>ARNU48GTYA4.ENCBASE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6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 t="str">
            <v/>
          </cell>
          <cell r="AH2048" t="str">
            <v/>
          </cell>
          <cell r="AI2048" t="str">
            <v/>
          </cell>
          <cell r="AJ2048" t="str">
            <v/>
          </cell>
          <cell r="AK2048" t="str">
            <v>0.508398</v>
          </cell>
          <cell r="AL2048" t="str">
            <v>2</v>
          </cell>
          <cell r="AM2048" t="str">
            <v>Q</v>
          </cell>
          <cell r="AN2048" t="str">
            <v>M0</v>
          </cell>
          <cell r="AO2048" t="str">
            <v>Active(Model)</v>
          </cell>
          <cell r="AP2048" t="str">
            <v/>
          </cell>
          <cell r="AQ2048" t="str">
            <v/>
          </cell>
          <cell r="AR2048" t="str">
            <v>Y</v>
          </cell>
          <cell r="AS2048" t="str">
            <v/>
          </cell>
          <cell r="AT2048" t="str">
            <v>AC</v>
          </cell>
          <cell r="AU2048" t="str">
            <v>Airconditioner</v>
          </cell>
          <cell r="AV2048" t="str">
            <v>ACMV</v>
          </cell>
          <cell r="AW2048" t="str">
            <v>Multi V</v>
          </cell>
          <cell r="AX2048" t="str">
            <v>ACMVID</v>
          </cell>
          <cell r="AY2048" t="str">
            <v>Multi V I/D</v>
          </cell>
          <cell r="AZ2048" t="str">
            <v>ACMVIDMC</v>
          </cell>
          <cell r="BA2048" t="str">
            <v>Multi V_I/D_Cassette</v>
          </cell>
        </row>
        <row r="2049">
          <cell r="E2049" t="str">
            <v>ARNU54GM3A4.ANCSASE</v>
          </cell>
          <cell r="F2049">
            <v>68</v>
          </cell>
          <cell r="G2049">
            <v>0</v>
          </cell>
          <cell r="H2049">
            <v>0</v>
          </cell>
          <cell r="I2049">
            <v>82</v>
          </cell>
          <cell r="J2049">
            <v>0</v>
          </cell>
          <cell r="K2049">
            <v>0</v>
          </cell>
          <cell r="L2049">
            <v>4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 t="str">
            <v/>
          </cell>
          <cell r="AH2049" t="str">
            <v/>
          </cell>
          <cell r="AI2049" t="str">
            <v/>
          </cell>
          <cell r="AJ2049" t="str">
            <v/>
          </cell>
          <cell r="AK2049" t="str">
            <v>0.479724</v>
          </cell>
          <cell r="AL2049" t="str">
            <v>0</v>
          </cell>
          <cell r="AM2049" t="str">
            <v>Q</v>
          </cell>
          <cell r="AN2049" t="str">
            <v>M0</v>
          </cell>
          <cell r="AO2049" t="str">
            <v>Active(Model)</v>
          </cell>
          <cell r="AP2049" t="str">
            <v/>
          </cell>
          <cell r="AQ2049" t="str">
            <v/>
          </cell>
          <cell r="AR2049" t="str">
            <v>Y</v>
          </cell>
          <cell r="AS2049" t="str">
            <v/>
          </cell>
          <cell r="AT2049" t="str">
            <v>AC</v>
          </cell>
          <cell r="AU2049" t="str">
            <v>Airconditioner</v>
          </cell>
          <cell r="AV2049" t="str">
            <v>ACMV</v>
          </cell>
          <cell r="AW2049" t="str">
            <v>Multi V</v>
          </cell>
          <cell r="AX2049" t="str">
            <v>ACMVID</v>
          </cell>
          <cell r="AY2049" t="str">
            <v>Multi V I/D</v>
          </cell>
          <cell r="AZ2049" t="str">
            <v>ACMVIDMD</v>
          </cell>
          <cell r="BA2049" t="str">
            <v>Multi V_I/D_Duct</v>
          </cell>
        </row>
        <row r="2050">
          <cell r="E2050" t="str">
            <v>ARNU54GMFA4.ENCTASE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0</v>
          </cell>
          <cell r="AG2050" t="str">
            <v/>
          </cell>
          <cell r="AH2050" t="str">
            <v/>
          </cell>
          <cell r="AI2050" t="str">
            <v/>
          </cell>
          <cell r="AJ2050" t="str">
            <v/>
          </cell>
          <cell r="AK2050" t="str">
            <v>0.453171</v>
          </cell>
          <cell r="AL2050" t="str">
            <v>0</v>
          </cell>
          <cell r="AM2050" t="str">
            <v>Q</v>
          </cell>
          <cell r="AN2050" t="str">
            <v>M0</v>
          </cell>
          <cell r="AO2050" t="str">
            <v>Active(Model)</v>
          </cell>
          <cell r="AP2050" t="str">
            <v/>
          </cell>
          <cell r="AQ2050" t="str">
            <v/>
          </cell>
          <cell r="AR2050" t="str">
            <v>Y</v>
          </cell>
          <cell r="AS2050" t="str">
            <v/>
          </cell>
          <cell r="AT2050" t="str">
            <v>AC</v>
          </cell>
          <cell r="AU2050" t="str">
            <v>Airconditioner</v>
          </cell>
          <cell r="AV2050" t="str">
            <v>ACMV</v>
          </cell>
          <cell r="AW2050" t="str">
            <v>Multi V</v>
          </cell>
          <cell r="AX2050" t="str">
            <v>ACMVID</v>
          </cell>
          <cell r="AY2050" t="str">
            <v>Multi V I/D</v>
          </cell>
          <cell r="AZ2050" t="str">
            <v>ACMVIDMD</v>
          </cell>
          <cell r="BA2050" t="str">
            <v>Multi V_I/D_Duct</v>
          </cell>
        </row>
        <row r="2051">
          <cell r="E2051" t="str">
            <v>ARNU54GTMA4.ANWBASE</v>
          </cell>
          <cell r="F2051">
            <v>1</v>
          </cell>
          <cell r="G2051">
            <v>0</v>
          </cell>
          <cell r="H2051">
            <v>0</v>
          </cell>
          <cell r="I2051">
            <v>8</v>
          </cell>
          <cell r="J2051">
            <v>6</v>
          </cell>
          <cell r="K2051">
            <v>0</v>
          </cell>
          <cell r="L2051">
            <v>7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 t="str">
            <v>CAC</v>
          </cell>
          <cell r="AH2051" t="str">
            <v>CAC</v>
          </cell>
          <cell r="AI2051" t="str">
            <v/>
          </cell>
          <cell r="AJ2051" t="str">
            <v/>
          </cell>
          <cell r="AK2051" t="str">
            <v>0.304371</v>
          </cell>
          <cell r="AL2051" t="str">
            <v>2</v>
          </cell>
          <cell r="AM2051" t="str">
            <v>Q</v>
          </cell>
          <cell r="AN2051" t="str">
            <v>M0</v>
          </cell>
          <cell r="AO2051" t="str">
            <v>Active(Model)</v>
          </cell>
          <cell r="AP2051" t="str">
            <v/>
          </cell>
          <cell r="AQ2051" t="str">
            <v/>
          </cell>
          <cell r="AR2051" t="str">
            <v>Y</v>
          </cell>
          <cell r="AS2051" t="str">
            <v/>
          </cell>
          <cell r="AT2051" t="str">
            <v>AC</v>
          </cell>
          <cell r="AU2051" t="str">
            <v>Airconditioner</v>
          </cell>
          <cell r="AV2051" t="str">
            <v>ACMV</v>
          </cell>
          <cell r="AW2051" t="str">
            <v>Multi V</v>
          </cell>
          <cell r="AX2051" t="str">
            <v>ACMVID</v>
          </cell>
          <cell r="AY2051" t="str">
            <v>Multi V I/D</v>
          </cell>
          <cell r="AZ2051" t="str">
            <v>ACMVIDMC</v>
          </cell>
          <cell r="BA2051" t="str">
            <v>Multi V_I/D_Cassette</v>
          </cell>
        </row>
        <row r="2052">
          <cell r="E2052" t="str">
            <v>ARNU76GB8A4.ANCSASE</v>
          </cell>
          <cell r="F2052">
            <v>4</v>
          </cell>
          <cell r="G2052">
            <v>0</v>
          </cell>
          <cell r="H2052">
            <v>0</v>
          </cell>
          <cell r="I2052">
            <v>4</v>
          </cell>
          <cell r="J2052">
            <v>4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 t="str">
            <v/>
          </cell>
          <cell r="AH2052" t="str">
            <v/>
          </cell>
          <cell r="AI2052" t="str">
            <v/>
          </cell>
          <cell r="AJ2052" t="str">
            <v/>
          </cell>
          <cell r="AK2052" t="str">
            <v>0.800103</v>
          </cell>
          <cell r="AL2052" t="str">
            <v>2</v>
          </cell>
          <cell r="AM2052" t="str">
            <v>Q</v>
          </cell>
          <cell r="AN2052" t="str">
            <v>M0</v>
          </cell>
          <cell r="AO2052" t="str">
            <v>Active(Model)</v>
          </cell>
          <cell r="AP2052" t="str">
            <v/>
          </cell>
          <cell r="AQ2052" t="str">
            <v/>
          </cell>
          <cell r="AR2052" t="str">
            <v>Y</v>
          </cell>
          <cell r="AS2052" t="str">
            <v/>
          </cell>
          <cell r="AT2052" t="str">
            <v>AC</v>
          </cell>
          <cell r="AU2052" t="str">
            <v>Airconditioner</v>
          </cell>
          <cell r="AV2052" t="str">
            <v>ACMV</v>
          </cell>
          <cell r="AW2052" t="str">
            <v>Multi V</v>
          </cell>
          <cell r="AX2052" t="str">
            <v>ACMVID</v>
          </cell>
          <cell r="AY2052" t="str">
            <v>Multi V I/D</v>
          </cell>
          <cell r="AZ2052" t="str">
            <v>ACMVIDMD</v>
          </cell>
          <cell r="BA2052" t="str">
            <v>Multi V_I/D_Duct</v>
          </cell>
        </row>
        <row r="2053">
          <cell r="E2053" t="str">
            <v>ARNU76GB8Z4.ANCSASE</v>
          </cell>
          <cell r="F2053">
            <v>0</v>
          </cell>
          <cell r="G2053">
            <v>0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0</v>
          </cell>
          <cell r="AG2053" t="str">
            <v/>
          </cell>
          <cell r="AH2053" t="str">
            <v/>
          </cell>
          <cell r="AI2053" t="str">
            <v/>
          </cell>
          <cell r="AJ2053" t="str">
            <v/>
          </cell>
          <cell r="AK2053" t="str">
            <v>0.800103</v>
          </cell>
          <cell r="AL2053" t="str">
            <v>0</v>
          </cell>
          <cell r="AM2053" t="str">
            <v>Q</v>
          </cell>
          <cell r="AN2053" t="str">
            <v>M0</v>
          </cell>
          <cell r="AO2053" t="str">
            <v>Active(Model)</v>
          </cell>
          <cell r="AP2053" t="str">
            <v/>
          </cell>
          <cell r="AQ2053" t="str">
            <v/>
          </cell>
          <cell r="AR2053" t="str">
            <v>Y</v>
          </cell>
          <cell r="AS2053" t="str">
            <v/>
          </cell>
          <cell r="AT2053" t="str">
            <v>AC</v>
          </cell>
          <cell r="AU2053" t="str">
            <v>Airconditioner</v>
          </cell>
          <cell r="AV2053" t="str">
            <v>ACMV</v>
          </cell>
          <cell r="AW2053" t="str">
            <v>Multi V</v>
          </cell>
          <cell r="AX2053" t="str">
            <v>ACMVID</v>
          </cell>
          <cell r="AY2053" t="str">
            <v>Multi V I/D</v>
          </cell>
          <cell r="AZ2053" t="str">
            <v>ACMVIDMD</v>
          </cell>
          <cell r="BA2053" t="str">
            <v>Multi V_I/D_Duct</v>
          </cell>
        </row>
        <row r="2054">
          <cell r="E2054" t="str">
            <v>ARNU96GB8A4.ANCSASE</v>
          </cell>
          <cell r="F2054">
            <v>9</v>
          </cell>
          <cell r="G2054">
            <v>0</v>
          </cell>
          <cell r="H2054">
            <v>0</v>
          </cell>
          <cell r="I2054">
            <v>9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0</v>
          </cell>
          <cell r="AG2054" t="str">
            <v/>
          </cell>
          <cell r="AH2054" t="str">
            <v/>
          </cell>
          <cell r="AI2054" t="str">
            <v/>
          </cell>
          <cell r="AJ2054" t="str">
            <v/>
          </cell>
          <cell r="AK2054" t="str">
            <v>0.800103</v>
          </cell>
          <cell r="AL2054" t="str">
            <v>2</v>
          </cell>
          <cell r="AM2054" t="str">
            <v>Q</v>
          </cell>
          <cell r="AN2054" t="str">
            <v>M0</v>
          </cell>
          <cell r="AO2054" t="str">
            <v>Active(Model)</v>
          </cell>
          <cell r="AP2054" t="str">
            <v/>
          </cell>
          <cell r="AQ2054" t="str">
            <v/>
          </cell>
          <cell r="AR2054" t="str">
            <v>Y</v>
          </cell>
          <cell r="AS2054" t="str">
            <v/>
          </cell>
          <cell r="AT2054" t="str">
            <v>AC</v>
          </cell>
          <cell r="AU2054" t="str">
            <v>Airconditioner</v>
          </cell>
          <cell r="AV2054" t="str">
            <v>ACMV</v>
          </cell>
          <cell r="AW2054" t="str">
            <v>Multi V</v>
          </cell>
          <cell r="AX2054" t="str">
            <v>ACMVID</v>
          </cell>
          <cell r="AY2054" t="str">
            <v>Multi V I/D</v>
          </cell>
          <cell r="AZ2054" t="str">
            <v>ACMVIDMD</v>
          </cell>
          <cell r="BA2054" t="str">
            <v>Multi V_I/D_Duct</v>
          </cell>
        </row>
        <row r="2055">
          <cell r="E2055" t="str">
            <v>ARUN040GSS5.EWGBASE</v>
          </cell>
          <cell r="F2055">
            <v>28</v>
          </cell>
          <cell r="G2055">
            <v>0</v>
          </cell>
          <cell r="H2055">
            <v>0</v>
          </cell>
          <cell r="I2055">
            <v>65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0</v>
          </cell>
          <cell r="AG2055" t="str">
            <v/>
          </cell>
          <cell r="AH2055" t="str">
            <v/>
          </cell>
          <cell r="AI2055" t="str">
            <v/>
          </cell>
          <cell r="AJ2055" t="str">
            <v/>
          </cell>
          <cell r="AK2055" t="str">
            <v>0.485937</v>
          </cell>
          <cell r="AL2055" t="str">
            <v>0</v>
          </cell>
          <cell r="AM2055" t="str">
            <v>Q</v>
          </cell>
          <cell r="AN2055" t="str">
            <v>M0</v>
          </cell>
          <cell r="AO2055" t="str">
            <v>Active(Model)</v>
          </cell>
          <cell r="AP2055" t="str">
            <v/>
          </cell>
          <cell r="AQ2055" t="str">
            <v/>
          </cell>
          <cell r="AR2055" t="str">
            <v>Y</v>
          </cell>
          <cell r="AS2055" t="str">
            <v/>
          </cell>
          <cell r="AT2055" t="str">
            <v>AC</v>
          </cell>
          <cell r="AU2055" t="str">
            <v>Airconditioner</v>
          </cell>
          <cell r="AV2055" t="str">
            <v>ACMV</v>
          </cell>
          <cell r="AW2055" t="str">
            <v>Multi V</v>
          </cell>
          <cell r="AX2055" t="str">
            <v>ACMVOD</v>
          </cell>
          <cell r="AY2055" t="str">
            <v>Multi V O/D</v>
          </cell>
          <cell r="AZ2055" t="str">
            <v>ACMVODMO</v>
          </cell>
          <cell r="BA2055" t="str">
            <v>Multi V_O/D_MINI (S)</v>
          </cell>
        </row>
        <row r="2056">
          <cell r="E2056" t="str">
            <v>ARUN050GSS5.EWGBASE</v>
          </cell>
          <cell r="F2056">
            <v>21</v>
          </cell>
          <cell r="G2056">
            <v>0</v>
          </cell>
          <cell r="H2056">
            <v>0</v>
          </cell>
          <cell r="I2056">
            <v>21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 t="str">
            <v/>
          </cell>
          <cell r="AH2056" t="str">
            <v/>
          </cell>
          <cell r="AI2056" t="str">
            <v/>
          </cell>
          <cell r="AJ2056" t="str">
            <v/>
          </cell>
          <cell r="AK2056" t="str">
            <v>0.485937</v>
          </cell>
          <cell r="AL2056" t="str">
            <v>0</v>
          </cell>
          <cell r="AM2056" t="str">
            <v>Q</v>
          </cell>
          <cell r="AN2056" t="str">
            <v>M0</v>
          </cell>
          <cell r="AO2056" t="str">
            <v>Active(Model)</v>
          </cell>
          <cell r="AP2056" t="str">
            <v/>
          </cell>
          <cell r="AQ2056" t="str">
            <v/>
          </cell>
          <cell r="AR2056" t="str">
            <v>Y</v>
          </cell>
          <cell r="AS2056" t="str">
            <v/>
          </cell>
          <cell r="AT2056" t="str">
            <v>AC</v>
          </cell>
          <cell r="AU2056" t="str">
            <v>Airconditioner</v>
          </cell>
          <cell r="AV2056" t="str">
            <v>ACMV</v>
          </cell>
          <cell r="AW2056" t="str">
            <v>Multi V</v>
          </cell>
          <cell r="AX2056" t="str">
            <v>ACMVOD</v>
          </cell>
          <cell r="AY2056" t="str">
            <v>Multi V O/D</v>
          </cell>
          <cell r="AZ2056" t="str">
            <v>ACMVODMO</v>
          </cell>
          <cell r="BA2056" t="str">
            <v>Multi V_O/D_MINI (S)</v>
          </cell>
        </row>
        <row r="2057">
          <cell r="E2057" t="str">
            <v>ARUN050LSS5.EWGBASA</v>
          </cell>
          <cell r="F2057">
            <v>1</v>
          </cell>
          <cell r="G2057">
            <v>0</v>
          </cell>
          <cell r="H2057">
            <v>0</v>
          </cell>
          <cell r="I2057">
            <v>1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 t="str">
            <v/>
          </cell>
          <cell r="AH2057" t="str">
            <v/>
          </cell>
          <cell r="AI2057" t="str">
            <v/>
          </cell>
          <cell r="AJ2057" t="str">
            <v/>
          </cell>
          <cell r="AK2057" t="str">
            <v>0.485937</v>
          </cell>
          <cell r="AL2057" t="str">
            <v>0</v>
          </cell>
          <cell r="AM2057" t="str">
            <v>Q</v>
          </cell>
          <cell r="AN2057" t="str">
            <v>M0</v>
          </cell>
          <cell r="AO2057" t="str">
            <v>Active(Model)</v>
          </cell>
          <cell r="AP2057" t="str">
            <v/>
          </cell>
          <cell r="AQ2057" t="str">
            <v/>
          </cell>
          <cell r="AR2057" t="str">
            <v>Y</v>
          </cell>
          <cell r="AS2057" t="str">
            <v/>
          </cell>
          <cell r="AT2057" t="str">
            <v>AC</v>
          </cell>
          <cell r="AU2057" t="str">
            <v>Airconditioner</v>
          </cell>
          <cell r="AV2057" t="str">
            <v>ACMV</v>
          </cell>
          <cell r="AW2057" t="str">
            <v>Multi V</v>
          </cell>
          <cell r="AX2057" t="str">
            <v>ACMVOD</v>
          </cell>
          <cell r="AY2057" t="str">
            <v>Multi V O/D</v>
          </cell>
          <cell r="AZ2057" t="str">
            <v>ACMVODMO</v>
          </cell>
          <cell r="BA2057" t="str">
            <v>Multi V_O/D_MINI (S)</v>
          </cell>
        </row>
        <row r="2058">
          <cell r="E2058" t="str">
            <v>ARUN060GSS5.EWGBASE</v>
          </cell>
          <cell r="F2058">
            <v>1</v>
          </cell>
          <cell r="G2058">
            <v>0</v>
          </cell>
          <cell r="H2058">
            <v>0</v>
          </cell>
          <cell r="I2058">
            <v>26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0</v>
          </cell>
          <cell r="AG2058" t="str">
            <v/>
          </cell>
          <cell r="AH2058" t="str">
            <v/>
          </cell>
          <cell r="AI2058" t="str">
            <v/>
          </cell>
          <cell r="AJ2058" t="str">
            <v/>
          </cell>
          <cell r="AK2058" t="str">
            <v>0.485937</v>
          </cell>
          <cell r="AL2058" t="str">
            <v>0</v>
          </cell>
          <cell r="AM2058" t="str">
            <v>Q</v>
          </cell>
          <cell r="AN2058" t="str">
            <v>M0</v>
          </cell>
          <cell r="AO2058" t="str">
            <v>Active(Model)</v>
          </cell>
          <cell r="AP2058" t="str">
            <v/>
          </cell>
          <cell r="AQ2058" t="str">
            <v/>
          </cell>
          <cell r="AR2058" t="str">
            <v>Y</v>
          </cell>
          <cell r="AS2058" t="str">
            <v/>
          </cell>
          <cell r="AT2058" t="str">
            <v>AC</v>
          </cell>
          <cell r="AU2058" t="str">
            <v>Airconditioner</v>
          </cell>
          <cell r="AV2058" t="str">
            <v>ACMV</v>
          </cell>
          <cell r="AW2058" t="str">
            <v>Multi V</v>
          </cell>
          <cell r="AX2058" t="str">
            <v>ACMVOD</v>
          </cell>
          <cell r="AY2058" t="str">
            <v>Multi V O/D</v>
          </cell>
          <cell r="AZ2058" t="str">
            <v>ACMVODMO</v>
          </cell>
          <cell r="BA2058" t="str">
            <v>Multi V_O/D_MINI (S)</v>
          </cell>
        </row>
        <row r="2059">
          <cell r="E2059" t="str">
            <v>ARUN080LLS5.EWGBGLB</v>
          </cell>
          <cell r="F2059">
            <v>16</v>
          </cell>
          <cell r="G2059">
            <v>0</v>
          </cell>
          <cell r="H2059">
            <v>0</v>
          </cell>
          <cell r="I2059">
            <v>16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 t="str">
            <v>CAC</v>
          </cell>
          <cell r="AH2059" t="str">
            <v>CAC</v>
          </cell>
          <cell r="AI2059" t="str">
            <v/>
          </cell>
          <cell r="AJ2059" t="str">
            <v/>
          </cell>
          <cell r="AK2059" t="str">
            <v>1.394592</v>
          </cell>
          <cell r="AL2059" t="str">
            <v>2</v>
          </cell>
          <cell r="AM2059" t="str">
            <v>Q</v>
          </cell>
          <cell r="AN2059" t="str">
            <v>M0</v>
          </cell>
          <cell r="AO2059" t="str">
            <v>Active(Model)</v>
          </cell>
          <cell r="AP2059" t="str">
            <v/>
          </cell>
          <cell r="AQ2059" t="str">
            <v/>
          </cell>
          <cell r="AR2059" t="str">
            <v>Y</v>
          </cell>
          <cell r="AS2059" t="str">
            <v/>
          </cell>
          <cell r="AT2059" t="str">
            <v>AC</v>
          </cell>
          <cell r="AU2059" t="str">
            <v>Airconditioner</v>
          </cell>
          <cell r="AV2059" t="str">
            <v>ACMV</v>
          </cell>
          <cell r="AW2059" t="str">
            <v>Multi V</v>
          </cell>
          <cell r="AX2059" t="str">
            <v>ACMVOD</v>
          </cell>
          <cell r="AY2059" t="str">
            <v>Multi V O/D</v>
          </cell>
          <cell r="AZ2059" t="str">
            <v>ACMVODMI</v>
          </cell>
          <cell r="BA2059" t="str">
            <v>Multi V_O/D_PRO</v>
          </cell>
        </row>
        <row r="2060">
          <cell r="E2060" t="str">
            <v>ARUN080LSS0.AWGBASE</v>
          </cell>
          <cell r="F2060">
            <v>4</v>
          </cell>
          <cell r="G2060">
            <v>0</v>
          </cell>
          <cell r="H2060">
            <v>0</v>
          </cell>
          <cell r="I2060">
            <v>6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1</v>
          </cell>
          <cell r="AE2060">
            <v>0</v>
          </cell>
          <cell r="AF2060">
            <v>1</v>
          </cell>
          <cell r="AG2060" t="str">
            <v>CAC</v>
          </cell>
          <cell r="AH2060" t="str">
            <v>CAC</v>
          </cell>
          <cell r="AI2060" t="str">
            <v/>
          </cell>
          <cell r="AJ2060" t="str">
            <v/>
          </cell>
          <cell r="AK2060" t="str">
            <v>0.822891</v>
          </cell>
          <cell r="AL2060" t="str">
            <v>2</v>
          </cell>
          <cell r="AM2060" t="str">
            <v>Q</v>
          </cell>
          <cell r="AN2060" t="str">
            <v>M0</v>
          </cell>
          <cell r="AO2060" t="str">
            <v>Active(Model)</v>
          </cell>
          <cell r="AP2060" t="str">
            <v/>
          </cell>
          <cell r="AQ2060" t="str">
            <v/>
          </cell>
          <cell r="AR2060" t="str">
            <v>Y</v>
          </cell>
          <cell r="AS2060" t="str">
            <v/>
          </cell>
          <cell r="AT2060" t="str">
            <v>AC</v>
          </cell>
          <cell r="AU2060" t="str">
            <v>Airconditioner</v>
          </cell>
          <cell r="AV2060" t="str">
            <v>ACMV</v>
          </cell>
          <cell r="AW2060" t="str">
            <v>Multi V</v>
          </cell>
          <cell r="AX2060" t="str">
            <v>ACMVOD</v>
          </cell>
          <cell r="AY2060" t="str">
            <v>Multi V O/D</v>
          </cell>
          <cell r="AZ2060" t="str">
            <v>ACMVODMO</v>
          </cell>
          <cell r="BA2060" t="str">
            <v>Multi V_O/D_MINI (S)</v>
          </cell>
        </row>
        <row r="2061">
          <cell r="E2061" t="str">
            <v>ARUN080LTE6.EWGBASA</v>
          </cell>
          <cell r="F2061">
            <v>2</v>
          </cell>
          <cell r="G2061">
            <v>0</v>
          </cell>
          <cell r="H2061">
            <v>0</v>
          </cell>
          <cell r="I2061">
            <v>2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 t="str">
            <v/>
          </cell>
          <cell r="AH2061" t="str">
            <v/>
          </cell>
          <cell r="AI2061" t="str">
            <v/>
          </cell>
          <cell r="AJ2061" t="str">
            <v/>
          </cell>
          <cell r="AK2061" t="str">
            <v>1.485172</v>
          </cell>
          <cell r="AL2061" t="str">
            <v>0</v>
          </cell>
          <cell r="AM2061" t="str">
            <v>Q</v>
          </cell>
          <cell r="AN2061" t="str">
            <v>M0</v>
          </cell>
          <cell r="AO2061" t="str">
            <v>Active(Model)</v>
          </cell>
          <cell r="AP2061" t="str">
            <v/>
          </cell>
          <cell r="AQ2061" t="str">
            <v/>
          </cell>
          <cell r="AR2061" t="str">
            <v>Y</v>
          </cell>
          <cell r="AS2061" t="str">
            <v/>
          </cell>
          <cell r="AT2061" t="str">
            <v>AC</v>
          </cell>
          <cell r="AU2061" t="str">
            <v>Airconditioner</v>
          </cell>
          <cell r="AV2061" t="str">
            <v>ACMV</v>
          </cell>
          <cell r="AW2061" t="str">
            <v>Multi V</v>
          </cell>
          <cell r="AX2061" t="str">
            <v>ACMVOD</v>
          </cell>
          <cell r="AY2061" t="str">
            <v>Multi V O/D</v>
          </cell>
          <cell r="AZ2061" t="str">
            <v>ACMVODMP</v>
          </cell>
          <cell r="BA2061" t="str">
            <v>Multi V_O/D_SUPER/Plus</v>
          </cell>
        </row>
        <row r="2062">
          <cell r="E2062" t="str">
            <v>ARUN100LSS0.AWGBASE</v>
          </cell>
          <cell r="F2062">
            <v>14</v>
          </cell>
          <cell r="G2062">
            <v>0</v>
          </cell>
          <cell r="H2062">
            <v>0</v>
          </cell>
          <cell r="I2062">
            <v>66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 t="str">
            <v>CAC</v>
          </cell>
          <cell r="AH2062" t="str">
            <v>CAC</v>
          </cell>
          <cell r="AI2062" t="str">
            <v/>
          </cell>
          <cell r="AJ2062" t="str">
            <v/>
          </cell>
          <cell r="AK2062" t="str">
            <v>1.090463</v>
          </cell>
          <cell r="AL2062" t="str">
            <v>2</v>
          </cell>
          <cell r="AM2062" t="str">
            <v>Q</v>
          </cell>
          <cell r="AN2062" t="str">
            <v>M0</v>
          </cell>
          <cell r="AO2062" t="str">
            <v>Active(Model)</v>
          </cell>
          <cell r="AP2062" t="str">
            <v/>
          </cell>
          <cell r="AQ2062" t="str">
            <v/>
          </cell>
          <cell r="AR2062" t="str">
            <v>Y</v>
          </cell>
          <cell r="AS2062" t="str">
            <v/>
          </cell>
          <cell r="AT2062" t="str">
            <v>AC</v>
          </cell>
          <cell r="AU2062" t="str">
            <v>Airconditioner</v>
          </cell>
          <cell r="AV2062" t="str">
            <v>ACMV</v>
          </cell>
          <cell r="AW2062" t="str">
            <v>Multi V</v>
          </cell>
          <cell r="AX2062" t="str">
            <v>ACMVOD</v>
          </cell>
          <cell r="AY2062" t="str">
            <v>Multi V O/D</v>
          </cell>
          <cell r="AZ2062" t="str">
            <v>ACMVODMO</v>
          </cell>
          <cell r="BA2062" t="str">
            <v>Multi V_O/D_MINI (S)</v>
          </cell>
        </row>
        <row r="2063">
          <cell r="E2063" t="str">
            <v>ARUN100LTE6.EWGBASA</v>
          </cell>
          <cell r="F2063">
            <v>1</v>
          </cell>
          <cell r="G2063">
            <v>0</v>
          </cell>
          <cell r="H2063">
            <v>0</v>
          </cell>
          <cell r="I2063">
            <v>1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 t="str">
            <v/>
          </cell>
          <cell r="AH2063" t="str">
            <v/>
          </cell>
          <cell r="AI2063" t="str">
            <v/>
          </cell>
          <cell r="AJ2063" t="str">
            <v/>
          </cell>
          <cell r="AK2063" t="str">
            <v>1.485172</v>
          </cell>
          <cell r="AL2063" t="str">
            <v>0</v>
          </cell>
          <cell r="AM2063" t="str">
            <v>Q</v>
          </cell>
          <cell r="AN2063" t="str">
            <v>M0</v>
          </cell>
          <cell r="AO2063" t="str">
            <v>Active(Model)</v>
          </cell>
          <cell r="AP2063" t="str">
            <v/>
          </cell>
          <cell r="AQ2063" t="str">
            <v/>
          </cell>
          <cell r="AR2063" t="str">
            <v>Y</v>
          </cell>
          <cell r="AS2063" t="str">
            <v/>
          </cell>
          <cell r="AT2063" t="str">
            <v>AC</v>
          </cell>
          <cell r="AU2063" t="str">
            <v>Airconditioner</v>
          </cell>
          <cell r="AV2063" t="str">
            <v>ACMV</v>
          </cell>
          <cell r="AW2063" t="str">
            <v>Multi V</v>
          </cell>
          <cell r="AX2063" t="str">
            <v>ACMVOD</v>
          </cell>
          <cell r="AY2063" t="str">
            <v>Multi V O/D</v>
          </cell>
          <cell r="AZ2063" t="str">
            <v>ACMVODMP</v>
          </cell>
          <cell r="BA2063" t="str">
            <v>Multi V_O/D_SUPER/Plus</v>
          </cell>
        </row>
        <row r="2064">
          <cell r="E2064" t="str">
            <v>ARUN120LLS5.EWGBGLB</v>
          </cell>
          <cell r="F2064">
            <v>9</v>
          </cell>
          <cell r="G2064">
            <v>0</v>
          </cell>
          <cell r="H2064">
            <v>0</v>
          </cell>
          <cell r="I2064">
            <v>9</v>
          </cell>
          <cell r="J2064">
            <v>3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 t="str">
            <v>CAC</v>
          </cell>
          <cell r="AH2064" t="str">
            <v>CAC</v>
          </cell>
          <cell r="AI2064" t="str">
            <v/>
          </cell>
          <cell r="AJ2064" t="str">
            <v/>
          </cell>
          <cell r="AK2064" t="str">
            <v>1.394592</v>
          </cell>
          <cell r="AL2064" t="str">
            <v>2</v>
          </cell>
          <cell r="AM2064" t="str">
            <v>Q</v>
          </cell>
          <cell r="AN2064" t="str">
            <v>M0</v>
          </cell>
          <cell r="AO2064" t="str">
            <v>Active(Model)</v>
          </cell>
          <cell r="AP2064" t="str">
            <v/>
          </cell>
          <cell r="AQ2064" t="str">
            <v/>
          </cell>
          <cell r="AR2064" t="str">
            <v>Y</v>
          </cell>
          <cell r="AS2064" t="str">
            <v/>
          </cell>
          <cell r="AT2064" t="str">
            <v>AC</v>
          </cell>
          <cell r="AU2064" t="str">
            <v>Airconditioner</v>
          </cell>
          <cell r="AV2064" t="str">
            <v>ACMV</v>
          </cell>
          <cell r="AW2064" t="str">
            <v>Multi V</v>
          </cell>
          <cell r="AX2064" t="str">
            <v>ACMVOD</v>
          </cell>
          <cell r="AY2064" t="str">
            <v>Multi V O/D</v>
          </cell>
          <cell r="AZ2064" t="str">
            <v>ACMVODMI</v>
          </cell>
          <cell r="BA2064" t="str">
            <v>Multi V_O/D_PRO</v>
          </cell>
        </row>
        <row r="2065">
          <cell r="E2065" t="str">
            <v>ARUN120LSS0.AWGBASE</v>
          </cell>
          <cell r="F2065">
            <v>1</v>
          </cell>
          <cell r="G2065">
            <v>0</v>
          </cell>
          <cell r="H2065">
            <v>0</v>
          </cell>
          <cell r="I2065">
            <v>3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 t="str">
            <v>CAC</v>
          </cell>
          <cell r="AH2065" t="str">
            <v>CAC</v>
          </cell>
          <cell r="AI2065" t="str">
            <v/>
          </cell>
          <cell r="AJ2065" t="str">
            <v/>
          </cell>
          <cell r="AK2065" t="str">
            <v>1.090463</v>
          </cell>
          <cell r="AL2065" t="str">
            <v>2</v>
          </cell>
          <cell r="AM2065" t="str">
            <v>Q</v>
          </cell>
          <cell r="AN2065" t="str">
            <v>M0</v>
          </cell>
          <cell r="AO2065" t="str">
            <v>Active(Model)</v>
          </cell>
          <cell r="AP2065" t="str">
            <v/>
          </cell>
          <cell r="AQ2065" t="str">
            <v/>
          </cell>
          <cell r="AR2065" t="str">
            <v>Y</v>
          </cell>
          <cell r="AS2065" t="str">
            <v/>
          </cell>
          <cell r="AT2065" t="str">
            <v>AC</v>
          </cell>
          <cell r="AU2065" t="str">
            <v>Airconditioner</v>
          </cell>
          <cell r="AV2065" t="str">
            <v>ACMV</v>
          </cell>
          <cell r="AW2065" t="str">
            <v>Multi V</v>
          </cell>
          <cell r="AX2065" t="str">
            <v>ACMVOD</v>
          </cell>
          <cell r="AY2065" t="str">
            <v>Multi V O/D</v>
          </cell>
          <cell r="AZ2065" t="str">
            <v>ACMVODMO</v>
          </cell>
          <cell r="BA2065" t="str">
            <v>Multi V_O/D_MINI (S)</v>
          </cell>
        </row>
        <row r="2066">
          <cell r="E2066" t="str">
            <v>ARUN120LTE6.EWGBASA</v>
          </cell>
          <cell r="F2066">
            <v>13</v>
          </cell>
          <cell r="G2066">
            <v>0</v>
          </cell>
          <cell r="H2066">
            <v>0</v>
          </cell>
          <cell r="I2066">
            <v>14</v>
          </cell>
          <cell r="J2066">
            <v>0</v>
          </cell>
          <cell r="K2066">
            <v>0</v>
          </cell>
          <cell r="L2066">
            <v>1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 t="str">
            <v/>
          </cell>
          <cell r="AH2066" t="str">
            <v/>
          </cell>
          <cell r="AI2066" t="str">
            <v/>
          </cell>
          <cell r="AJ2066" t="str">
            <v/>
          </cell>
          <cell r="AK2066" t="str">
            <v>1.485172</v>
          </cell>
          <cell r="AL2066" t="str">
            <v>0</v>
          </cell>
          <cell r="AM2066" t="str">
            <v>Q</v>
          </cell>
          <cell r="AN2066" t="str">
            <v>M0</v>
          </cell>
          <cell r="AO2066" t="str">
            <v>Active(Model)</v>
          </cell>
          <cell r="AP2066" t="str">
            <v/>
          </cell>
          <cell r="AQ2066" t="str">
            <v/>
          </cell>
          <cell r="AR2066" t="str">
            <v>Y</v>
          </cell>
          <cell r="AS2066" t="str">
            <v/>
          </cell>
          <cell r="AT2066" t="str">
            <v>AC</v>
          </cell>
          <cell r="AU2066" t="str">
            <v>Airconditioner</v>
          </cell>
          <cell r="AV2066" t="str">
            <v>ACMV</v>
          </cell>
          <cell r="AW2066" t="str">
            <v>Multi V</v>
          </cell>
          <cell r="AX2066" t="str">
            <v>ACMVOD</v>
          </cell>
          <cell r="AY2066" t="str">
            <v>Multi V O/D</v>
          </cell>
          <cell r="AZ2066" t="str">
            <v>ACMVODMP</v>
          </cell>
          <cell r="BA2066" t="str">
            <v>Multi V_O/D_SUPER/Plus</v>
          </cell>
        </row>
        <row r="2067">
          <cell r="E2067" t="str">
            <v>ARUN140LLS5.EWGBGLB</v>
          </cell>
          <cell r="F2067">
            <v>4</v>
          </cell>
          <cell r="G2067">
            <v>0</v>
          </cell>
          <cell r="H2067">
            <v>0</v>
          </cell>
          <cell r="I2067">
            <v>4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 t="str">
            <v>CAC</v>
          </cell>
          <cell r="AH2067" t="str">
            <v>CAC</v>
          </cell>
          <cell r="AI2067" t="str">
            <v/>
          </cell>
          <cell r="AJ2067" t="str">
            <v/>
          </cell>
          <cell r="AK2067" t="str">
            <v>1.394592</v>
          </cell>
          <cell r="AL2067" t="str">
            <v>2</v>
          </cell>
          <cell r="AM2067" t="str">
            <v>Q</v>
          </cell>
          <cell r="AN2067" t="str">
            <v>M0</v>
          </cell>
          <cell r="AO2067" t="str">
            <v>Active(Model)</v>
          </cell>
          <cell r="AP2067" t="str">
            <v/>
          </cell>
          <cell r="AQ2067" t="str">
            <v/>
          </cell>
          <cell r="AR2067" t="str">
            <v>Y</v>
          </cell>
          <cell r="AS2067" t="str">
            <v/>
          </cell>
          <cell r="AT2067" t="str">
            <v>AC</v>
          </cell>
          <cell r="AU2067" t="str">
            <v>Airconditioner</v>
          </cell>
          <cell r="AV2067" t="str">
            <v>ACMV</v>
          </cell>
          <cell r="AW2067" t="str">
            <v>Multi V</v>
          </cell>
          <cell r="AX2067" t="str">
            <v>ACMVOD</v>
          </cell>
          <cell r="AY2067" t="str">
            <v>Multi V O/D</v>
          </cell>
          <cell r="AZ2067" t="str">
            <v>ACMVODMI</v>
          </cell>
          <cell r="BA2067" t="str">
            <v>Multi V_O/D_PRO</v>
          </cell>
        </row>
        <row r="2068">
          <cell r="E2068" t="str">
            <v>ARUN140LTE6.EWGBASA</v>
          </cell>
          <cell r="F2068">
            <v>5</v>
          </cell>
          <cell r="G2068">
            <v>0</v>
          </cell>
          <cell r="H2068">
            <v>0</v>
          </cell>
          <cell r="I2068">
            <v>5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 t="str">
            <v/>
          </cell>
          <cell r="AH2068" t="str">
            <v/>
          </cell>
          <cell r="AI2068" t="str">
            <v/>
          </cell>
          <cell r="AJ2068" t="str">
            <v/>
          </cell>
          <cell r="AK2068" t="str">
            <v>1.973047</v>
          </cell>
          <cell r="AL2068" t="str">
            <v>0</v>
          </cell>
          <cell r="AM2068" t="str">
            <v>Q</v>
          </cell>
          <cell r="AN2068" t="str">
            <v>M0</v>
          </cell>
          <cell r="AO2068" t="str">
            <v>Active(Model)</v>
          </cell>
          <cell r="AP2068" t="str">
            <v/>
          </cell>
          <cell r="AQ2068" t="str">
            <v/>
          </cell>
          <cell r="AR2068" t="str">
            <v>Y</v>
          </cell>
          <cell r="AS2068" t="str">
            <v/>
          </cell>
          <cell r="AT2068" t="str">
            <v>AC</v>
          </cell>
          <cell r="AU2068" t="str">
            <v>Airconditioner</v>
          </cell>
          <cell r="AV2068" t="str">
            <v>ACMV</v>
          </cell>
          <cell r="AW2068" t="str">
            <v>Multi V</v>
          </cell>
          <cell r="AX2068" t="str">
            <v>ACMVOD</v>
          </cell>
          <cell r="AY2068" t="str">
            <v>Multi V O/D</v>
          </cell>
          <cell r="AZ2068" t="str">
            <v>ACMVODMP</v>
          </cell>
          <cell r="BA2068" t="str">
            <v>Multi V_O/D_SUPER/Plus</v>
          </cell>
        </row>
        <row r="2069">
          <cell r="E2069" t="str">
            <v>ARUN160LLS5.EWGBGLB</v>
          </cell>
          <cell r="F2069">
            <v>0</v>
          </cell>
          <cell r="G2069">
            <v>0</v>
          </cell>
          <cell r="H2069">
            <v>0</v>
          </cell>
          <cell r="I2069">
            <v>1</v>
          </cell>
          <cell r="J2069">
            <v>0</v>
          </cell>
          <cell r="K2069">
            <v>0</v>
          </cell>
          <cell r="L2069">
            <v>1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 t="str">
            <v>CAC</v>
          </cell>
          <cell r="AH2069" t="str">
            <v>CAC</v>
          </cell>
          <cell r="AI2069" t="str">
            <v/>
          </cell>
          <cell r="AJ2069" t="str">
            <v/>
          </cell>
          <cell r="AK2069" t="str">
            <v>1.859456</v>
          </cell>
          <cell r="AL2069" t="str">
            <v>2</v>
          </cell>
          <cell r="AM2069" t="str">
            <v>Q</v>
          </cell>
          <cell r="AN2069" t="str">
            <v>M0</v>
          </cell>
          <cell r="AO2069" t="str">
            <v>Active(Model)</v>
          </cell>
          <cell r="AP2069" t="str">
            <v/>
          </cell>
          <cell r="AQ2069" t="str">
            <v/>
          </cell>
          <cell r="AR2069" t="str">
            <v>Y</v>
          </cell>
          <cell r="AS2069" t="str">
            <v/>
          </cell>
          <cell r="AT2069" t="str">
            <v>AC</v>
          </cell>
          <cell r="AU2069" t="str">
            <v>Airconditioner</v>
          </cell>
          <cell r="AV2069" t="str">
            <v>ACMV</v>
          </cell>
          <cell r="AW2069" t="str">
            <v>Multi V</v>
          </cell>
          <cell r="AX2069" t="str">
            <v>ACMVOD</v>
          </cell>
          <cell r="AY2069" t="str">
            <v>Multi V O/D</v>
          </cell>
          <cell r="AZ2069" t="str">
            <v>ACMVODMI</v>
          </cell>
          <cell r="BA2069" t="str">
            <v>Multi V_O/D_PRO</v>
          </cell>
        </row>
        <row r="2070">
          <cell r="E2070" t="str">
            <v>ARUN160LTE6.EWGBASA</v>
          </cell>
          <cell r="F2070">
            <v>5</v>
          </cell>
          <cell r="G2070">
            <v>0</v>
          </cell>
          <cell r="H2070">
            <v>0</v>
          </cell>
          <cell r="I2070">
            <v>5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0</v>
          </cell>
          <cell r="AG2070" t="str">
            <v/>
          </cell>
          <cell r="AH2070" t="str">
            <v/>
          </cell>
          <cell r="AI2070" t="str">
            <v/>
          </cell>
          <cell r="AJ2070" t="str">
            <v/>
          </cell>
          <cell r="AK2070" t="str">
            <v>1.973047</v>
          </cell>
          <cell r="AL2070" t="str">
            <v>0</v>
          </cell>
          <cell r="AM2070" t="str">
            <v>Q</v>
          </cell>
          <cell r="AN2070" t="str">
            <v>M0</v>
          </cell>
          <cell r="AO2070" t="str">
            <v>Active(Model)</v>
          </cell>
          <cell r="AP2070" t="str">
            <v/>
          </cell>
          <cell r="AQ2070" t="str">
            <v/>
          </cell>
          <cell r="AR2070" t="str">
            <v>Y</v>
          </cell>
          <cell r="AS2070" t="str">
            <v/>
          </cell>
          <cell r="AT2070" t="str">
            <v>AC</v>
          </cell>
          <cell r="AU2070" t="str">
            <v>Airconditioner</v>
          </cell>
          <cell r="AV2070" t="str">
            <v>ACMV</v>
          </cell>
          <cell r="AW2070" t="str">
            <v>Multi V</v>
          </cell>
          <cell r="AX2070" t="str">
            <v>ACMVOD</v>
          </cell>
          <cell r="AY2070" t="str">
            <v>Multi V O/D</v>
          </cell>
          <cell r="AZ2070" t="str">
            <v>ACMVODMP</v>
          </cell>
          <cell r="BA2070" t="str">
            <v>Multi V_O/D_SUPER/Plus</v>
          </cell>
        </row>
        <row r="2071">
          <cell r="E2071" t="str">
            <v>ARUN180LLS5.EWGBGLB</v>
          </cell>
          <cell r="F2071">
            <v>1</v>
          </cell>
          <cell r="G2071">
            <v>0</v>
          </cell>
          <cell r="H2071">
            <v>0</v>
          </cell>
          <cell r="I2071">
            <v>1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0</v>
          </cell>
          <cell r="AG2071" t="str">
            <v>CAC</v>
          </cell>
          <cell r="AH2071" t="str">
            <v>CAC</v>
          </cell>
          <cell r="AI2071" t="str">
            <v/>
          </cell>
          <cell r="AJ2071" t="str">
            <v/>
          </cell>
          <cell r="AK2071" t="str">
            <v>1.859456</v>
          </cell>
          <cell r="AL2071" t="str">
            <v>2</v>
          </cell>
          <cell r="AM2071" t="str">
            <v>Q</v>
          </cell>
          <cell r="AN2071" t="str">
            <v>M0</v>
          </cell>
          <cell r="AO2071" t="str">
            <v>Active(Model)</v>
          </cell>
          <cell r="AP2071" t="str">
            <v/>
          </cell>
          <cell r="AQ2071" t="str">
            <v/>
          </cell>
          <cell r="AR2071" t="str">
            <v>Y</v>
          </cell>
          <cell r="AS2071" t="str">
            <v/>
          </cell>
          <cell r="AT2071" t="str">
            <v>AC</v>
          </cell>
          <cell r="AU2071" t="str">
            <v>Airconditioner</v>
          </cell>
          <cell r="AV2071" t="str">
            <v>ACMV</v>
          </cell>
          <cell r="AW2071" t="str">
            <v>Multi V</v>
          </cell>
          <cell r="AX2071" t="str">
            <v>ACMVOD</v>
          </cell>
          <cell r="AY2071" t="str">
            <v>Multi V O/D</v>
          </cell>
          <cell r="AZ2071" t="str">
            <v>ACMVODMI</v>
          </cell>
          <cell r="BA2071" t="str">
            <v>Multi V_O/D_PRO</v>
          </cell>
        </row>
        <row r="2072">
          <cell r="E2072" t="str">
            <v>ARUN200LLS5.EWGBGLB</v>
          </cell>
          <cell r="F2072">
            <v>1</v>
          </cell>
          <cell r="G2072">
            <v>0</v>
          </cell>
          <cell r="H2072">
            <v>0</v>
          </cell>
          <cell r="I2072">
            <v>1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 t="str">
            <v>CAC</v>
          </cell>
          <cell r="AH2072" t="str">
            <v>CAC</v>
          </cell>
          <cell r="AI2072" t="str">
            <v/>
          </cell>
          <cell r="AJ2072" t="str">
            <v/>
          </cell>
          <cell r="AK2072" t="str">
            <v>1.859456</v>
          </cell>
          <cell r="AL2072" t="str">
            <v>2</v>
          </cell>
          <cell r="AM2072" t="str">
            <v>Q</v>
          </cell>
          <cell r="AN2072" t="str">
            <v>M0</v>
          </cell>
          <cell r="AO2072" t="str">
            <v>Active(Model)</v>
          </cell>
          <cell r="AP2072" t="str">
            <v/>
          </cell>
          <cell r="AQ2072" t="str">
            <v/>
          </cell>
          <cell r="AR2072" t="str">
            <v>Y</v>
          </cell>
          <cell r="AS2072" t="str">
            <v/>
          </cell>
          <cell r="AT2072" t="str">
            <v>AC</v>
          </cell>
          <cell r="AU2072" t="str">
            <v>Airconditioner</v>
          </cell>
          <cell r="AV2072" t="str">
            <v>ACMV</v>
          </cell>
          <cell r="AW2072" t="str">
            <v>Multi V</v>
          </cell>
          <cell r="AX2072" t="str">
            <v>ACMVOD</v>
          </cell>
          <cell r="AY2072" t="str">
            <v>Multi V O/D</v>
          </cell>
          <cell r="AZ2072" t="str">
            <v>ACMVODMI</v>
          </cell>
          <cell r="BA2072" t="str">
            <v>Multi V_O/D_PRO</v>
          </cell>
        </row>
        <row r="2073">
          <cell r="E2073" t="str">
            <v>ARUN200LTE6.EWGBASA</v>
          </cell>
          <cell r="F2073">
            <v>2</v>
          </cell>
          <cell r="G2073">
            <v>0</v>
          </cell>
          <cell r="H2073">
            <v>0</v>
          </cell>
          <cell r="I2073">
            <v>2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 t="str">
            <v/>
          </cell>
          <cell r="AH2073" t="str">
            <v/>
          </cell>
          <cell r="AI2073" t="str">
            <v/>
          </cell>
          <cell r="AJ2073" t="str">
            <v/>
          </cell>
          <cell r="AK2073" t="str">
            <v>1.973047</v>
          </cell>
          <cell r="AL2073" t="str">
            <v>0</v>
          </cell>
          <cell r="AM2073" t="str">
            <v>Q</v>
          </cell>
          <cell r="AN2073" t="str">
            <v>M0</v>
          </cell>
          <cell r="AO2073" t="str">
            <v>Active(Model)</v>
          </cell>
          <cell r="AP2073" t="str">
            <v/>
          </cell>
          <cell r="AQ2073" t="str">
            <v/>
          </cell>
          <cell r="AR2073" t="str">
            <v>Y</v>
          </cell>
          <cell r="AS2073" t="str">
            <v/>
          </cell>
          <cell r="AT2073" t="str">
            <v>AC</v>
          </cell>
          <cell r="AU2073" t="str">
            <v>Airconditioner</v>
          </cell>
          <cell r="AV2073" t="str">
            <v>ACMV</v>
          </cell>
          <cell r="AW2073" t="str">
            <v>Multi V</v>
          </cell>
          <cell r="AX2073" t="str">
            <v>ACMVOD</v>
          </cell>
          <cell r="AY2073" t="str">
            <v>Multi V O/D</v>
          </cell>
          <cell r="AZ2073" t="str">
            <v>ACMVODMP</v>
          </cell>
          <cell r="BA2073" t="str">
            <v>Multi V_O/D_SUPER/Plus</v>
          </cell>
        </row>
        <row r="2074">
          <cell r="E2074" t="str">
            <v>ARUN220LLS5.EWGBGLB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1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1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 t="str">
            <v>CAC</v>
          </cell>
          <cell r="AH2074" t="str">
            <v>CAC</v>
          </cell>
          <cell r="AI2074" t="str">
            <v/>
          </cell>
          <cell r="AJ2074" t="str">
            <v/>
          </cell>
          <cell r="AK2074" t="str">
            <v>1.859456</v>
          </cell>
          <cell r="AL2074" t="str">
            <v>2</v>
          </cell>
          <cell r="AM2074" t="str">
            <v>Q</v>
          </cell>
          <cell r="AN2074" t="str">
            <v>M0</v>
          </cell>
          <cell r="AO2074" t="str">
            <v>Active(Model)</v>
          </cell>
          <cell r="AP2074" t="str">
            <v/>
          </cell>
          <cell r="AQ2074" t="str">
            <v/>
          </cell>
          <cell r="AR2074" t="str">
            <v>Y</v>
          </cell>
          <cell r="AS2074" t="str">
            <v/>
          </cell>
          <cell r="AT2074" t="str">
            <v>AC</v>
          </cell>
          <cell r="AU2074" t="str">
            <v>Airconditioner</v>
          </cell>
          <cell r="AV2074" t="str">
            <v>ACMV</v>
          </cell>
          <cell r="AW2074" t="str">
            <v>Multi V</v>
          </cell>
          <cell r="AX2074" t="str">
            <v>ACMVOD</v>
          </cell>
          <cell r="AY2074" t="str">
            <v>Multi V O/D</v>
          </cell>
          <cell r="AZ2074" t="str">
            <v>ACMVODMI</v>
          </cell>
          <cell r="BA2074" t="str">
            <v>Multi V_O/D_PRO</v>
          </cell>
        </row>
        <row r="2075">
          <cell r="E2075" t="str">
            <v>ARUN220LTE6.EWGBASA</v>
          </cell>
          <cell r="F2075">
            <v>5</v>
          </cell>
          <cell r="G2075">
            <v>0</v>
          </cell>
          <cell r="H2075">
            <v>0</v>
          </cell>
          <cell r="I2075">
            <v>5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 t="str">
            <v/>
          </cell>
          <cell r="AH2075" t="str">
            <v/>
          </cell>
          <cell r="AI2075" t="str">
            <v/>
          </cell>
          <cell r="AJ2075" t="str">
            <v/>
          </cell>
          <cell r="AK2075" t="str">
            <v>1.973047</v>
          </cell>
          <cell r="AL2075" t="str">
            <v>0</v>
          </cell>
          <cell r="AM2075" t="str">
            <v>Q</v>
          </cell>
          <cell r="AN2075" t="str">
            <v>M0</v>
          </cell>
          <cell r="AO2075" t="str">
            <v>Active(Model)</v>
          </cell>
          <cell r="AP2075" t="str">
            <v/>
          </cell>
          <cell r="AQ2075" t="str">
            <v/>
          </cell>
          <cell r="AR2075" t="str">
            <v>Y</v>
          </cell>
          <cell r="AS2075" t="str">
            <v/>
          </cell>
          <cell r="AT2075" t="str">
            <v>AC</v>
          </cell>
          <cell r="AU2075" t="str">
            <v>Airconditioner</v>
          </cell>
          <cell r="AV2075" t="str">
            <v>ACMV</v>
          </cell>
          <cell r="AW2075" t="str">
            <v>Multi V</v>
          </cell>
          <cell r="AX2075" t="str">
            <v>ACMVOD</v>
          </cell>
          <cell r="AY2075" t="str">
            <v>Multi V O/D</v>
          </cell>
          <cell r="AZ2075" t="str">
            <v>ACMVODMP</v>
          </cell>
          <cell r="BA2075" t="str">
            <v>Multi V_O/D_SUPER/Plus</v>
          </cell>
        </row>
        <row r="2076">
          <cell r="E2076" t="str">
            <v>ARUN240LLS5.EWGBGLB</v>
          </cell>
          <cell r="F2076">
            <v>2</v>
          </cell>
          <cell r="G2076">
            <v>0</v>
          </cell>
          <cell r="H2076">
            <v>0</v>
          </cell>
          <cell r="I2076">
            <v>2</v>
          </cell>
          <cell r="J2076">
            <v>1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 t="str">
            <v>CAC</v>
          </cell>
          <cell r="AH2076" t="str">
            <v>CAC</v>
          </cell>
          <cell r="AI2076" t="str">
            <v/>
          </cell>
          <cell r="AJ2076" t="str">
            <v/>
          </cell>
          <cell r="AK2076" t="str">
            <v>1.859456</v>
          </cell>
          <cell r="AL2076" t="str">
            <v>2</v>
          </cell>
          <cell r="AM2076" t="str">
            <v>Q</v>
          </cell>
          <cell r="AN2076" t="str">
            <v>M0</v>
          </cell>
          <cell r="AO2076" t="str">
            <v>Active(Model)</v>
          </cell>
          <cell r="AP2076" t="str">
            <v/>
          </cell>
          <cell r="AQ2076" t="str">
            <v/>
          </cell>
          <cell r="AR2076" t="str">
            <v>Y</v>
          </cell>
          <cell r="AS2076" t="str">
            <v/>
          </cell>
          <cell r="AT2076" t="str">
            <v>AC</v>
          </cell>
          <cell r="AU2076" t="str">
            <v>Airconditioner</v>
          </cell>
          <cell r="AV2076" t="str">
            <v>ACMV</v>
          </cell>
          <cell r="AW2076" t="str">
            <v>Multi V</v>
          </cell>
          <cell r="AX2076" t="str">
            <v>ACMVOD</v>
          </cell>
          <cell r="AY2076" t="str">
            <v>Multi V O/D</v>
          </cell>
          <cell r="AZ2076" t="str">
            <v>ACMVODMI</v>
          </cell>
          <cell r="BA2076" t="str">
            <v>Multi V_O/D_PRO</v>
          </cell>
        </row>
        <row r="2077">
          <cell r="E2077" t="str">
            <v>ARUN240LTE6.EWGBASA</v>
          </cell>
          <cell r="F2077">
            <v>11</v>
          </cell>
          <cell r="G2077">
            <v>0</v>
          </cell>
          <cell r="H2077">
            <v>0</v>
          </cell>
          <cell r="I2077">
            <v>12</v>
          </cell>
          <cell r="J2077">
            <v>0</v>
          </cell>
          <cell r="K2077">
            <v>0</v>
          </cell>
          <cell r="L2077">
            <v>1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 t="str">
            <v/>
          </cell>
          <cell r="AH2077" t="str">
            <v/>
          </cell>
          <cell r="AI2077" t="str">
            <v/>
          </cell>
          <cell r="AJ2077" t="str">
            <v/>
          </cell>
          <cell r="AK2077" t="str">
            <v>1.933976</v>
          </cell>
          <cell r="AL2077" t="str">
            <v>0</v>
          </cell>
          <cell r="AM2077" t="str">
            <v>Q</v>
          </cell>
          <cell r="AN2077" t="str">
            <v>M0</v>
          </cell>
          <cell r="AO2077" t="str">
            <v>Active(Model)</v>
          </cell>
          <cell r="AP2077" t="str">
            <v/>
          </cell>
          <cell r="AQ2077" t="str">
            <v/>
          </cell>
          <cell r="AR2077" t="str">
            <v>Y</v>
          </cell>
          <cell r="AS2077" t="str">
            <v/>
          </cell>
          <cell r="AT2077" t="str">
            <v>AC</v>
          </cell>
          <cell r="AU2077" t="str">
            <v>Airconditioner</v>
          </cell>
          <cell r="AV2077" t="str">
            <v>ACMV</v>
          </cell>
          <cell r="AW2077" t="str">
            <v>Multi V</v>
          </cell>
          <cell r="AX2077" t="str">
            <v>ACMVOD</v>
          </cell>
          <cell r="AY2077" t="str">
            <v>Multi V O/D</v>
          </cell>
          <cell r="AZ2077" t="str">
            <v>ACMVODMP</v>
          </cell>
          <cell r="BA2077" t="str">
            <v>Multi V_O/D_SUPER/Plus</v>
          </cell>
        </row>
        <row r="2078">
          <cell r="E2078" t="str">
            <v>ARUN260LLS5.EWGBGLB</v>
          </cell>
          <cell r="F2078">
            <v>1</v>
          </cell>
          <cell r="G2078">
            <v>0</v>
          </cell>
          <cell r="H2078">
            <v>0</v>
          </cell>
          <cell r="I2078">
            <v>2</v>
          </cell>
          <cell r="J2078">
            <v>0</v>
          </cell>
          <cell r="K2078">
            <v>0</v>
          </cell>
          <cell r="L2078">
            <v>1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 t="str">
            <v>CAC</v>
          </cell>
          <cell r="AH2078" t="str">
            <v>CAC</v>
          </cell>
          <cell r="AI2078" t="str">
            <v/>
          </cell>
          <cell r="AJ2078" t="str">
            <v/>
          </cell>
          <cell r="AK2078" t="str">
            <v>1.859456</v>
          </cell>
          <cell r="AL2078" t="str">
            <v>2</v>
          </cell>
          <cell r="AM2078" t="str">
            <v>Q</v>
          </cell>
          <cell r="AN2078" t="str">
            <v>M0</v>
          </cell>
          <cell r="AO2078" t="str">
            <v>Active(Model)</v>
          </cell>
          <cell r="AP2078" t="str">
            <v/>
          </cell>
          <cell r="AQ2078" t="str">
            <v/>
          </cell>
          <cell r="AR2078" t="str">
            <v>Y</v>
          </cell>
          <cell r="AS2078" t="str">
            <v/>
          </cell>
          <cell r="AT2078" t="str">
            <v>AC</v>
          </cell>
          <cell r="AU2078" t="str">
            <v>Airconditioner</v>
          </cell>
          <cell r="AV2078" t="str">
            <v>ACMV</v>
          </cell>
          <cell r="AW2078" t="str">
            <v>Multi V</v>
          </cell>
          <cell r="AX2078" t="str">
            <v>ACMVOD</v>
          </cell>
          <cell r="AY2078" t="str">
            <v>Multi V O/D</v>
          </cell>
          <cell r="AZ2078" t="str">
            <v>ACMVODMI</v>
          </cell>
          <cell r="BA2078" t="str">
            <v>Multi V_O/D_PRO</v>
          </cell>
        </row>
        <row r="2079">
          <cell r="E2079" t="str">
            <v>ARUV050GSD5.EWGBASA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 t="str">
            <v/>
          </cell>
          <cell r="AH2079" t="str">
            <v/>
          </cell>
          <cell r="AI2079" t="str">
            <v/>
          </cell>
          <cell r="AJ2079" t="str">
            <v/>
          </cell>
          <cell r="AK2079" t="str">
            <v>0.485937</v>
          </cell>
          <cell r="AL2079" t="str">
            <v>0</v>
          </cell>
          <cell r="AM2079" t="str">
            <v>Q</v>
          </cell>
          <cell r="AN2079" t="str">
            <v>M0</v>
          </cell>
          <cell r="AO2079" t="str">
            <v>Active(Model)</v>
          </cell>
          <cell r="AP2079" t="str">
            <v/>
          </cell>
          <cell r="AQ2079" t="str">
            <v/>
          </cell>
          <cell r="AR2079" t="str">
            <v>Y</v>
          </cell>
          <cell r="AS2079" t="str">
            <v/>
          </cell>
          <cell r="AT2079" t="str">
            <v>AC</v>
          </cell>
          <cell r="AU2079" t="str">
            <v>Airconditioner</v>
          </cell>
          <cell r="AV2079" t="str">
            <v>ACMV</v>
          </cell>
          <cell r="AW2079" t="str">
            <v>Multi V</v>
          </cell>
          <cell r="AX2079" t="str">
            <v>ACMVOD</v>
          </cell>
          <cell r="AY2079" t="str">
            <v>Multi V O/D</v>
          </cell>
          <cell r="AZ2079" t="str">
            <v>ACMVODMO</v>
          </cell>
          <cell r="BA2079" t="str">
            <v>Multi V_O/D_MINI (S)</v>
          </cell>
        </row>
        <row r="2080">
          <cell r="E2080" t="str">
            <v>ARUV060GSD5.EWGBASA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 t="str">
            <v/>
          </cell>
          <cell r="AH2080" t="str">
            <v/>
          </cell>
          <cell r="AI2080" t="str">
            <v/>
          </cell>
          <cell r="AJ2080" t="str">
            <v/>
          </cell>
          <cell r="AK2080" t="str">
            <v>0.485937</v>
          </cell>
          <cell r="AL2080" t="str">
            <v>0</v>
          </cell>
          <cell r="AM2080" t="str">
            <v>Q</v>
          </cell>
          <cell r="AN2080" t="str">
            <v>M0</v>
          </cell>
          <cell r="AO2080" t="str">
            <v>Active(Model)</v>
          </cell>
          <cell r="AP2080" t="str">
            <v/>
          </cell>
          <cell r="AQ2080" t="str">
            <v/>
          </cell>
          <cell r="AR2080" t="str">
            <v>Y</v>
          </cell>
          <cell r="AS2080" t="str">
            <v/>
          </cell>
          <cell r="AT2080" t="str">
            <v>AC</v>
          </cell>
          <cell r="AU2080" t="str">
            <v>Airconditioner</v>
          </cell>
          <cell r="AV2080" t="str">
            <v>ACMV</v>
          </cell>
          <cell r="AW2080" t="str">
            <v>Multi V</v>
          </cell>
          <cell r="AX2080" t="str">
            <v>ACMVOD</v>
          </cell>
          <cell r="AY2080" t="str">
            <v>Multi V O/D</v>
          </cell>
          <cell r="AZ2080" t="str">
            <v>ACMVODMO</v>
          </cell>
          <cell r="BA2080" t="str">
            <v>Multi V_O/D_MINI (S)</v>
          </cell>
        </row>
        <row r="2081">
          <cell r="E2081" t="str">
            <v>ARUV121LLS5.EWGTASA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2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 t="str">
            <v/>
          </cell>
          <cell r="AH2081" t="str">
            <v/>
          </cell>
          <cell r="AI2081" t="str">
            <v/>
          </cell>
          <cell r="AJ2081" t="str">
            <v/>
          </cell>
          <cell r="AK2081" t="str">
            <v>1.382394</v>
          </cell>
          <cell r="AL2081" t="str">
            <v>0</v>
          </cell>
          <cell r="AM2081" t="str">
            <v>Q</v>
          </cell>
          <cell r="AN2081" t="str">
            <v>M0</v>
          </cell>
          <cell r="AO2081" t="str">
            <v>Active(Model)</v>
          </cell>
          <cell r="AP2081" t="str">
            <v/>
          </cell>
          <cell r="AQ2081" t="str">
            <v/>
          </cell>
          <cell r="AR2081" t="str">
            <v>Y</v>
          </cell>
          <cell r="AS2081" t="str">
            <v/>
          </cell>
          <cell r="AT2081" t="str">
            <v>AC</v>
          </cell>
          <cell r="AU2081" t="str">
            <v>Airconditioner</v>
          </cell>
          <cell r="AV2081" t="str">
            <v>ACMV</v>
          </cell>
          <cell r="AW2081" t="str">
            <v>Multi V</v>
          </cell>
          <cell r="AX2081" t="str">
            <v>ACMVOD</v>
          </cell>
          <cell r="AY2081" t="str">
            <v>Multi V O/D</v>
          </cell>
          <cell r="AZ2081" t="str">
            <v>ACMVODMI</v>
          </cell>
          <cell r="BA2081" t="str">
            <v>Multi V_O/D_PRO</v>
          </cell>
        </row>
        <row r="2082">
          <cell r="E2082" t="str">
            <v>ARUV141LLS5.EWGTASA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 t="str">
            <v/>
          </cell>
          <cell r="AH2082" t="str">
            <v/>
          </cell>
          <cell r="AI2082" t="str">
            <v/>
          </cell>
          <cell r="AJ2082" t="str">
            <v/>
          </cell>
          <cell r="AK2082" t="str">
            <v>1.382394</v>
          </cell>
          <cell r="AL2082" t="str">
            <v>0</v>
          </cell>
          <cell r="AM2082" t="str">
            <v>Q</v>
          </cell>
          <cell r="AN2082" t="str">
            <v>M0</v>
          </cell>
          <cell r="AO2082" t="str">
            <v>Active(Model)</v>
          </cell>
          <cell r="AP2082" t="str">
            <v/>
          </cell>
          <cell r="AQ2082" t="str">
            <v/>
          </cell>
          <cell r="AR2082" t="str">
            <v>Y</v>
          </cell>
          <cell r="AS2082" t="str">
            <v/>
          </cell>
          <cell r="AT2082" t="str">
            <v>AC</v>
          </cell>
          <cell r="AU2082" t="str">
            <v>Airconditioner</v>
          </cell>
          <cell r="AV2082" t="str">
            <v>ACMV</v>
          </cell>
          <cell r="AW2082" t="str">
            <v>Multi V</v>
          </cell>
          <cell r="AX2082" t="str">
            <v>ACMVOD</v>
          </cell>
          <cell r="AY2082" t="str">
            <v>Multi V O/D</v>
          </cell>
          <cell r="AZ2082" t="str">
            <v>ACMVODMI</v>
          </cell>
          <cell r="BA2082" t="str">
            <v>Multi V_O/D_PRO</v>
          </cell>
        </row>
        <row r="2083">
          <cell r="E2083" t="str">
            <v>ARUV161LLS5.EWGTASA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1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 t="str">
            <v/>
          </cell>
          <cell r="AH2083" t="str">
            <v/>
          </cell>
          <cell r="AI2083" t="str">
            <v/>
          </cell>
          <cell r="AJ2083" t="str">
            <v/>
          </cell>
          <cell r="AK2083" t="str">
            <v>1.854784</v>
          </cell>
          <cell r="AL2083" t="str">
            <v>0</v>
          </cell>
          <cell r="AM2083" t="str">
            <v>Q</v>
          </cell>
          <cell r="AN2083" t="str">
            <v>M0</v>
          </cell>
          <cell r="AO2083" t="str">
            <v>Active(Model)</v>
          </cell>
          <cell r="AP2083" t="str">
            <v/>
          </cell>
          <cell r="AQ2083" t="str">
            <v/>
          </cell>
          <cell r="AR2083" t="str">
            <v>Y</v>
          </cell>
          <cell r="AS2083" t="str">
            <v/>
          </cell>
          <cell r="AT2083" t="str">
            <v>AC</v>
          </cell>
          <cell r="AU2083" t="str">
            <v>Airconditioner</v>
          </cell>
          <cell r="AV2083" t="str">
            <v>ACMV</v>
          </cell>
          <cell r="AW2083" t="str">
            <v>Multi V</v>
          </cell>
          <cell r="AX2083" t="str">
            <v>ACMVOD</v>
          </cell>
          <cell r="AY2083" t="str">
            <v>Multi V O/D</v>
          </cell>
          <cell r="AZ2083" t="str">
            <v>ACMVODMI</v>
          </cell>
          <cell r="BA2083" t="str">
            <v>Multi V_O/D_PRO</v>
          </cell>
        </row>
        <row r="2084">
          <cell r="E2084" t="str">
            <v>ARUV181LLS5.EWGTASA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1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 t="str">
            <v/>
          </cell>
          <cell r="AH2084" t="str">
            <v/>
          </cell>
          <cell r="AI2084" t="str">
            <v/>
          </cell>
          <cell r="AJ2084" t="str">
            <v/>
          </cell>
          <cell r="AK2084" t="str">
            <v>1.854784</v>
          </cell>
          <cell r="AL2084" t="str">
            <v>0</v>
          </cell>
          <cell r="AM2084" t="str">
            <v>Q</v>
          </cell>
          <cell r="AN2084" t="str">
            <v>M0</v>
          </cell>
          <cell r="AO2084" t="str">
            <v>Active(Model)</v>
          </cell>
          <cell r="AP2084" t="str">
            <v/>
          </cell>
          <cell r="AQ2084" t="str">
            <v/>
          </cell>
          <cell r="AR2084" t="str">
            <v>Y</v>
          </cell>
          <cell r="AS2084" t="str">
            <v/>
          </cell>
          <cell r="AT2084" t="str">
            <v>AC</v>
          </cell>
          <cell r="AU2084" t="str">
            <v>Airconditioner</v>
          </cell>
          <cell r="AV2084" t="str">
            <v>ACMV</v>
          </cell>
          <cell r="AW2084" t="str">
            <v>Multi V</v>
          </cell>
          <cell r="AX2084" t="str">
            <v>ACMVOD</v>
          </cell>
          <cell r="AY2084" t="str">
            <v>Multi V O/D</v>
          </cell>
          <cell r="AZ2084" t="str">
            <v>ACMVODMI</v>
          </cell>
          <cell r="BA2084" t="str">
            <v>Multi V_O/D_PRO</v>
          </cell>
        </row>
        <row r="2085">
          <cell r="E2085" t="str">
            <v>ARUV201LLS5.EWGTASA</v>
          </cell>
          <cell r="F2085">
            <v>1</v>
          </cell>
          <cell r="G2085">
            <v>0</v>
          </cell>
          <cell r="H2085">
            <v>0</v>
          </cell>
          <cell r="I2085">
            <v>1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 t="str">
            <v/>
          </cell>
          <cell r="AH2085" t="str">
            <v/>
          </cell>
          <cell r="AI2085" t="str">
            <v/>
          </cell>
          <cell r="AJ2085" t="str">
            <v/>
          </cell>
          <cell r="AK2085" t="str">
            <v>1.854784</v>
          </cell>
          <cell r="AL2085" t="str">
            <v>0</v>
          </cell>
          <cell r="AM2085" t="str">
            <v>Q</v>
          </cell>
          <cell r="AN2085" t="str">
            <v>M0</v>
          </cell>
          <cell r="AO2085" t="str">
            <v>Active(Model)</v>
          </cell>
          <cell r="AP2085" t="str">
            <v/>
          </cell>
          <cell r="AQ2085" t="str">
            <v/>
          </cell>
          <cell r="AR2085" t="str">
            <v>Y</v>
          </cell>
          <cell r="AS2085" t="str">
            <v/>
          </cell>
          <cell r="AT2085" t="str">
            <v>AC</v>
          </cell>
          <cell r="AU2085" t="str">
            <v>Airconditioner</v>
          </cell>
          <cell r="AV2085" t="str">
            <v>ACMV</v>
          </cell>
          <cell r="AW2085" t="str">
            <v>Multi V</v>
          </cell>
          <cell r="AX2085" t="str">
            <v>ACMVOD</v>
          </cell>
          <cell r="AY2085" t="str">
            <v>Multi V O/D</v>
          </cell>
          <cell r="AZ2085" t="str">
            <v>ACMVODMI</v>
          </cell>
          <cell r="BA2085" t="str">
            <v>Multi V_O/D_PRO</v>
          </cell>
        </row>
        <row r="2086">
          <cell r="E2086" t="str">
            <v>ARUV221LLS5.EWGTASA</v>
          </cell>
          <cell r="F2086">
            <v>0</v>
          </cell>
          <cell r="G2086">
            <v>0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 t="str">
            <v/>
          </cell>
          <cell r="AH2086" t="str">
            <v/>
          </cell>
          <cell r="AI2086" t="str">
            <v/>
          </cell>
          <cell r="AJ2086" t="str">
            <v/>
          </cell>
          <cell r="AK2086" t="str">
            <v>1.854784</v>
          </cell>
          <cell r="AL2086" t="str">
            <v>0</v>
          </cell>
          <cell r="AM2086" t="str">
            <v>Q</v>
          </cell>
          <cell r="AN2086" t="str">
            <v>M0</v>
          </cell>
          <cell r="AO2086" t="str">
            <v>Active(Model)</v>
          </cell>
          <cell r="AP2086" t="str">
            <v/>
          </cell>
          <cell r="AQ2086" t="str">
            <v/>
          </cell>
          <cell r="AR2086" t="str">
            <v>Y</v>
          </cell>
          <cell r="AS2086" t="str">
            <v/>
          </cell>
          <cell r="AT2086" t="str">
            <v>AC</v>
          </cell>
          <cell r="AU2086" t="str">
            <v>Airconditioner</v>
          </cell>
          <cell r="AV2086" t="str">
            <v>ACMV</v>
          </cell>
          <cell r="AW2086" t="str">
            <v>Multi V</v>
          </cell>
          <cell r="AX2086" t="str">
            <v>ACMVOD</v>
          </cell>
          <cell r="AY2086" t="str">
            <v>Multi V O/D</v>
          </cell>
          <cell r="AZ2086" t="str">
            <v>ACMVODMI</v>
          </cell>
          <cell r="BA2086" t="str">
            <v>Multi V_O/D_PRO</v>
          </cell>
        </row>
        <row r="2087">
          <cell r="E2087" t="str">
            <v>ARUV241LLS5.EWGTASA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1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 t="str">
            <v/>
          </cell>
          <cell r="AH2087" t="str">
            <v/>
          </cell>
          <cell r="AI2087" t="str">
            <v/>
          </cell>
          <cell r="AJ2087" t="str">
            <v/>
          </cell>
          <cell r="AK2087" t="str">
            <v>1.854784</v>
          </cell>
          <cell r="AL2087" t="str">
            <v>0</v>
          </cell>
          <cell r="AM2087" t="str">
            <v>Q</v>
          </cell>
          <cell r="AN2087" t="str">
            <v>M0</v>
          </cell>
          <cell r="AO2087" t="str">
            <v>Active(Model)</v>
          </cell>
          <cell r="AP2087" t="str">
            <v/>
          </cell>
          <cell r="AQ2087" t="str">
            <v/>
          </cell>
          <cell r="AR2087" t="str">
            <v>Y</v>
          </cell>
          <cell r="AS2087" t="str">
            <v/>
          </cell>
          <cell r="AT2087" t="str">
            <v>AC</v>
          </cell>
          <cell r="AU2087" t="str">
            <v>Airconditioner</v>
          </cell>
          <cell r="AV2087" t="str">
            <v>ACMV</v>
          </cell>
          <cell r="AW2087" t="str">
            <v>Multi V</v>
          </cell>
          <cell r="AX2087" t="str">
            <v>ACMVOD</v>
          </cell>
          <cell r="AY2087" t="str">
            <v>Multi V O/D</v>
          </cell>
          <cell r="AZ2087" t="str">
            <v>ACMVODMI</v>
          </cell>
          <cell r="BA2087" t="str">
            <v>Multi V_O/D_PRO</v>
          </cell>
        </row>
        <row r="2088">
          <cell r="E2088" t="str">
            <v>ARUV261LLS5.EWGTASA</v>
          </cell>
          <cell r="F2088">
            <v>1</v>
          </cell>
          <cell r="G2088">
            <v>0</v>
          </cell>
          <cell r="H2088">
            <v>0</v>
          </cell>
          <cell r="I2088">
            <v>1</v>
          </cell>
          <cell r="J2088">
            <v>0</v>
          </cell>
          <cell r="K2088">
            <v>2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 t="str">
            <v/>
          </cell>
          <cell r="AH2088" t="str">
            <v/>
          </cell>
          <cell r="AI2088" t="str">
            <v/>
          </cell>
          <cell r="AJ2088" t="str">
            <v/>
          </cell>
          <cell r="AK2088" t="str">
            <v>1.854784</v>
          </cell>
          <cell r="AL2088" t="str">
            <v>0</v>
          </cell>
          <cell r="AM2088" t="str">
            <v>Q</v>
          </cell>
          <cell r="AN2088" t="str">
            <v>M0</v>
          </cell>
          <cell r="AO2088" t="str">
            <v>Active(Model)</v>
          </cell>
          <cell r="AP2088" t="str">
            <v/>
          </cell>
          <cell r="AQ2088" t="str">
            <v/>
          </cell>
          <cell r="AR2088" t="str">
            <v>Y</v>
          </cell>
          <cell r="AS2088" t="str">
            <v/>
          </cell>
          <cell r="AT2088" t="str">
            <v>AC</v>
          </cell>
          <cell r="AU2088" t="str">
            <v>Airconditioner</v>
          </cell>
          <cell r="AV2088" t="str">
            <v>ACMV</v>
          </cell>
          <cell r="AW2088" t="str">
            <v>Multi V</v>
          </cell>
          <cell r="AX2088" t="str">
            <v>ACMVOD</v>
          </cell>
          <cell r="AY2088" t="str">
            <v>Multi V O/D</v>
          </cell>
          <cell r="AZ2088" t="str">
            <v>ACMVODMI</v>
          </cell>
          <cell r="BA2088" t="str">
            <v>Multi V_O/D_PRO</v>
          </cell>
        </row>
        <row r="2089">
          <cell r="E2089" t="str">
            <v>ARWM080LAS5.EWGBEVH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 t="str">
            <v/>
          </cell>
          <cell r="AH2089" t="str">
            <v/>
          </cell>
          <cell r="AI2089" t="str">
            <v/>
          </cell>
          <cell r="AJ2089" t="str">
            <v/>
          </cell>
          <cell r="AK2089" t="str">
            <v>0.658481</v>
          </cell>
          <cell r="AL2089" t="str">
            <v>0</v>
          </cell>
          <cell r="AM2089" t="str">
            <v>Q</v>
          </cell>
          <cell r="AN2089" t="str">
            <v>M0</v>
          </cell>
          <cell r="AO2089" t="str">
            <v>Active(Model)</v>
          </cell>
          <cell r="AP2089" t="str">
            <v/>
          </cell>
          <cell r="AQ2089" t="str">
            <v/>
          </cell>
          <cell r="AR2089" t="str">
            <v>Y</v>
          </cell>
          <cell r="AS2089" t="str">
            <v/>
          </cell>
          <cell r="AT2089" t="str">
            <v>AC</v>
          </cell>
          <cell r="AU2089" t="str">
            <v>Airconditioner</v>
          </cell>
          <cell r="AV2089" t="str">
            <v>ACMV</v>
          </cell>
          <cell r="AW2089" t="str">
            <v>Multi V</v>
          </cell>
          <cell r="AX2089" t="str">
            <v>ACMVOD</v>
          </cell>
          <cell r="AY2089" t="str">
            <v>Multi V O/D</v>
          </cell>
          <cell r="AZ2089" t="str">
            <v>ACMVODMW</v>
          </cell>
          <cell r="BA2089" t="str">
            <v>Multi V_O/D_WATER</v>
          </cell>
        </row>
        <row r="2090">
          <cell r="E2090" t="str">
            <v>ARWM100LAS5.EWGBEVH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 t="str">
            <v/>
          </cell>
          <cell r="AH2090" t="str">
            <v/>
          </cell>
          <cell r="AI2090" t="str">
            <v/>
          </cell>
          <cell r="AJ2090" t="str">
            <v/>
          </cell>
          <cell r="AK2090" t="str">
            <v>0.658481</v>
          </cell>
          <cell r="AL2090" t="str">
            <v>0</v>
          </cell>
          <cell r="AM2090" t="str">
            <v>Q</v>
          </cell>
          <cell r="AN2090" t="str">
            <v>M0</v>
          </cell>
          <cell r="AO2090" t="str">
            <v>Active(Model)</v>
          </cell>
          <cell r="AP2090" t="str">
            <v/>
          </cell>
          <cell r="AQ2090" t="str">
            <v/>
          </cell>
          <cell r="AR2090" t="str">
            <v>Y</v>
          </cell>
          <cell r="AS2090" t="str">
            <v/>
          </cell>
          <cell r="AT2090" t="str">
            <v>AC</v>
          </cell>
          <cell r="AU2090" t="str">
            <v>Airconditioner</v>
          </cell>
          <cell r="AV2090" t="str">
            <v>ACMV</v>
          </cell>
          <cell r="AW2090" t="str">
            <v>Multi V</v>
          </cell>
          <cell r="AX2090" t="str">
            <v>ACMVOD</v>
          </cell>
          <cell r="AY2090" t="str">
            <v>Multi V O/D</v>
          </cell>
          <cell r="AZ2090" t="str">
            <v>ACMVODMW</v>
          </cell>
          <cell r="BA2090" t="str">
            <v>Multi V_O/D_WATER</v>
          </cell>
        </row>
        <row r="2091">
          <cell r="E2091" t="str">
            <v>ARWM120LAS5.EWGBEVH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 t="str">
            <v/>
          </cell>
          <cell r="AH2091" t="str">
            <v/>
          </cell>
          <cell r="AI2091" t="str">
            <v/>
          </cell>
          <cell r="AJ2091" t="str">
            <v/>
          </cell>
          <cell r="AK2091" t="str">
            <v>0.658481</v>
          </cell>
          <cell r="AL2091" t="str">
            <v>0</v>
          </cell>
          <cell r="AM2091" t="str">
            <v>Q</v>
          </cell>
          <cell r="AN2091" t="str">
            <v>M0</v>
          </cell>
          <cell r="AO2091" t="str">
            <v>Active(Model)</v>
          </cell>
          <cell r="AP2091" t="str">
            <v/>
          </cell>
          <cell r="AQ2091" t="str">
            <v/>
          </cell>
          <cell r="AR2091" t="str">
            <v>Y</v>
          </cell>
          <cell r="AS2091" t="str">
            <v/>
          </cell>
          <cell r="AT2091" t="str">
            <v>AC</v>
          </cell>
          <cell r="AU2091" t="str">
            <v>Airconditioner</v>
          </cell>
          <cell r="AV2091" t="str">
            <v>ACMV</v>
          </cell>
          <cell r="AW2091" t="str">
            <v>Multi V</v>
          </cell>
          <cell r="AX2091" t="str">
            <v>ACMVOD</v>
          </cell>
          <cell r="AY2091" t="str">
            <v>Multi V O/D</v>
          </cell>
          <cell r="AZ2091" t="str">
            <v>ACMVODMW</v>
          </cell>
          <cell r="BA2091" t="str">
            <v>Multi V_O/D_WATER</v>
          </cell>
        </row>
        <row r="2092">
          <cell r="E2092" t="str">
            <v>ARWM120LAS5.EWGBLEU</v>
          </cell>
          <cell r="F2092">
            <v>6</v>
          </cell>
          <cell r="G2092">
            <v>0</v>
          </cell>
          <cell r="H2092">
            <v>0</v>
          </cell>
          <cell r="I2092">
            <v>6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 t="str">
            <v/>
          </cell>
          <cell r="AH2092" t="str">
            <v/>
          </cell>
          <cell r="AI2092" t="str">
            <v/>
          </cell>
          <cell r="AJ2092" t="str">
            <v/>
          </cell>
          <cell r="AK2092" t="str">
            <v>0.658481</v>
          </cell>
          <cell r="AL2092" t="str">
            <v>0</v>
          </cell>
          <cell r="AM2092" t="str">
            <v>Q</v>
          </cell>
          <cell r="AN2092" t="str">
            <v>M0</v>
          </cell>
          <cell r="AO2092" t="str">
            <v>Active(Model)</v>
          </cell>
          <cell r="AP2092" t="str">
            <v/>
          </cell>
          <cell r="AQ2092" t="str">
            <v/>
          </cell>
          <cell r="AR2092" t="str">
            <v>Y</v>
          </cell>
          <cell r="AS2092" t="str">
            <v/>
          </cell>
          <cell r="AT2092" t="str">
            <v>AC</v>
          </cell>
          <cell r="AU2092" t="str">
            <v>Airconditioner</v>
          </cell>
          <cell r="AV2092" t="str">
            <v>ACMV</v>
          </cell>
          <cell r="AW2092" t="str">
            <v>Multi V</v>
          </cell>
          <cell r="AX2092" t="str">
            <v>ACMVOD</v>
          </cell>
          <cell r="AY2092" t="str">
            <v>Multi V O/D</v>
          </cell>
          <cell r="AZ2092" t="str">
            <v>ACMVODMW</v>
          </cell>
          <cell r="BA2092" t="str">
            <v>Multi V_O/D_WATER</v>
          </cell>
        </row>
        <row r="2093">
          <cell r="E2093" t="str">
            <v>ARWM140LAS5.EWGBEVH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 t="str">
            <v/>
          </cell>
          <cell r="AH2093" t="str">
            <v/>
          </cell>
          <cell r="AI2093" t="str">
            <v/>
          </cell>
          <cell r="AJ2093" t="str">
            <v/>
          </cell>
          <cell r="AK2093" t="str">
            <v>0.658481</v>
          </cell>
          <cell r="AL2093" t="str">
            <v>0</v>
          </cell>
          <cell r="AM2093" t="str">
            <v>Q</v>
          </cell>
          <cell r="AN2093" t="str">
            <v>M0</v>
          </cell>
          <cell r="AO2093" t="str">
            <v>Active(Model)</v>
          </cell>
          <cell r="AP2093" t="str">
            <v/>
          </cell>
          <cell r="AQ2093" t="str">
            <v/>
          </cell>
          <cell r="AR2093" t="str">
            <v>Y</v>
          </cell>
          <cell r="AS2093" t="str">
            <v/>
          </cell>
          <cell r="AT2093" t="str">
            <v>AC</v>
          </cell>
          <cell r="AU2093" t="str">
            <v>Airconditioner</v>
          </cell>
          <cell r="AV2093" t="str">
            <v>ACMV</v>
          </cell>
          <cell r="AW2093" t="str">
            <v>Multi V</v>
          </cell>
          <cell r="AX2093" t="str">
            <v>ACMVOD</v>
          </cell>
          <cell r="AY2093" t="str">
            <v>Multi V O/D</v>
          </cell>
          <cell r="AZ2093" t="str">
            <v>ACMVODMW</v>
          </cell>
          <cell r="BA2093" t="str">
            <v>Multi V_O/D_WATER</v>
          </cell>
        </row>
        <row r="2094">
          <cell r="E2094" t="str">
            <v>ARWM160LAS5.EWGBEVH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 t="str">
            <v/>
          </cell>
          <cell r="AH2094" t="str">
            <v/>
          </cell>
          <cell r="AI2094" t="str">
            <v/>
          </cell>
          <cell r="AJ2094" t="str">
            <v/>
          </cell>
          <cell r="AK2094" t="str">
            <v>0.658481</v>
          </cell>
          <cell r="AL2094" t="str">
            <v>0</v>
          </cell>
          <cell r="AM2094" t="str">
            <v>Q</v>
          </cell>
          <cell r="AN2094" t="str">
            <v>M0</v>
          </cell>
          <cell r="AO2094" t="str">
            <v>Active(Model)</v>
          </cell>
          <cell r="AP2094" t="str">
            <v/>
          </cell>
          <cell r="AQ2094" t="str">
            <v/>
          </cell>
          <cell r="AR2094" t="str">
            <v>Y</v>
          </cell>
          <cell r="AS2094" t="str">
            <v/>
          </cell>
          <cell r="AT2094" t="str">
            <v>AC</v>
          </cell>
          <cell r="AU2094" t="str">
            <v>Airconditioner</v>
          </cell>
          <cell r="AV2094" t="str">
            <v>ACMV</v>
          </cell>
          <cell r="AW2094" t="str">
            <v>Multi V</v>
          </cell>
          <cell r="AX2094" t="str">
            <v>ACMVOD</v>
          </cell>
          <cell r="AY2094" t="str">
            <v>Multi V O/D</v>
          </cell>
          <cell r="AZ2094" t="str">
            <v>ACMVODMW</v>
          </cell>
          <cell r="BA2094" t="str">
            <v>Multi V_O/D_WATER</v>
          </cell>
        </row>
        <row r="2095">
          <cell r="E2095" t="str">
            <v>ARWM160LAS5.EWGBLEU</v>
          </cell>
          <cell r="F2095">
            <v>9</v>
          </cell>
          <cell r="G2095">
            <v>0</v>
          </cell>
          <cell r="H2095">
            <v>0</v>
          </cell>
          <cell r="I2095">
            <v>9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 t="str">
            <v/>
          </cell>
          <cell r="AH2095" t="str">
            <v/>
          </cell>
          <cell r="AI2095" t="str">
            <v/>
          </cell>
          <cell r="AJ2095" t="str">
            <v/>
          </cell>
          <cell r="AK2095" t="str">
            <v>0.658481</v>
          </cell>
          <cell r="AL2095" t="str">
            <v>0</v>
          </cell>
          <cell r="AM2095" t="str">
            <v>Q</v>
          </cell>
          <cell r="AN2095" t="str">
            <v>M5</v>
          </cell>
          <cell r="AO2095" t="str">
            <v>To Be Obsolete(Model)</v>
          </cell>
          <cell r="AP2095" t="str">
            <v/>
          </cell>
          <cell r="AQ2095" t="str">
            <v/>
          </cell>
          <cell r="AR2095" t="str">
            <v>Y</v>
          </cell>
          <cell r="AS2095" t="str">
            <v/>
          </cell>
          <cell r="AT2095" t="str">
            <v>AC</v>
          </cell>
          <cell r="AU2095" t="str">
            <v>Airconditioner</v>
          </cell>
          <cell r="AV2095" t="str">
            <v>ACMV</v>
          </cell>
          <cell r="AW2095" t="str">
            <v>Multi V</v>
          </cell>
          <cell r="AX2095" t="str">
            <v>ACMVOD</v>
          </cell>
          <cell r="AY2095" t="str">
            <v>Multi V O/D</v>
          </cell>
          <cell r="AZ2095" t="str">
            <v>ACMVODMW</v>
          </cell>
          <cell r="BA2095" t="str">
            <v>Multi V_O/D_WATER</v>
          </cell>
        </row>
        <row r="2096">
          <cell r="E2096" t="str">
            <v>ARWM180LAS5.EWGBEVH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 t="str">
            <v/>
          </cell>
          <cell r="AH2096" t="str">
            <v/>
          </cell>
          <cell r="AI2096" t="str">
            <v/>
          </cell>
          <cell r="AJ2096" t="str">
            <v/>
          </cell>
          <cell r="AK2096" t="str">
            <v>0.658481</v>
          </cell>
          <cell r="AL2096" t="str">
            <v>0</v>
          </cell>
          <cell r="AM2096" t="str">
            <v>Q</v>
          </cell>
          <cell r="AN2096" t="str">
            <v>M0</v>
          </cell>
          <cell r="AO2096" t="str">
            <v>Active(Model)</v>
          </cell>
          <cell r="AP2096" t="str">
            <v/>
          </cell>
          <cell r="AQ2096" t="str">
            <v/>
          </cell>
          <cell r="AR2096" t="str">
            <v>Y</v>
          </cell>
          <cell r="AS2096" t="str">
            <v/>
          </cell>
          <cell r="AT2096" t="str">
            <v>AC</v>
          </cell>
          <cell r="AU2096" t="str">
            <v>Airconditioner</v>
          </cell>
          <cell r="AV2096" t="str">
            <v>ACMV</v>
          </cell>
          <cell r="AW2096" t="str">
            <v>Multi V</v>
          </cell>
          <cell r="AX2096" t="str">
            <v>ACMVOD</v>
          </cell>
          <cell r="AY2096" t="str">
            <v>Multi V O/D</v>
          </cell>
          <cell r="AZ2096" t="str">
            <v>ACMVODMW</v>
          </cell>
          <cell r="BA2096" t="str">
            <v>Multi V_O/D_WATER</v>
          </cell>
        </row>
        <row r="2097">
          <cell r="E2097" t="str">
            <v>ARWM200LAS5.EWGBEVH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 t="str">
            <v/>
          </cell>
          <cell r="AH2097" t="str">
            <v/>
          </cell>
          <cell r="AI2097" t="str">
            <v/>
          </cell>
          <cell r="AJ2097" t="str">
            <v/>
          </cell>
          <cell r="AK2097" t="str">
            <v>0.658481</v>
          </cell>
          <cell r="AL2097" t="str">
            <v>0</v>
          </cell>
          <cell r="AM2097" t="str">
            <v>Q</v>
          </cell>
          <cell r="AN2097" t="str">
            <v>M0</v>
          </cell>
          <cell r="AO2097" t="str">
            <v>Active(Model)</v>
          </cell>
          <cell r="AP2097" t="str">
            <v/>
          </cell>
          <cell r="AQ2097" t="str">
            <v/>
          </cell>
          <cell r="AR2097" t="str">
            <v>Y</v>
          </cell>
          <cell r="AS2097" t="str">
            <v/>
          </cell>
          <cell r="AT2097" t="str">
            <v>AC</v>
          </cell>
          <cell r="AU2097" t="str">
            <v>Airconditioner</v>
          </cell>
          <cell r="AV2097" t="str">
            <v>ACMV</v>
          </cell>
          <cell r="AW2097" t="str">
            <v>Multi V</v>
          </cell>
          <cell r="AX2097" t="str">
            <v>ACMVOD</v>
          </cell>
          <cell r="AY2097" t="str">
            <v>Multi V O/D</v>
          </cell>
          <cell r="AZ2097" t="str">
            <v>ACMVODMW</v>
          </cell>
          <cell r="BA2097" t="str">
            <v>Multi V_O/D_WATER</v>
          </cell>
        </row>
        <row r="2098">
          <cell r="E2098" t="str">
            <v>AS10GDBY0.ABAE</v>
          </cell>
          <cell r="F2098">
            <v>0</v>
          </cell>
          <cell r="G2098">
            <v>0</v>
          </cell>
          <cell r="H2098">
            <v>0</v>
          </cell>
          <cell r="I2098">
            <v>9</v>
          </cell>
          <cell r="J2098">
            <v>1</v>
          </cell>
          <cell r="K2098">
            <v>0</v>
          </cell>
          <cell r="L2098">
            <v>0</v>
          </cell>
          <cell r="M2098">
            <v>1</v>
          </cell>
          <cell r="N2098">
            <v>2</v>
          </cell>
          <cell r="O2098">
            <v>3</v>
          </cell>
          <cell r="P2098">
            <v>3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 t="str">
            <v/>
          </cell>
          <cell r="AH2098" t="str">
            <v/>
          </cell>
          <cell r="AI2098" t="str">
            <v/>
          </cell>
          <cell r="AJ2098" t="str">
            <v/>
          </cell>
          <cell r="AK2098" t="str">
            <v>0.241988</v>
          </cell>
          <cell r="AL2098" t="str">
            <v>0</v>
          </cell>
          <cell r="AM2098" t="str">
            <v>Q</v>
          </cell>
          <cell r="AN2098" t="str">
            <v>M0</v>
          </cell>
          <cell r="AO2098" t="str">
            <v>Active(Model)</v>
          </cell>
          <cell r="AP2098" t="str">
            <v/>
          </cell>
          <cell r="AQ2098" t="str">
            <v/>
          </cell>
          <cell r="AR2098" t="str">
            <v>Y</v>
          </cell>
          <cell r="AS2098" t="str">
            <v/>
          </cell>
          <cell r="AT2098" t="str">
            <v>HC</v>
          </cell>
          <cell r="AU2098" t="str">
            <v>Healthcare</v>
          </cell>
          <cell r="AV2098" t="str">
            <v>HCWC</v>
          </cell>
          <cell r="AW2098" t="str">
            <v>Wellness care</v>
          </cell>
          <cell r="AX2098" t="str">
            <v>HCWCAS</v>
          </cell>
          <cell r="AY2098" t="str">
            <v>Air Solution</v>
          </cell>
          <cell r="AZ2098" t="str">
            <v>HCWCASAC</v>
          </cell>
          <cell r="BA2098" t="str">
            <v>Air Cleaner</v>
          </cell>
        </row>
        <row r="2099">
          <cell r="E2099" t="str">
            <v>AS10GDWH0.ABAE</v>
          </cell>
          <cell r="F2099">
            <v>0</v>
          </cell>
          <cell r="G2099">
            <v>0</v>
          </cell>
          <cell r="H2099">
            <v>0</v>
          </cell>
          <cell r="I2099">
            <v>11</v>
          </cell>
          <cell r="J2099">
            <v>0</v>
          </cell>
          <cell r="K2099">
            <v>0</v>
          </cell>
          <cell r="L2099">
            <v>0</v>
          </cell>
          <cell r="M2099">
            <v>2</v>
          </cell>
          <cell r="N2099">
            <v>0</v>
          </cell>
          <cell r="O2099">
            <v>0</v>
          </cell>
          <cell r="P2099">
            <v>2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 t="str">
            <v>RACPREMIUM</v>
          </cell>
          <cell r="AH2099" t="str">
            <v>RAC_Premium</v>
          </cell>
          <cell r="AI2099" t="str">
            <v/>
          </cell>
          <cell r="AJ2099" t="str">
            <v/>
          </cell>
          <cell r="AK2099" t="str">
            <v>0.215177</v>
          </cell>
          <cell r="AL2099" t="str">
            <v>0</v>
          </cell>
          <cell r="AM2099" t="str">
            <v>Q</v>
          </cell>
          <cell r="AN2099" t="str">
            <v>M0</v>
          </cell>
          <cell r="AO2099" t="str">
            <v>Active(Model)</v>
          </cell>
          <cell r="AP2099" t="str">
            <v/>
          </cell>
          <cell r="AQ2099" t="str">
            <v/>
          </cell>
          <cell r="AR2099" t="str">
            <v>Y</v>
          </cell>
          <cell r="AS2099" t="str">
            <v/>
          </cell>
          <cell r="AT2099" t="str">
            <v>HC</v>
          </cell>
          <cell r="AU2099" t="str">
            <v>Healthcare</v>
          </cell>
          <cell r="AV2099" t="str">
            <v>HCWC</v>
          </cell>
          <cell r="AW2099" t="str">
            <v>Wellness care</v>
          </cell>
          <cell r="AX2099" t="str">
            <v>HCWCAS</v>
          </cell>
          <cell r="AY2099" t="str">
            <v>Air Solution</v>
          </cell>
          <cell r="AZ2099" t="str">
            <v>HCWCASAC</v>
          </cell>
          <cell r="BA2099" t="str">
            <v>Air Cleaner</v>
          </cell>
        </row>
        <row r="2100">
          <cell r="E2100" t="str">
            <v>AS20GPWU0.ABAE</v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 t="str">
            <v/>
          </cell>
          <cell r="AH2100" t="str">
            <v/>
          </cell>
          <cell r="AI2100" t="str">
            <v/>
          </cell>
          <cell r="AJ2100" t="str">
            <v/>
          </cell>
          <cell r="AK2100" t="str">
            <v>0.130270</v>
          </cell>
          <cell r="AL2100" t="str">
            <v>0</v>
          </cell>
          <cell r="AM2100" t="str">
            <v>Q</v>
          </cell>
          <cell r="AN2100" t="str">
            <v>M0</v>
          </cell>
          <cell r="AO2100" t="str">
            <v>Active(Model)</v>
          </cell>
          <cell r="AP2100" t="str">
            <v/>
          </cell>
          <cell r="AQ2100" t="str">
            <v/>
          </cell>
          <cell r="AR2100" t="str">
            <v>Y</v>
          </cell>
          <cell r="AS2100" t="str">
            <v/>
          </cell>
          <cell r="AT2100" t="str">
            <v>HC</v>
          </cell>
          <cell r="AU2100" t="str">
            <v>Healthcare</v>
          </cell>
          <cell r="AV2100" t="str">
            <v>HCWC</v>
          </cell>
          <cell r="AW2100" t="str">
            <v>Wellness care</v>
          </cell>
          <cell r="AX2100" t="str">
            <v>HCWCAS</v>
          </cell>
          <cell r="AY2100" t="str">
            <v>Air Solution</v>
          </cell>
          <cell r="AZ2100" t="str">
            <v>HCWCASAC</v>
          </cell>
          <cell r="BA2100" t="str">
            <v>Air Cleaner</v>
          </cell>
        </row>
        <row r="2101">
          <cell r="E2101" t="str">
            <v>AS20GSHU0.ABAE</v>
          </cell>
          <cell r="F2101">
            <v>0</v>
          </cell>
          <cell r="G2101">
            <v>0</v>
          </cell>
          <cell r="H2101">
            <v>0</v>
          </cell>
          <cell r="I2101">
            <v>3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 t="str">
            <v/>
          </cell>
          <cell r="AH2101" t="str">
            <v/>
          </cell>
          <cell r="AI2101" t="str">
            <v/>
          </cell>
          <cell r="AJ2101" t="str">
            <v/>
          </cell>
          <cell r="AK2101" t="str">
            <v>0.154991</v>
          </cell>
          <cell r="AL2101" t="str">
            <v>0</v>
          </cell>
          <cell r="AM2101" t="str">
            <v>Q</v>
          </cell>
          <cell r="AN2101" t="str">
            <v>M0</v>
          </cell>
          <cell r="AO2101" t="str">
            <v>Active(Model)</v>
          </cell>
          <cell r="AP2101" t="str">
            <v/>
          </cell>
          <cell r="AQ2101" t="str">
            <v/>
          </cell>
          <cell r="AR2101" t="str">
            <v>Y</v>
          </cell>
          <cell r="AS2101" t="str">
            <v/>
          </cell>
          <cell r="AT2101" t="str">
            <v>HC</v>
          </cell>
          <cell r="AU2101" t="str">
            <v>Healthcare</v>
          </cell>
          <cell r="AV2101" t="str">
            <v>HCWC</v>
          </cell>
          <cell r="AW2101" t="str">
            <v>Wellness care</v>
          </cell>
          <cell r="AX2101" t="str">
            <v>HCWCAS</v>
          </cell>
          <cell r="AY2101" t="str">
            <v>Air Solution</v>
          </cell>
          <cell r="AZ2101" t="str">
            <v>HCWCASAC</v>
          </cell>
          <cell r="BA2101" t="str">
            <v>Air Cleaner</v>
          </cell>
        </row>
        <row r="2102">
          <cell r="E2102" t="str">
            <v>AS30GGG1A.ABAE</v>
          </cell>
          <cell r="F2102">
            <v>0</v>
          </cell>
          <cell r="G2102">
            <v>0</v>
          </cell>
          <cell r="H2102">
            <v>0</v>
          </cell>
          <cell r="I2102">
            <v>10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1</v>
          </cell>
          <cell r="O2102">
            <v>0</v>
          </cell>
          <cell r="P2102">
            <v>1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 t="str">
            <v/>
          </cell>
          <cell r="AH2102" t="str">
            <v/>
          </cell>
          <cell r="AI2102" t="str">
            <v/>
          </cell>
          <cell r="AJ2102" t="str">
            <v/>
          </cell>
          <cell r="AK2102" t="str">
            <v>0.040843</v>
          </cell>
          <cell r="AL2102" t="str">
            <v>0</v>
          </cell>
          <cell r="AM2102" t="str">
            <v>Q</v>
          </cell>
          <cell r="AN2102" t="str">
            <v>M0</v>
          </cell>
          <cell r="AO2102" t="str">
            <v>Active(Model)</v>
          </cell>
          <cell r="AP2102" t="str">
            <v/>
          </cell>
          <cell r="AQ2102" t="str">
            <v/>
          </cell>
          <cell r="AR2102" t="str">
            <v>Y</v>
          </cell>
          <cell r="AS2102" t="str">
            <v/>
          </cell>
          <cell r="AT2102" t="str">
            <v>HC</v>
          </cell>
          <cell r="AU2102" t="str">
            <v>Healthcare</v>
          </cell>
          <cell r="AV2102" t="str">
            <v>HCWC</v>
          </cell>
          <cell r="AW2102" t="str">
            <v>Wellness care</v>
          </cell>
          <cell r="AX2102" t="str">
            <v>HCWCAS</v>
          </cell>
          <cell r="AY2102" t="str">
            <v>Air Solution</v>
          </cell>
          <cell r="AZ2102" t="str">
            <v>HCWCASCO</v>
          </cell>
          <cell r="BA2102" t="str">
            <v>Air Cleaner_ODM</v>
          </cell>
        </row>
        <row r="2103">
          <cell r="E2103" t="str">
            <v>AS30GGW1A.ABAE</v>
          </cell>
          <cell r="F2103">
            <v>0</v>
          </cell>
          <cell r="G2103">
            <v>0</v>
          </cell>
          <cell r="H2103">
            <v>0</v>
          </cell>
          <cell r="I2103">
            <v>5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 t="str">
            <v/>
          </cell>
          <cell r="AH2103" t="str">
            <v/>
          </cell>
          <cell r="AI2103" t="str">
            <v/>
          </cell>
          <cell r="AJ2103" t="str">
            <v/>
          </cell>
          <cell r="AK2103" t="str">
            <v>0.040843</v>
          </cell>
          <cell r="AL2103" t="str">
            <v>0</v>
          </cell>
          <cell r="AM2103" t="str">
            <v>Q</v>
          </cell>
          <cell r="AN2103" t="str">
            <v>M0</v>
          </cell>
          <cell r="AO2103" t="str">
            <v>Active(Model)</v>
          </cell>
          <cell r="AP2103" t="str">
            <v/>
          </cell>
          <cell r="AQ2103" t="str">
            <v/>
          </cell>
          <cell r="AR2103" t="str">
            <v>Y</v>
          </cell>
          <cell r="AS2103" t="str">
            <v/>
          </cell>
          <cell r="AT2103" t="str">
            <v>HC</v>
          </cell>
          <cell r="AU2103" t="str">
            <v>Healthcare</v>
          </cell>
          <cell r="AV2103" t="str">
            <v>HCWC</v>
          </cell>
          <cell r="AW2103" t="str">
            <v>Wellness care</v>
          </cell>
          <cell r="AX2103" t="str">
            <v>HCWCAS</v>
          </cell>
          <cell r="AY2103" t="str">
            <v>Air Solution</v>
          </cell>
          <cell r="AZ2103" t="str">
            <v>HCWCASCO</v>
          </cell>
          <cell r="BA2103" t="str">
            <v>Air Cleaner_ODM</v>
          </cell>
        </row>
        <row r="2104">
          <cell r="E2104" t="str">
            <v>AS35GGW10.ABAE</v>
          </cell>
          <cell r="F2104">
            <v>181</v>
          </cell>
          <cell r="G2104">
            <v>0</v>
          </cell>
          <cell r="H2104">
            <v>0</v>
          </cell>
          <cell r="I2104">
            <v>201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1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 t="str">
            <v/>
          </cell>
          <cell r="AH2104" t="str">
            <v/>
          </cell>
          <cell r="AI2104" t="str">
            <v/>
          </cell>
          <cell r="AJ2104" t="str">
            <v/>
          </cell>
          <cell r="AK2104" t="str">
            <v>0.053700</v>
          </cell>
          <cell r="AL2104" t="str">
            <v>0</v>
          </cell>
          <cell r="AM2104" t="str">
            <v>Q</v>
          </cell>
          <cell r="AN2104" t="str">
            <v>M0</v>
          </cell>
          <cell r="AO2104" t="str">
            <v>Active(Model)</v>
          </cell>
          <cell r="AP2104" t="str">
            <v/>
          </cell>
          <cell r="AQ2104" t="str">
            <v/>
          </cell>
          <cell r="AR2104" t="str">
            <v>Y</v>
          </cell>
          <cell r="AS2104" t="str">
            <v/>
          </cell>
          <cell r="AT2104" t="str">
            <v>HC</v>
          </cell>
          <cell r="AU2104" t="str">
            <v>Healthcare</v>
          </cell>
          <cell r="AV2104" t="str">
            <v>HCWC</v>
          </cell>
          <cell r="AW2104" t="str">
            <v>Wellness care</v>
          </cell>
          <cell r="AX2104" t="str">
            <v>HCWCAS</v>
          </cell>
          <cell r="AY2104" t="str">
            <v>Air Solution</v>
          </cell>
          <cell r="AZ2104" t="str">
            <v>HCWCASAC</v>
          </cell>
          <cell r="BA2104" t="str">
            <v>Air Cleaner</v>
          </cell>
        </row>
        <row r="2105">
          <cell r="E2105" t="str">
            <v>AS55GGSY0.ABAE</v>
          </cell>
          <cell r="F2105">
            <v>0</v>
          </cell>
          <cell r="G2105">
            <v>0</v>
          </cell>
          <cell r="H2105">
            <v>0</v>
          </cell>
          <cell r="I2105">
            <v>1</v>
          </cell>
          <cell r="J2105">
            <v>2</v>
          </cell>
          <cell r="K2105">
            <v>19</v>
          </cell>
          <cell r="L2105">
            <v>0</v>
          </cell>
          <cell r="M2105">
            <v>0</v>
          </cell>
          <cell r="N2105">
            <v>0</v>
          </cell>
          <cell r="O2105">
            <v>16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 t="str">
            <v/>
          </cell>
          <cell r="AH2105" t="str">
            <v/>
          </cell>
          <cell r="AI2105" t="str">
            <v/>
          </cell>
          <cell r="AJ2105" t="str">
            <v/>
          </cell>
          <cell r="AK2105" t="str">
            <v>0.117515</v>
          </cell>
          <cell r="AL2105" t="str">
            <v>0</v>
          </cell>
          <cell r="AM2105" t="str">
            <v>Q</v>
          </cell>
          <cell r="AN2105" t="str">
            <v>M0</v>
          </cell>
          <cell r="AO2105" t="str">
            <v>Active(Model)</v>
          </cell>
          <cell r="AP2105" t="str">
            <v/>
          </cell>
          <cell r="AQ2105" t="str">
            <v/>
          </cell>
          <cell r="AR2105" t="str">
            <v>Y</v>
          </cell>
          <cell r="AS2105" t="str">
            <v/>
          </cell>
          <cell r="AT2105" t="str">
            <v>HC</v>
          </cell>
          <cell r="AU2105" t="str">
            <v>Healthcare</v>
          </cell>
          <cell r="AV2105" t="str">
            <v>HCWC</v>
          </cell>
          <cell r="AW2105" t="str">
            <v>Wellness care</v>
          </cell>
          <cell r="AX2105" t="str">
            <v>HCWCAS</v>
          </cell>
          <cell r="AY2105" t="str">
            <v>Air Solution</v>
          </cell>
          <cell r="AZ2105" t="str">
            <v>HCWCASAC</v>
          </cell>
          <cell r="BA2105" t="str">
            <v>Air Cleaner</v>
          </cell>
        </row>
        <row r="2106">
          <cell r="E2106" t="str">
            <v>AS60GHHG0.ABAE</v>
          </cell>
          <cell r="F2106">
            <v>30</v>
          </cell>
          <cell r="G2106">
            <v>0</v>
          </cell>
          <cell r="H2106">
            <v>0</v>
          </cell>
          <cell r="I2106">
            <v>41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0</v>
          </cell>
          <cell r="AF2106">
            <v>0</v>
          </cell>
          <cell r="AG2106" t="str">
            <v/>
          </cell>
          <cell r="AH2106" t="str">
            <v/>
          </cell>
          <cell r="AI2106" t="str">
            <v/>
          </cell>
          <cell r="AJ2106" t="str">
            <v/>
          </cell>
          <cell r="AK2106" t="str">
            <v>0.099832</v>
          </cell>
          <cell r="AL2106" t="str">
            <v>0</v>
          </cell>
          <cell r="AM2106" t="str">
            <v>Q</v>
          </cell>
          <cell r="AN2106" t="str">
            <v>M0</v>
          </cell>
          <cell r="AO2106" t="str">
            <v>Active(Model)</v>
          </cell>
          <cell r="AP2106" t="str">
            <v/>
          </cell>
          <cell r="AQ2106" t="str">
            <v/>
          </cell>
          <cell r="AR2106" t="str">
            <v>Y</v>
          </cell>
          <cell r="AS2106" t="str">
            <v/>
          </cell>
          <cell r="AT2106" t="str">
            <v>HC</v>
          </cell>
          <cell r="AU2106" t="str">
            <v>Healthcare</v>
          </cell>
          <cell r="AV2106" t="str">
            <v>HCWC</v>
          </cell>
          <cell r="AW2106" t="str">
            <v>Wellness care</v>
          </cell>
          <cell r="AX2106" t="str">
            <v>HCWCAS</v>
          </cell>
          <cell r="AY2106" t="str">
            <v>Air Solution</v>
          </cell>
          <cell r="AZ2106" t="str">
            <v>HCWCASAC</v>
          </cell>
          <cell r="BA2106" t="str">
            <v>Air Cleaner</v>
          </cell>
        </row>
        <row r="2107">
          <cell r="E2107" t="str">
            <v>AS60GHWG0.ABAE</v>
          </cell>
          <cell r="F2107">
            <v>1426</v>
          </cell>
          <cell r="G2107">
            <v>0</v>
          </cell>
          <cell r="H2107">
            <v>0</v>
          </cell>
          <cell r="I2107">
            <v>1460</v>
          </cell>
          <cell r="J2107">
            <v>39</v>
          </cell>
          <cell r="K2107">
            <v>1</v>
          </cell>
          <cell r="L2107">
            <v>0</v>
          </cell>
          <cell r="M2107">
            <v>1</v>
          </cell>
          <cell r="N2107">
            <v>12</v>
          </cell>
          <cell r="O2107">
            <v>255</v>
          </cell>
          <cell r="P2107">
            <v>13</v>
          </cell>
          <cell r="Q2107">
            <v>0</v>
          </cell>
          <cell r="R2107">
            <v>0</v>
          </cell>
          <cell r="S2107">
            <v>0</v>
          </cell>
          <cell r="T2107">
            <v>2</v>
          </cell>
          <cell r="U2107">
            <v>0</v>
          </cell>
          <cell r="V2107">
            <v>1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1</v>
          </cell>
          <cell r="AB2107">
            <v>0</v>
          </cell>
          <cell r="AC2107">
            <v>4</v>
          </cell>
          <cell r="AD2107">
            <v>0</v>
          </cell>
          <cell r="AE2107">
            <v>3</v>
          </cell>
          <cell r="AF2107">
            <v>4</v>
          </cell>
          <cell r="AG2107" t="str">
            <v/>
          </cell>
          <cell r="AH2107" t="str">
            <v/>
          </cell>
          <cell r="AI2107" t="str">
            <v/>
          </cell>
          <cell r="AJ2107" t="str">
            <v/>
          </cell>
          <cell r="AK2107" t="str">
            <v>0.099832</v>
          </cell>
          <cell r="AL2107" t="str">
            <v>0</v>
          </cell>
          <cell r="AM2107" t="str">
            <v>Q</v>
          </cell>
          <cell r="AN2107" t="str">
            <v>M0</v>
          </cell>
          <cell r="AO2107" t="str">
            <v>Active(Model)</v>
          </cell>
          <cell r="AP2107" t="str">
            <v/>
          </cell>
          <cell r="AQ2107" t="str">
            <v/>
          </cell>
          <cell r="AR2107" t="str">
            <v>Y</v>
          </cell>
          <cell r="AS2107" t="str">
            <v/>
          </cell>
          <cell r="AT2107" t="str">
            <v>HC</v>
          </cell>
          <cell r="AU2107" t="str">
            <v>Healthcare</v>
          </cell>
          <cell r="AV2107" t="str">
            <v>HCWC</v>
          </cell>
          <cell r="AW2107" t="str">
            <v>Wellness care</v>
          </cell>
          <cell r="AX2107" t="str">
            <v>HCWCAS</v>
          </cell>
          <cell r="AY2107" t="str">
            <v>Air Solution</v>
          </cell>
          <cell r="AZ2107" t="str">
            <v>HCWCASCO</v>
          </cell>
          <cell r="BA2107" t="str">
            <v>Air Cleaner_ODM</v>
          </cell>
        </row>
        <row r="2108">
          <cell r="E2108" t="str">
            <v>AS65GDBY0.ABAE</v>
          </cell>
          <cell r="F2108">
            <v>0</v>
          </cell>
          <cell r="G2108">
            <v>0</v>
          </cell>
          <cell r="H2108">
            <v>0</v>
          </cell>
          <cell r="I2108">
            <v>14</v>
          </cell>
          <cell r="J2108">
            <v>1</v>
          </cell>
          <cell r="K2108">
            <v>10</v>
          </cell>
          <cell r="L2108">
            <v>0</v>
          </cell>
          <cell r="M2108">
            <v>4</v>
          </cell>
          <cell r="N2108">
            <v>2</v>
          </cell>
          <cell r="O2108">
            <v>17</v>
          </cell>
          <cell r="P2108">
            <v>6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4</v>
          </cell>
          <cell r="AD2108">
            <v>0</v>
          </cell>
          <cell r="AE2108">
            <v>0</v>
          </cell>
          <cell r="AF2108">
            <v>4</v>
          </cell>
          <cell r="AG2108" t="str">
            <v/>
          </cell>
          <cell r="AH2108" t="str">
            <v/>
          </cell>
          <cell r="AI2108" t="str">
            <v/>
          </cell>
          <cell r="AJ2108" t="str">
            <v/>
          </cell>
          <cell r="AK2108" t="str">
            <v>0.131261</v>
          </cell>
          <cell r="AL2108" t="str">
            <v>0</v>
          </cell>
          <cell r="AM2108" t="str">
            <v>Q</v>
          </cell>
          <cell r="AN2108" t="str">
            <v>M0</v>
          </cell>
          <cell r="AO2108" t="str">
            <v>Active(Model)</v>
          </cell>
          <cell r="AP2108" t="str">
            <v/>
          </cell>
          <cell r="AQ2108" t="str">
            <v/>
          </cell>
          <cell r="AR2108" t="str">
            <v>Y</v>
          </cell>
          <cell r="AS2108" t="str">
            <v/>
          </cell>
          <cell r="AT2108" t="str">
            <v>HC</v>
          </cell>
          <cell r="AU2108" t="str">
            <v>Healthcare</v>
          </cell>
          <cell r="AV2108" t="str">
            <v>HCWC</v>
          </cell>
          <cell r="AW2108" t="str">
            <v>Wellness care</v>
          </cell>
          <cell r="AX2108" t="str">
            <v>HCWCAS</v>
          </cell>
          <cell r="AY2108" t="str">
            <v>Air Solution</v>
          </cell>
          <cell r="AZ2108" t="str">
            <v>HCWCASAC</v>
          </cell>
          <cell r="BA2108" t="str">
            <v>Air Cleaner</v>
          </cell>
        </row>
        <row r="2109">
          <cell r="E2109" t="str">
            <v>AS65GDWH0.ABAE</v>
          </cell>
          <cell r="F2109">
            <v>0</v>
          </cell>
          <cell r="G2109">
            <v>0</v>
          </cell>
          <cell r="H2109">
            <v>0</v>
          </cell>
          <cell r="I2109">
            <v>1</v>
          </cell>
          <cell r="J2109">
            <v>0</v>
          </cell>
          <cell r="K2109">
            <v>0</v>
          </cell>
          <cell r="L2109">
            <v>0</v>
          </cell>
          <cell r="M2109">
            <v>1</v>
          </cell>
          <cell r="N2109">
            <v>0</v>
          </cell>
          <cell r="O2109">
            <v>0</v>
          </cell>
          <cell r="P2109">
            <v>1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 t="str">
            <v>RACPREMIUM</v>
          </cell>
          <cell r="AH2109" t="str">
            <v>RAC_Premium</v>
          </cell>
          <cell r="AI2109" t="str">
            <v/>
          </cell>
          <cell r="AJ2109" t="str">
            <v/>
          </cell>
          <cell r="AK2109" t="str">
            <v>0.124292</v>
          </cell>
          <cell r="AL2109" t="str">
            <v>0</v>
          </cell>
          <cell r="AM2109" t="str">
            <v>Q</v>
          </cell>
          <cell r="AN2109" t="str">
            <v>M0</v>
          </cell>
          <cell r="AO2109" t="str">
            <v>Active(Model)</v>
          </cell>
          <cell r="AP2109" t="str">
            <v/>
          </cell>
          <cell r="AQ2109" t="str">
            <v/>
          </cell>
          <cell r="AR2109" t="str">
            <v>Y</v>
          </cell>
          <cell r="AS2109" t="str">
            <v/>
          </cell>
          <cell r="AT2109" t="str">
            <v>HC</v>
          </cell>
          <cell r="AU2109" t="str">
            <v>Healthcare</v>
          </cell>
          <cell r="AV2109" t="str">
            <v>HCWC</v>
          </cell>
          <cell r="AW2109" t="str">
            <v>Wellness care</v>
          </cell>
          <cell r="AX2109" t="str">
            <v>HCWCAS</v>
          </cell>
          <cell r="AY2109" t="str">
            <v>Air Solution</v>
          </cell>
          <cell r="AZ2109" t="str">
            <v>HCWCASAC</v>
          </cell>
          <cell r="BA2109" t="str">
            <v>Air Cleaner</v>
          </cell>
        </row>
        <row r="2110">
          <cell r="E2110" t="str">
            <v>B33BG.ABMPEVN</v>
          </cell>
          <cell r="F2110">
            <v>126</v>
          </cell>
          <cell r="G2110">
            <v>0</v>
          </cell>
          <cell r="H2110">
            <v>0</v>
          </cell>
          <cell r="I2110">
            <v>126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20</v>
          </cell>
          <cell r="AF2110">
            <v>0</v>
          </cell>
          <cell r="AG2110" t="str">
            <v>REFBASIC</v>
          </cell>
          <cell r="AH2110" t="str">
            <v>REF_Basic</v>
          </cell>
          <cell r="AI2110" t="str">
            <v/>
          </cell>
          <cell r="AJ2110" t="str">
            <v/>
          </cell>
          <cell r="AK2110" t="str">
            <v>0.872636</v>
          </cell>
          <cell r="AL2110" t="str">
            <v>2</v>
          </cell>
          <cell r="AM2110" t="str">
            <v>Q</v>
          </cell>
          <cell r="AN2110" t="str">
            <v>M0</v>
          </cell>
          <cell r="AO2110" t="str">
            <v>Active(Model)</v>
          </cell>
          <cell r="AP2110" t="str">
            <v/>
          </cell>
          <cell r="AQ2110" t="str">
            <v/>
          </cell>
          <cell r="AR2110" t="str">
            <v>Y</v>
          </cell>
          <cell r="AS2110" t="str">
            <v/>
          </cell>
          <cell r="AT2110" t="str">
            <v>RF</v>
          </cell>
          <cell r="AU2110" t="str">
            <v>Refrigerator</v>
          </cell>
          <cell r="AV2110" t="str">
            <v>RFBF</v>
          </cell>
          <cell r="AW2110" t="str">
            <v>Bottom Freezer</v>
          </cell>
          <cell r="AX2110" t="str">
            <v>RFBFBF</v>
          </cell>
          <cell r="AY2110" t="str">
            <v>Bottom Freezer</v>
          </cell>
          <cell r="AZ2110" t="str">
            <v>RFBFBF2D</v>
          </cell>
          <cell r="BA2110" t="str">
            <v>2D Bottom Freezer</v>
          </cell>
        </row>
        <row r="2111">
          <cell r="E2111" t="str">
            <v>B33BGA.ABMPEVN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 t="str">
            <v>REFPREMIUM</v>
          </cell>
          <cell r="AH2111" t="str">
            <v>REF_Premium</v>
          </cell>
          <cell r="AI2111" t="str">
            <v/>
          </cell>
          <cell r="AJ2111" t="str">
            <v/>
          </cell>
          <cell r="AK2111" t="str">
            <v>0.872636</v>
          </cell>
          <cell r="AL2111" t="str">
            <v>2</v>
          </cell>
          <cell r="AM2111" t="str">
            <v>Q</v>
          </cell>
          <cell r="AN2111" t="str">
            <v>M0</v>
          </cell>
          <cell r="AO2111" t="str">
            <v>Active(Model)</v>
          </cell>
          <cell r="AP2111" t="str">
            <v/>
          </cell>
          <cell r="AQ2111" t="str">
            <v/>
          </cell>
          <cell r="AR2111" t="str">
            <v>Y</v>
          </cell>
          <cell r="AS2111" t="str">
            <v/>
          </cell>
          <cell r="AT2111" t="str">
            <v>RF</v>
          </cell>
          <cell r="AU2111" t="str">
            <v>Refrigerator</v>
          </cell>
          <cell r="AV2111" t="str">
            <v>RFBF</v>
          </cell>
          <cell r="AW2111" t="str">
            <v>Bottom Freezer</v>
          </cell>
          <cell r="AX2111" t="str">
            <v>RFBFBF</v>
          </cell>
          <cell r="AY2111" t="str">
            <v>Bottom Freezer</v>
          </cell>
          <cell r="AZ2111" t="str">
            <v>RFBFBF2D</v>
          </cell>
          <cell r="BA2111" t="str">
            <v>2D Bottom Freezer</v>
          </cell>
        </row>
        <row r="2112">
          <cell r="E2112" t="str">
            <v>BOUNCE.AVNMLBK</v>
          </cell>
          <cell r="F2112">
            <v>50</v>
          </cell>
          <cell r="G2112">
            <v>0</v>
          </cell>
          <cell r="H2112">
            <v>0</v>
          </cell>
          <cell r="I2112">
            <v>65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 t="str">
            <v/>
          </cell>
          <cell r="AH2112" t="str">
            <v/>
          </cell>
          <cell r="AI2112" t="str">
            <v/>
          </cell>
          <cell r="AJ2112" t="str">
            <v/>
          </cell>
          <cell r="AK2112" t="str">
            <v>0.005433</v>
          </cell>
          <cell r="AL2112" t="str">
            <v>0</v>
          </cell>
          <cell r="AM2112" t="str">
            <v>Q</v>
          </cell>
          <cell r="AN2112" t="str">
            <v>M0</v>
          </cell>
          <cell r="AO2112" t="str">
            <v>Active(Model)</v>
          </cell>
          <cell r="AP2112" t="str">
            <v/>
          </cell>
          <cell r="AQ2112" t="str">
            <v/>
          </cell>
          <cell r="AR2112" t="str">
            <v>Y</v>
          </cell>
          <cell r="AS2112" t="str">
            <v/>
          </cell>
          <cell r="AT2112" t="str">
            <v>AO</v>
          </cell>
          <cell r="AU2112" t="str">
            <v>AO</v>
          </cell>
          <cell r="AV2112" t="str">
            <v>AOAA</v>
          </cell>
          <cell r="AW2112" t="str">
            <v>Home Audio_OS</v>
          </cell>
          <cell r="AX2112" t="str">
            <v>AOAADS</v>
          </cell>
          <cell r="AY2112" t="str">
            <v>Wireless Speaker_OS</v>
          </cell>
          <cell r="AZ2112" t="str">
            <v>AOAADSPS</v>
          </cell>
          <cell r="BA2112" t="str">
            <v>Bluetooth Speaker_OS</v>
          </cell>
        </row>
        <row r="2113">
          <cell r="E2113" t="str">
            <v>BU50RG.ATV</v>
          </cell>
          <cell r="F2113">
            <v>2</v>
          </cell>
          <cell r="G2113">
            <v>0</v>
          </cell>
          <cell r="H2113">
            <v>0</v>
          </cell>
          <cell r="I2113">
            <v>2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 t="str">
            <v>PRJ</v>
          </cell>
          <cell r="AH2113" t="str">
            <v>Projector</v>
          </cell>
          <cell r="AI2113" t="str">
            <v/>
          </cell>
          <cell r="AJ2113" t="str">
            <v/>
          </cell>
          <cell r="AK2113" t="str">
            <v>0.069828</v>
          </cell>
          <cell r="AL2113" t="str">
            <v>2</v>
          </cell>
          <cell r="AM2113" t="str">
            <v>Q</v>
          </cell>
          <cell r="AN2113" t="str">
            <v>M0</v>
          </cell>
          <cell r="AO2113" t="str">
            <v>Active(Model)</v>
          </cell>
          <cell r="AP2113" t="str">
            <v/>
          </cell>
          <cell r="AQ2113" t="str">
            <v/>
          </cell>
          <cell r="AR2113" t="str">
            <v>Y</v>
          </cell>
          <cell r="AS2113" t="str">
            <v/>
          </cell>
          <cell r="AT2113" t="str">
            <v>TV</v>
          </cell>
          <cell r="AU2113" t="str">
            <v>TV</v>
          </cell>
          <cell r="AV2113" t="str">
            <v>TVPR</v>
          </cell>
          <cell r="AW2113" t="str">
            <v>Projector</v>
          </cell>
          <cell r="AX2113" t="str">
            <v>TVPRB2</v>
          </cell>
          <cell r="AY2113" t="str">
            <v>PJTR B2B</v>
          </cell>
          <cell r="AZ2113" t="str">
            <v>TVPRB2NU</v>
          </cell>
          <cell r="BA2113" t="str">
            <v>PJTR B2B UHD</v>
          </cell>
        </row>
        <row r="2114">
          <cell r="E2114" t="str">
            <v>BU53RG.ATV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 t="str">
            <v>PRJ</v>
          </cell>
          <cell r="AH2114" t="str">
            <v>Projector</v>
          </cell>
          <cell r="AI2114" t="str">
            <v/>
          </cell>
          <cell r="AJ2114" t="str">
            <v/>
          </cell>
          <cell r="AK2114" t="str">
            <v>0.069828</v>
          </cell>
          <cell r="AL2114" t="str">
            <v>2</v>
          </cell>
          <cell r="AM2114" t="str">
            <v>Q</v>
          </cell>
          <cell r="AN2114" t="str">
            <v>M0</v>
          </cell>
          <cell r="AO2114" t="str">
            <v>Active(Model)</v>
          </cell>
          <cell r="AP2114" t="str">
            <v/>
          </cell>
          <cell r="AQ2114" t="str">
            <v/>
          </cell>
          <cell r="AR2114" t="str">
            <v>Y</v>
          </cell>
          <cell r="AS2114" t="str">
            <v/>
          </cell>
          <cell r="AT2114" t="str">
            <v>TV</v>
          </cell>
          <cell r="AU2114" t="str">
            <v>TV</v>
          </cell>
          <cell r="AV2114" t="str">
            <v>TVPR</v>
          </cell>
          <cell r="AW2114" t="str">
            <v>Projector</v>
          </cell>
          <cell r="AX2114" t="str">
            <v>TVPRB2</v>
          </cell>
          <cell r="AY2114" t="str">
            <v>PJTR B2B</v>
          </cell>
          <cell r="AZ2114" t="str">
            <v>TVPRB2NU</v>
          </cell>
          <cell r="BA2114" t="str">
            <v>PJTR B2B UHD</v>
          </cell>
        </row>
        <row r="2115">
          <cell r="E2115" t="str">
            <v>BU70QGT.ATV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 t="str">
            <v>PRJ</v>
          </cell>
          <cell r="AH2115" t="str">
            <v>Projector</v>
          </cell>
          <cell r="AI2115" t="str">
            <v/>
          </cell>
          <cell r="AJ2115" t="str">
            <v/>
          </cell>
          <cell r="AK2115" t="str">
            <v>0.176670</v>
          </cell>
          <cell r="AL2115" t="str">
            <v>2</v>
          </cell>
          <cell r="AM2115" t="str">
            <v>Q</v>
          </cell>
          <cell r="AN2115" t="str">
            <v>M0</v>
          </cell>
          <cell r="AO2115" t="str">
            <v>Active(Model)</v>
          </cell>
          <cell r="AP2115" t="str">
            <v/>
          </cell>
          <cell r="AQ2115" t="str">
            <v/>
          </cell>
          <cell r="AR2115" t="str">
            <v>Y</v>
          </cell>
          <cell r="AS2115" t="str">
            <v/>
          </cell>
          <cell r="AT2115" t="str">
            <v>TV</v>
          </cell>
          <cell r="AU2115" t="str">
            <v>TV</v>
          </cell>
          <cell r="AV2115" t="str">
            <v>TVPR</v>
          </cell>
          <cell r="AW2115" t="str">
            <v>Projector</v>
          </cell>
          <cell r="AX2115" t="str">
            <v>TVPRB2</v>
          </cell>
          <cell r="AY2115" t="str">
            <v>PJTR B2B</v>
          </cell>
          <cell r="AZ2115" t="str">
            <v>TVPRB2NU</v>
          </cell>
          <cell r="BA2115" t="str">
            <v>PJTR B2B UHD</v>
          </cell>
        </row>
        <row r="2116">
          <cell r="E2116" t="str">
            <v>BUDSLITE.AAMALBK</v>
          </cell>
          <cell r="F2116">
            <v>95</v>
          </cell>
          <cell r="G2116">
            <v>0</v>
          </cell>
          <cell r="H2116">
            <v>0</v>
          </cell>
          <cell r="I2116">
            <v>113</v>
          </cell>
          <cell r="J2116">
            <v>0</v>
          </cell>
          <cell r="K2116">
            <v>0</v>
          </cell>
          <cell r="L2116">
            <v>0</v>
          </cell>
          <cell r="M2116">
            <v>1</v>
          </cell>
          <cell r="N2116">
            <v>0</v>
          </cell>
          <cell r="O2116">
            <v>0</v>
          </cell>
          <cell r="P2116">
            <v>1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4</v>
          </cell>
          <cell r="AD2116">
            <v>0</v>
          </cell>
          <cell r="AE2116">
            <v>0</v>
          </cell>
          <cell r="AF2116">
            <v>4</v>
          </cell>
          <cell r="AG2116" t="str">
            <v/>
          </cell>
          <cell r="AH2116" t="str">
            <v/>
          </cell>
          <cell r="AI2116" t="str">
            <v/>
          </cell>
          <cell r="AJ2116" t="str">
            <v/>
          </cell>
          <cell r="AK2116" t="str">
            <v>0.000337</v>
          </cell>
          <cell r="AL2116" t="str">
            <v>0</v>
          </cell>
          <cell r="AM2116" t="str">
            <v>Q</v>
          </cell>
          <cell r="AN2116" t="str">
            <v>M0</v>
          </cell>
          <cell r="AO2116" t="str">
            <v>Active(Model)</v>
          </cell>
          <cell r="AP2116" t="str">
            <v/>
          </cell>
          <cell r="AQ2116" t="str">
            <v/>
          </cell>
          <cell r="AR2116" t="str">
            <v>Y</v>
          </cell>
          <cell r="AS2116" t="str">
            <v/>
          </cell>
          <cell r="AT2116" t="str">
            <v>AO</v>
          </cell>
          <cell r="AU2116" t="str">
            <v>AO</v>
          </cell>
          <cell r="AV2116" t="str">
            <v>AOPD</v>
          </cell>
          <cell r="AW2116" t="str">
            <v>Wireless Headset_OS</v>
          </cell>
          <cell r="AX2116" t="str">
            <v>AOPDWH</v>
          </cell>
          <cell r="AY2116" t="str">
            <v>Wireless Headset Universal Out-Box Headset_OS</v>
          </cell>
          <cell r="AZ2116" t="str">
            <v>AOPDWHEB</v>
          </cell>
          <cell r="BA2116" t="str">
            <v>Wireless Headset Earbuds_OS</v>
          </cell>
        </row>
        <row r="2117">
          <cell r="E2117" t="str">
            <v>BUDSPLUS.AAMALWH</v>
          </cell>
          <cell r="F2117">
            <v>150</v>
          </cell>
          <cell r="G2117">
            <v>0</v>
          </cell>
          <cell r="H2117">
            <v>0</v>
          </cell>
          <cell r="I2117">
            <v>173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 t="str">
            <v/>
          </cell>
          <cell r="AH2117" t="str">
            <v/>
          </cell>
          <cell r="AI2117" t="str">
            <v/>
          </cell>
          <cell r="AJ2117" t="str">
            <v/>
          </cell>
          <cell r="AK2117" t="str">
            <v>0.000431</v>
          </cell>
          <cell r="AL2117" t="str">
            <v>0</v>
          </cell>
          <cell r="AM2117" t="str">
            <v>Q</v>
          </cell>
          <cell r="AN2117" t="str">
            <v>M0</v>
          </cell>
          <cell r="AO2117" t="str">
            <v>Active(Model)</v>
          </cell>
          <cell r="AP2117" t="str">
            <v/>
          </cell>
          <cell r="AQ2117" t="str">
            <v/>
          </cell>
          <cell r="AR2117" t="str">
            <v>Y</v>
          </cell>
          <cell r="AS2117" t="str">
            <v/>
          </cell>
          <cell r="AT2117" t="str">
            <v>AO</v>
          </cell>
          <cell r="AU2117" t="str">
            <v>AO</v>
          </cell>
          <cell r="AV2117" t="str">
            <v>AOPD</v>
          </cell>
          <cell r="AW2117" t="str">
            <v>Wireless Headset_OS</v>
          </cell>
          <cell r="AX2117" t="str">
            <v>AOPDWH</v>
          </cell>
          <cell r="AY2117" t="str">
            <v>Wireless Headset Universal Out-Box Headset_OS</v>
          </cell>
          <cell r="AZ2117" t="str">
            <v>AOPDWHEB</v>
          </cell>
          <cell r="BA2117" t="str">
            <v>Wireless Headset Earbuds_OS</v>
          </cell>
        </row>
        <row r="2118">
          <cell r="E2118" t="str">
            <v>CDG27RUOES.ASSPEVN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 t="str">
            <v/>
          </cell>
          <cell r="AH2118" t="str">
            <v/>
          </cell>
          <cell r="AI2118" t="str">
            <v/>
          </cell>
          <cell r="AJ2118" t="str">
            <v/>
          </cell>
          <cell r="AK2118" t="str">
            <v>0.000000</v>
          </cell>
          <cell r="AL2118" t="str">
            <v>0</v>
          </cell>
          <cell r="AM2118" t="str">
            <v>Q</v>
          </cell>
          <cell r="AN2118" t="str">
            <v>M0</v>
          </cell>
          <cell r="AO2118" t="str">
            <v>Active(Model)</v>
          </cell>
          <cell r="AP2118" t="str">
            <v/>
          </cell>
          <cell r="AQ2118" t="str">
            <v/>
          </cell>
          <cell r="AR2118" t="str">
            <v>Y</v>
          </cell>
          <cell r="AS2118" t="str">
            <v/>
          </cell>
          <cell r="AT2118" t="str">
            <v>WM</v>
          </cell>
          <cell r="AU2118" t="str">
            <v>Washing Machine</v>
          </cell>
          <cell r="AV2118" t="str">
            <v>WMWR</v>
          </cell>
          <cell r="AW2118" t="str">
            <v>Clothes Dryer</v>
          </cell>
          <cell r="AX2118" t="str">
            <v>WMWRWC</v>
          </cell>
          <cell r="AY2118" t="str">
            <v>Clothes Dryer_Commercial</v>
          </cell>
          <cell r="AZ2118" t="str">
            <v>WMWRWCCA</v>
          </cell>
          <cell r="BA2118" t="str">
            <v>Clothes Dryer_Commercial</v>
          </cell>
        </row>
        <row r="2119">
          <cell r="E2119" t="str">
            <v>CDG27RUOPS.ASSPEVN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 t="str">
            <v/>
          </cell>
          <cell r="AH2119" t="str">
            <v/>
          </cell>
          <cell r="AI2119" t="str">
            <v/>
          </cell>
          <cell r="AJ2119" t="str">
            <v/>
          </cell>
          <cell r="AK2119" t="str">
            <v>0.000000</v>
          </cell>
          <cell r="AL2119" t="str">
            <v>0</v>
          </cell>
          <cell r="AM2119" t="str">
            <v>Q</v>
          </cell>
          <cell r="AN2119" t="str">
            <v>M0</v>
          </cell>
          <cell r="AO2119" t="str">
            <v>Active(Model)</v>
          </cell>
          <cell r="AP2119" t="str">
            <v/>
          </cell>
          <cell r="AQ2119" t="str">
            <v/>
          </cell>
          <cell r="AR2119" t="str">
            <v>Y</v>
          </cell>
          <cell r="AS2119" t="str">
            <v/>
          </cell>
          <cell r="AT2119" t="str">
            <v>WM</v>
          </cell>
          <cell r="AU2119" t="str">
            <v>Washing Machine</v>
          </cell>
          <cell r="AV2119" t="str">
            <v>WMWR</v>
          </cell>
          <cell r="AW2119" t="str">
            <v>Clothes Dryer</v>
          </cell>
          <cell r="AX2119" t="str">
            <v>WMWRWC</v>
          </cell>
          <cell r="AY2119" t="str">
            <v>Clothes Dryer_Commercial</v>
          </cell>
          <cell r="AZ2119" t="str">
            <v>WMWRWCCA</v>
          </cell>
          <cell r="BA2119" t="str">
            <v>Clothes Dryer_Commercial</v>
          </cell>
        </row>
        <row r="2120">
          <cell r="E2120" t="str">
            <v>CDG27RUQES.ASSQEML</v>
          </cell>
          <cell r="F2120">
            <v>79</v>
          </cell>
          <cell r="G2120">
            <v>0</v>
          </cell>
          <cell r="H2120">
            <v>0</v>
          </cell>
          <cell r="I2120">
            <v>84</v>
          </cell>
          <cell r="J2120">
            <v>2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1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 t="str">
            <v>WMBASIC</v>
          </cell>
          <cell r="AH2120" t="str">
            <v>WM_Basic</v>
          </cell>
          <cell r="AI2120" t="str">
            <v/>
          </cell>
          <cell r="AJ2120" t="str">
            <v/>
          </cell>
          <cell r="AK2120" t="str">
            <v>0.698937</v>
          </cell>
          <cell r="AL2120" t="str">
            <v>2</v>
          </cell>
          <cell r="AM2120" t="str">
            <v>Q</v>
          </cell>
          <cell r="AN2120" t="str">
            <v>M0</v>
          </cell>
          <cell r="AO2120" t="str">
            <v>Active(Model)</v>
          </cell>
          <cell r="AP2120" t="str">
            <v/>
          </cell>
          <cell r="AQ2120" t="str">
            <v/>
          </cell>
          <cell r="AR2120" t="str">
            <v>Y</v>
          </cell>
          <cell r="AS2120" t="str">
            <v/>
          </cell>
          <cell r="AT2120" t="str">
            <v>WM</v>
          </cell>
          <cell r="AU2120" t="str">
            <v>Washing Machine</v>
          </cell>
          <cell r="AV2120" t="str">
            <v>WMWR</v>
          </cell>
          <cell r="AW2120" t="str">
            <v>Clothes Dryer</v>
          </cell>
          <cell r="AX2120" t="str">
            <v>WMWRWC</v>
          </cell>
          <cell r="AY2120" t="str">
            <v>Clothes Dryer_Commercial</v>
          </cell>
          <cell r="AZ2120" t="str">
            <v>WMWRWCCA</v>
          </cell>
          <cell r="BA2120" t="str">
            <v>Clothes Dryer_Commercial</v>
          </cell>
        </row>
        <row r="2121">
          <cell r="E2121" t="str">
            <v>CDG27RUQPS.ASSQEML</v>
          </cell>
          <cell r="F2121">
            <v>59</v>
          </cell>
          <cell r="G2121">
            <v>0</v>
          </cell>
          <cell r="H2121">
            <v>0</v>
          </cell>
          <cell r="I2121">
            <v>69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 t="str">
            <v>WMBASIC</v>
          </cell>
          <cell r="AH2121" t="str">
            <v>WM_Basic</v>
          </cell>
          <cell r="AI2121" t="str">
            <v/>
          </cell>
          <cell r="AJ2121" t="str">
            <v/>
          </cell>
          <cell r="AK2121" t="str">
            <v>0.698937</v>
          </cell>
          <cell r="AL2121" t="str">
            <v>2</v>
          </cell>
          <cell r="AM2121" t="str">
            <v>Q</v>
          </cell>
          <cell r="AN2121" t="str">
            <v>M0</v>
          </cell>
          <cell r="AO2121" t="str">
            <v>Active(Model)</v>
          </cell>
          <cell r="AP2121" t="str">
            <v/>
          </cell>
          <cell r="AQ2121" t="str">
            <v/>
          </cell>
          <cell r="AR2121" t="str">
            <v>Y</v>
          </cell>
          <cell r="AS2121" t="str">
            <v/>
          </cell>
          <cell r="AT2121" t="str">
            <v>WM</v>
          </cell>
          <cell r="AU2121" t="str">
            <v>Washing Machine</v>
          </cell>
          <cell r="AV2121" t="str">
            <v>WMWR</v>
          </cell>
          <cell r="AW2121" t="str">
            <v>Clothes Dryer</v>
          </cell>
          <cell r="AX2121" t="str">
            <v>WMWRWC</v>
          </cell>
          <cell r="AY2121" t="str">
            <v>Clothes Dryer_Commercial</v>
          </cell>
          <cell r="AZ2121" t="str">
            <v>WMWRWCCA</v>
          </cell>
          <cell r="BA2121" t="str">
            <v>Clothes Dryer_Commercial</v>
          </cell>
        </row>
        <row r="2122">
          <cell r="E2122" t="str">
            <v>CDT29MUOES.ASSPEVN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 t="str">
            <v>WMPREPLUS</v>
          </cell>
          <cell r="AH2122" t="str">
            <v>WM_Premium_Plus</v>
          </cell>
          <cell r="AI2122" t="str">
            <v/>
          </cell>
          <cell r="AJ2122" t="str">
            <v/>
          </cell>
          <cell r="AK2122" t="str">
            <v>0.794851</v>
          </cell>
          <cell r="AL2122" t="str">
            <v>0</v>
          </cell>
          <cell r="AM2122" t="str">
            <v>Q</v>
          </cell>
          <cell r="AN2122" t="str">
            <v>M0</v>
          </cell>
          <cell r="AO2122" t="str">
            <v>Active(Model)</v>
          </cell>
          <cell r="AP2122" t="str">
            <v/>
          </cell>
          <cell r="AQ2122" t="str">
            <v/>
          </cell>
          <cell r="AR2122" t="str">
            <v>Y</v>
          </cell>
          <cell r="AS2122" t="str">
            <v/>
          </cell>
          <cell r="AT2122" t="str">
            <v>WM</v>
          </cell>
          <cell r="AU2122" t="str">
            <v>Washing Machine</v>
          </cell>
          <cell r="AV2122" t="str">
            <v>WMWR</v>
          </cell>
          <cell r="AW2122" t="str">
            <v>Clothes Dryer</v>
          </cell>
          <cell r="AX2122" t="str">
            <v>WMWRWC</v>
          </cell>
          <cell r="AY2122" t="str">
            <v>Clothes Dryer_Commercial</v>
          </cell>
          <cell r="AZ2122" t="str">
            <v>WMWRWCCA</v>
          </cell>
          <cell r="BA2122" t="str">
            <v>Clothes Dryer_Commercial</v>
          </cell>
        </row>
        <row r="2123">
          <cell r="E2123" t="str">
            <v>CDT29MUOPS.ASSPEVN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 t="str">
            <v>WMPREPLUS</v>
          </cell>
          <cell r="AH2123" t="str">
            <v>WM_Premium_Plus</v>
          </cell>
          <cell r="AI2123" t="str">
            <v/>
          </cell>
          <cell r="AJ2123" t="str">
            <v/>
          </cell>
          <cell r="AK2123" t="str">
            <v>0.794851</v>
          </cell>
          <cell r="AL2123" t="str">
            <v>0</v>
          </cell>
          <cell r="AM2123" t="str">
            <v>Q</v>
          </cell>
          <cell r="AN2123" t="str">
            <v>M0</v>
          </cell>
          <cell r="AO2123" t="str">
            <v>Active(Model)</v>
          </cell>
          <cell r="AP2123" t="str">
            <v/>
          </cell>
          <cell r="AQ2123" t="str">
            <v/>
          </cell>
          <cell r="AR2123" t="str">
            <v>Y</v>
          </cell>
          <cell r="AS2123" t="str">
            <v/>
          </cell>
          <cell r="AT2123" t="str">
            <v>WM</v>
          </cell>
          <cell r="AU2123" t="str">
            <v>Washing Machine</v>
          </cell>
          <cell r="AV2123" t="str">
            <v>WMWR</v>
          </cell>
          <cell r="AW2123" t="str">
            <v>Clothes Dryer</v>
          </cell>
          <cell r="AX2123" t="str">
            <v>WMWRWC</v>
          </cell>
          <cell r="AY2123" t="str">
            <v>Clothes Dryer_Commercial</v>
          </cell>
          <cell r="AZ2123" t="str">
            <v>WMWRWCCA</v>
          </cell>
          <cell r="BA2123" t="str">
            <v>Clothes Dryer_Commercial</v>
          </cell>
        </row>
        <row r="2124">
          <cell r="E2124" t="str">
            <v>CVBA.AEU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 t="str">
            <v/>
          </cell>
          <cell r="AH2124" t="str">
            <v/>
          </cell>
          <cell r="AI2124" t="str">
            <v/>
          </cell>
          <cell r="AJ2124" t="str">
            <v/>
          </cell>
          <cell r="AK2124" t="str">
            <v>0.035111</v>
          </cell>
          <cell r="AL2124" t="str">
            <v>2</v>
          </cell>
          <cell r="AM2124" t="str">
            <v>Q</v>
          </cell>
          <cell r="AN2124" t="str">
            <v>M0</v>
          </cell>
          <cell r="AO2124" t="str">
            <v>Active(Model)</v>
          </cell>
          <cell r="AP2124" t="str">
            <v/>
          </cell>
          <cell r="AQ2124" t="str">
            <v/>
          </cell>
          <cell r="AR2124" t="str">
            <v>Y</v>
          </cell>
          <cell r="AS2124" t="str">
            <v/>
          </cell>
          <cell r="AT2124" t="str">
            <v>CS</v>
          </cell>
          <cell r="AU2124" t="str">
            <v>Commercial Display_Signage</v>
          </cell>
          <cell r="AV2124" t="str">
            <v>CSLS</v>
          </cell>
          <cell r="AW2124" t="str">
            <v>Commercial_LED Signage</v>
          </cell>
          <cell r="AX2124" t="str">
            <v>CSLSSY</v>
          </cell>
          <cell r="AY2124" t="str">
            <v>Commercial_LED Signage System</v>
          </cell>
          <cell r="AZ2124" t="str">
            <v>CSLSSYCO</v>
          </cell>
          <cell r="BA2124" t="str">
            <v>Commercial_LED Signage System Controller</v>
          </cell>
        </row>
        <row r="2125">
          <cell r="E2125" t="str">
            <v>CVCA.ATC</v>
          </cell>
          <cell r="F2125">
            <v>1</v>
          </cell>
          <cell r="G2125">
            <v>0</v>
          </cell>
          <cell r="H2125">
            <v>0</v>
          </cell>
          <cell r="I2125">
            <v>1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 t="str">
            <v>ID</v>
          </cell>
          <cell r="AH2125" t="str">
            <v>Information Display</v>
          </cell>
          <cell r="AI2125" t="str">
            <v/>
          </cell>
          <cell r="AJ2125" t="str">
            <v/>
          </cell>
          <cell r="AK2125" t="str">
            <v>0.035111</v>
          </cell>
          <cell r="AL2125" t="str">
            <v>2</v>
          </cell>
          <cell r="AM2125" t="str">
            <v>Q</v>
          </cell>
          <cell r="AN2125" t="str">
            <v>M0</v>
          </cell>
          <cell r="AO2125" t="str">
            <v>Active(Model)</v>
          </cell>
          <cell r="AP2125" t="str">
            <v/>
          </cell>
          <cell r="AQ2125" t="str">
            <v/>
          </cell>
          <cell r="AR2125" t="str">
            <v>Y</v>
          </cell>
          <cell r="AS2125" t="str">
            <v/>
          </cell>
          <cell r="AT2125" t="str">
            <v>CS</v>
          </cell>
          <cell r="AU2125" t="str">
            <v>Commercial Display_Signage</v>
          </cell>
          <cell r="AV2125" t="str">
            <v>CSLS</v>
          </cell>
          <cell r="AW2125" t="str">
            <v>Commercial_LED Signage</v>
          </cell>
          <cell r="AX2125" t="str">
            <v>CSLSSY</v>
          </cell>
          <cell r="AY2125" t="str">
            <v>Commercial_LED Signage System</v>
          </cell>
          <cell r="AZ2125" t="str">
            <v>CSLSSYCO</v>
          </cell>
          <cell r="BA2125" t="str">
            <v>Commercial_LED Signage System Controller</v>
          </cell>
        </row>
        <row r="2126">
          <cell r="E2126" t="str">
            <v>CVGA.ATC</v>
          </cell>
          <cell r="F2126">
            <v>0</v>
          </cell>
          <cell r="G2126">
            <v>0</v>
          </cell>
          <cell r="H2126">
            <v>0</v>
          </cell>
          <cell r="I2126">
            <v>0</v>
          </cell>
          <cell r="J2126">
            <v>2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3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 t="str">
            <v/>
          </cell>
          <cell r="AH2126" t="str">
            <v/>
          </cell>
          <cell r="AI2126" t="str">
            <v/>
          </cell>
          <cell r="AJ2126" t="str">
            <v/>
          </cell>
          <cell r="AK2126" t="str">
            <v>0.035111</v>
          </cell>
          <cell r="AL2126" t="str">
            <v>2</v>
          </cell>
          <cell r="AM2126" t="str">
            <v>Q</v>
          </cell>
          <cell r="AN2126" t="str">
            <v>M0</v>
          </cell>
          <cell r="AO2126" t="str">
            <v>Active(Model)</v>
          </cell>
          <cell r="AP2126" t="str">
            <v/>
          </cell>
          <cell r="AQ2126" t="str">
            <v/>
          </cell>
          <cell r="AR2126" t="str">
            <v>Y</v>
          </cell>
          <cell r="AS2126" t="str">
            <v/>
          </cell>
          <cell r="AT2126" t="str">
            <v>CS</v>
          </cell>
          <cell r="AU2126" t="str">
            <v>Commercial Display_Signage</v>
          </cell>
          <cell r="AV2126" t="str">
            <v>CSLS</v>
          </cell>
          <cell r="AW2126" t="str">
            <v>Commercial_LED Signage</v>
          </cell>
          <cell r="AX2126" t="str">
            <v>CSLSSY</v>
          </cell>
          <cell r="AY2126" t="str">
            <v>Commercial_LED Signage System</v>
          </cell>
          <cell r="AZ2126" t="str">
            <v>CSLSSYCO</v>
          </cell>
          <cell r="BA2126" t="str">
            <v>Commercial_LED Signage System Controller</v>
          </cell>
        </row>
        <row r="2127">
          <cell r="E2127" t="str">
            <v>CWG27MDQRS.ASSQEML</v>
          </cell>
          <cell r="F2127">
            <v>56</v>
          </cell>
          <cell r="G2127">
            <v>0</v>
          </cell>
          <cell r="H2127">
            <v>0</v>
          </cell>
          <cell r="I2127">
            <v>59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2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 t="str">
            <v>WMBASIC</v>
          </cell>
          <cell r="AH2127" t="str">
            <v>WM_Basic</v>
          </cell>
          <cell r="AI2127" t="str">
            <v/>
          </cell>
          <cell r="AJ2127" t="str">
            <v/>
          </cell>
          <cell r="AK2127" t="str">
            <v>0.648104</v>
          </cell>
          <cell r="AL2127" t="str">
            <v>2</v>
          </cell>
          <cell r="AM2127" t="str">
            <v>Q</v>
          </cell>
          <cell r="AN2127" t="str">
            <v>M0</v>
          </cell>
          <cell r="AO2127" t="str">
            <v>Active(Model)</v>
          </cell>
          <cell r="AP2127" t="str">
            <v/>
          </cell>
          <cell r="AQ2127" t="str">
            <v/>
          </cell>
          <cell r="AR2127" t="str">
            <v>Y</v>
          </cell>
          <cell r="AS2127" t="str">
            <v/>
          </cell>
          <cell r="AT2127" t="str">
            <v>WM</v>
          </cell>
          <cell r="AU2127" t="str">
            <v>Washing Machine</v>
          </cell>
          <cell r="AV2127" t="str">
            <v>WMWL</v>
          </cell>
          <cell r="AW2127" t="str">
            <v>Clothes Washer</v>
          </cell>
          <cell r="AX2127" t="str">
            <v>WMWLFC</v>
          </cell>
          <cell r="AY2127" t="str">
            <v>Clothes Washer_Front Loader_Commercial</v>
          </cell>
          <cell r="AZ2127" t="str">
            <v>WMWLFCHA</v>
          </cell>
          <cell r="BA2127" t="str">
            <v>Clothes Washer_Front Loader_Commercial</v>
          </cell>
        </row>
        <row r="2128">
          <cell r="E2128" t="str">
            <v>CWT29MDORS.ASSPEVN</v>
          </cell>
          <cell r="F2128">
            <v>6</v>
          </cell>
          <cell r="G2128">
            <v>0</v>
          </cell>
          <cell r="H2128">
            <v>0</v>
          </cell>
          <cell r="I2128">
            <v>16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 t="str">
            <v>WMPREPLUS</v>
          </cell>
          <cell r="AH2128" t="str">
            <v>WM_Premium_Plus</v>
          </cell>
          <cell r="AI2128" t="str">
            <v/>
          </cell>
          <cell r="AJ2128" t="str">
            <v/>
          </cell>
          <cell r="AK2128" t="str">
            <v>0.794165</v>
          </cell>
          <cell r="AL2128" t="str">
            <v>0</v>
          </cell>
          <cell r="AM2128" t="str">
            <v>Q</v>
          </cell>
          <cell r="AN2128" t="str">
            <v>M0</v>
          </cell>
          <cell r="AO2128" t="str">
            <v>Active(Model)</v>
          </cell>
          <cell r="AP2128" t="str">
            <v/>
          </cell>
          <cell r="AQ2128" t="str">
            <v/>
          </cell>
          <cell r="AR2128" t="str">
            <v>Y</v>
          </cell>
          <cell r="AS2128" t="str">
            <v/>
          </cell>
          <cell r="AT2128" t="str">
            <v>WM</v>
          </cell>
          <cell r="AU2128" t="str">
            <v>Washing Machine</v>
          </cell>
          <cell r="AV2128" t="str">
            <v>WMWL</v>
          </cell>
          <cell r="AW2128" t="str">
            <v>Clothes Washer</v>
          </cell>
          <cell r="AX2128" t="str">
            <v>WMWLFC</v>
          </cell>
          <cell r="AY2128" t="str">
            <v>Clothes Washer_Front Loader_Commercial</v>
          </cell>
          <cell r="AZ2128" t="str">
            <v>WMWLFCHA</v>
          </cell>
          <cell r="BA2128" t="str">
            <v>Clothes Washer_Front Loader_Commercial</v>
          </cell>
        </row>
        <row r="2129">
          <cell r="E2129" t="str">
            <v>F2515RNTG.AEGPEVN</v>
          </cell>
          <cell r="F2129">
            <v>0</v>
          </cell>
          <cell r="G2129">
            <v>0</v>
          </cell>
          <cell r="H2129">
            <v>0</v>
          </cell>
          <cell r="I2129">
            <v>3</v>
          </cell>
          <cell r="J2129">
            <v>1</v>
          </cell>
          <cell r="K2129">
            <v>10</v>
          </cell>
          <cell r="L2129">
            <v>0</v>
          </cell>
          <cell r="M2129">
            <v>1</v>
          </cell>
          <cell r="N2129">
            <v>1</v>
          </cell>
          <cell r="O2129">
            <v>0</v>
          </cell>
          <cell r="P2129">
            <v>2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 t="str">
            <v>WMPREMIUM</v>
          </cell>
          <cell r="AH2129" t="str">
            <v>WM_Premium</v>
          </cell>
          <cell r="AI2129" t="str">
            <v/>
          </cell>
          <cell r="AJ2129" t="str">
            <v/>
          </cell>
          <cell r="AK2129" t="str">
            <v>0.485214</v>
          </cell>
          <cell r="AL2129" t="str">
            <v>2</v>
          </cell>
          <cell r="AM2129" t="str">
            <v>Q</v>
          </cell>
          <cell r="AN2129" t="str">
            <v>M0</v>
          </cell>
          <cell r="AO2129" t="str">
            <v>Active(Model)</v>
          </cell>
          <cell r="AP2129" t="str">
            <v/>
          </cell>
          <cell r="AQ2129" t="str">
            <v/>
          </cell>
          <cell r="AR2129" t="str">
            <v>Y</v>
          </cell>
          <cell r="AS2129" t="str">
            <v/>
          </cell>
          <cell r="AT2129" t="str">
            <v>WM</v>
          </cell>
          <cell r="AU2129" t="str">
            <v>Washing Machine</v>
          </cell>
          <cell r="AV2129" t="str">
            <v>WMWL</v>
          </cell>
          <cell r="AW2129" t="str">
            <v>Clothes Washer</v>
          </cell>
          <cell r="AX2129" t="str">
            <v>WMWLFL</v>
          </cell>
          <cell r="AY2129" t="str">
            <v>Clothes Washer_Front Loader</v>
          </cell>
          <cell r="AZ2129" t="str">
            <v>WMWLFLDB</v>
          </cell>
          <cell r="BA2129" t="str">
            <v>Clothes Washer_Drum_25</v>
          </cell>
        </row>
        <row r="2130">
          <cell r="E2130" t="str">
            <v>F2515SNTG.AEGPEVN</v>
          </cell>
          <cell r="F2130">
            <v>0</v>
          </cell>
          <cell r="G2130">
            <v>0</v>
          </cell>
          <cell r="H2130">
            <v>0</v>
          </cell>
          <cell r="I2130">
            <v>11</v>
          </cell>
          <cell r="J2130">
            <v>1</v>
          </cell>
          <cell r="K2130">
            <v>109</v>
          </cell>
          <cell r="L2130">
            <v>0</v>
          </cell>
          <cell r="M2130">
            <v>2</v>
          </cell>
          <cell r="N2130">
            <v>0</v>
          </cell>
          <cell r="O2130">
            <v>0</v>
          </cell>
          <cell r="P2130">
            <v>2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1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 t="str">
            <v>WMPREMIUM</v>
          </cell>
          <cell r="AH2130" t="str">
            <v>WM_Premium</v>
          </cell>
          <cell r="AI2130" t="str">
            <v/>
          </cell>
          <cell r="AJ2130" t="str">
            <v/>
          </cell>
          <cell r="AK2130" t="str">
            <v>0.485214</v>
          </cell>
          <cell r="AL2130" t="str">
            <v>2</v>
          </cell>
          <cell r="AM2130" t="str">
            <v>Q</v>
          </cell>
          <cell r="AN2130" t="str">
            <v>M0</v>
          </cell>
          <cell r="AO2130" t="str">
            <v>Active(Model)</v>
          </cell>
          <cell r="AP2130" t="str">
            <v/>
          </cell>
          <cell r="AQ2130" t="str">
            <v/>
          </cell>
          <cell r="AR2130" t="str">
            <v>Y</v>
          </cell>
          <cell r="AS2130" t="str">
            <v/>
          </cell>
          <cell r="AT2130" t="str">
            <v>WM</v>
          </cell>
          <cell r="AU2130" t="str">
            <v>Washing Machine</v>
          </cell>
          <cell r="AV2130" t="str">
            <v>WMWL</v>
          </cell>
          <cell r="AW2130" t="str">
            <v>Clothes Washer</v>
          </cell>
          <cell r="AX2130" t="str">
            <v>WMWLFL</v>
          </cell>
          <cell r="AY2130" t="str">
            <v>Clothes Washer_Front Loader</v>
          </cell>
          <cell r="AZ2130" t="str">
            <v>WMWLFLDB</v>
          </cell>
          <cell r="BA2130" t="str">
            <v>Clothes Washer_Drum_25</v>
          </cell>
        </row>
        <row r="2131">
          <cell r="E2131" t="str">
            <v>F2517RNTG.AEGPEVN</v>
          </cell>
          <cell r="F2131">
            <v>0</v>
          </cell>
          <cell r="G2131">
            <v>0</v>
          </cell>
          <cell r="H2131">
            <v>0</v>
          </cell>
          <cell r="I2131">
            <v>4</v>
          </cell>
          <cell r="J2131">
            <v>0</v>
          </cell>
          <cell r="K2131">
            <v>17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 t="str">
            <v>WMPREMIUM</v>
          </cell>
          <cell r="AH2131" t="str">
            <v>WM_Premium</v>
          </cell>
          <cell r="AI2131" t="str">
            <v/>
          </cell>
          <cell r="AJ2131" t="str">
            <v/>
          </cell>
          <cell r="AK2131" t="str">
            <v>0.579360</v>
          </cell>
          <cell r="AL2131" t="str">
            <v>0</v>
          </cell>
          <cell r="AM2131" t="str">
            <v>Q</v>
          </cell>
          <cell r="AN2131" t="str">
            <v>M0</v>
          </cell>
          <cell r="AO2131" t="str">
            <v>Active(Model)</v>
          </cell>
          <cell r="AP2131" t="str">
            <v/>
          </cell>
          <cell r="AQ2131" t="str">
            <v/>
          </cell>
          <cell r="AR2131" t="str">
            <v>Y</v>
          </cell>
          <cell r="AS2131" t="str">
            <v/>
          </cell>
          <cell r="AT2131" t="str">
            <v>WM</v>
          </cell>
          <cell r="AU2131" t="str">
            <v>Washing Machine</v>
          </cell>
          <cell r="AV2131" t="str">
            <v>WMWL</v>
          </cell>
          <cell r="AW2131" t="str">
            <v>Clothes Washer</v>
          </cell>
          <cell r="AX2131" t="str">
            <v>WMWLFL</v>
          </cell>
          <cell r="AY2131" t="str">
            <v>Clothes Washer_Front Loader</v>
          </cell>
          <cell r="AZ2131" t="str">
            <v>WMWLFLDB</v>
          </cell>
          <cell r="BA2131" t="str">
            <v>Clothes Washer_Drum_25</v>
          </cell>
        </row>
        <row r="2132">
          <cell r="E2132" t="str">
            <v>F2517SNTG.AEGPEVN</v>
          </cell>
          <cell r="F2132">
            <v>1</v>
          </cell>
          <cell r="G2132">
            <v>0</v>
          </cell>
          <cell r="H2132">
            <v>0</v>
          </cell>
          <cell r="I2132">
            <v>57</v>
          </cell>
          <cell r="J2132">
            <v>0</v>
          </cell>
          <cell r="K2132">
            <v>10</v>
          </cell>
          <cell r="L2132">
            <v>0</v>
          </cell>
          <cell r="M2132">
            <v>0</v>
          </cell>
          <cell r="N2132">
            <v>46</v>
          </cell>
          <cell r="O2132">
            <v>0</v>
          </cell>
          <cell r="P2132">
            <v>46</v>
          </cell>
          <cell r="Q2132">
            <v>94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 t="str">
            <v>WMPREMIUM</v>
          </cell>
          <cell r="AH2132" t="str">
            <v>WM_Premium</v>
          </cell>
          <cell r="AI2132" t="str">
            <v/>
          </cell>
          <cell r="AJ2132" t="str">
            <v/>
          </cell>
          <cell r="AK2132" t="str">
            <v>0.579360</v>
          </cell>
          <cell r="AL2132" t="str">
            <v>2</v>
          </cell>
          <cell r="AM2132" t="str">
            <v>Q</v>
          </cell>
          <cell r="AN2132" t="str">
            <v>M0</v>
          </cell>
          <cell r="AO2132" t="str">
            <v>Active(Model)</v>
          </cell>
          <cell r="AP2132" t="str">
            <v/>
          </cell>
          <cell r="AQ2132" t="str">
            <v/>
          </cell>
          <cell r="AR2132" t="str">
            <v>Y</v>
          </cell>
          <cell r="AS2132" t="str">
            <v/>
          </cell>
          <cell r="AT2132" t="str">
            <v>WM</v>
          </cell>
          <cell r="AU2132" t="str">
            <v>Washing Machine</v>
          </cell>
          <cell r="AV2132" t="str">
            <v>WMWL</v>
          </cell>
          <cell r="AW2132" t="str">
            <v>Clothes Washer</v>
          </cell>
          <cell r="AX2132" t="str">
            <v>WMWLFL</v>
          </cell>
          <cell r="AY2132" t="str">
            <v>Clothes Washer_Front Loader</v>
          </cell>
          <cell r="AZ2132" t="str">
            <v>WMWLFLDB</v>
          </cell>
          <cell r="BA2132" t="str">
            <v>Clothes Washer_Drum_25</v>
          </cell>
        </row>
        <row r="2133">
          <cell r="E2133" t="str">
            <v>F2520SNTKA.AEBPEVN</v>
          </cell>
          <cell r="F2133">
            <v>0</v>
          </cell>
          <cell r="G2133">
            <v>0</v>
          </cell>
          <cell r="H2133">
            <v>0</v>
          </cell>
          <cell r="I2133">
            <v>6</v>
          </cell>
          <cell r="J2133">
            <v>0</v>
          </cell>
          <cell r="K2133">
            <v>19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 t="str">
            <v>WMPREMIUM</v>
          </cell>
          <cell r="AH2133" t="str">
            <v>WM_Premium</v>
          </cell>
          <cell r="AI2133" t="str">
            <v/>
          </cell>
          <cell r="AJ2133" t="str">
            <v/>
          </cell>
          <cell r="AK2133" t="str">
            <v>0.579360</v>
          </cell>
          <cell r="AL2133" t="str">
            <v>2</v>
          </cell>
          <cell r="AM2133" t="str">
            <v>Q</v>
          </cell>
          <cell r="AN2133" t="str">
            <v>M0</v>
          </cell>
          <cell r="AO2133" t="str">
            <v>Active(Model)</v>
          </cell>
          <cell r="AP2133" t="str">
            <v/>
          </cell>
          <cell r="AQ2133" t="str">
            <v/>
          </cell>
          <cell r="AR2133" t="str">
            <v>Y</v>
          </cell>
          <cell r="AS2133" t="str">
            <v/>
          </cell>
          <cell r="AT2133" t="str">
            <v>WM</v>
          </cell>
          <cell r="AU2133" t="str">
            <v>Washing Machine</v>
          </cell>
          <cell r="AV2133" t="str">
            <v>WMWL</v>
          </cell>
          <cell r="AW2133" t="str">
            <v>Clothes Washer</v>
          </cell>
          <cell r="AX2133" t="str">
            <v>WMWLFL</v>
          </cell>
          <cell r="AY2133" t="str">
            <v>Clothes Washer_Front Loader</v>
          </cell>
          <cell r="AZ2133" t="str">
            <v>WMWLFLDB</v>
          </cell>
          <cell r="BA2133" t="str">
            <v>Clothes Washer_Drum_25</v>
          </cell>
        </row>
        <row r="2134">
          <cell r="E2134" t="str">
            <v>F40BG.ADBPEVN</v>
          </cell>
          <cell r="F2134">
            <v>147</v>
          </cell>
          <cell r="G2134">
            <v>0</v>
          </cell>
          <cell r="H2134">
            <v>0</v>
          </cell>
          <cell r="I2134">
            <v>549</v>
          </cell>
          <cell r="J2134">
            <v>0</v>
          </cell>
          <cell r="K2134">
            <v>0</v>
          </cell>
          <cell r="L2134">
            <v>0</v>
          </cell>
          <cell r="M2134">
            <v>164</v>
          </cell>
          <cell r="N2134">
            <v>218</v>
          </cell>
          <cell r="O2134">
            <v>34</v>
          </cell>
          <cell r="P2134">
            <v>382</v>
          </cell>
          <cell r="Q2134">
            <v>236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 t="str">
            <v>REFBASIC</v>
          </cell>
          <cell r="AH2134" t="str">
            <v>REF_Basic</v>
          </cell>
          <cell r="AI2134" t="str">
            <v/>
          </cell>
          <cell r="AJ2134" t="str">
            <v/>
          </cell>
          <cell r="AK2134" t="str">
            <v>1.093913</v>
          </cell>
          <cell r="AL2134" t="str">
            <v>2</v>
          </cell>
          <cell r="AM2134" t="str">
            <v>Q</v>
          </cell>
          <cell r="AN2134" t="str">
            <v>M0</v>
          </cell>
          <cell r="AO2134" t="str">
            <v>Active(Model)</v>
          </cell>
          <cell r="AP2134" t="str">
            <v/>
          </cell>
          <cell r="AQ2134" t="str">
            <v/>
          </cell>
          <cell r="AR2134" t="str">
            <v>Y</v>
          </cell>
          <cell r="AS2134" t="str">
            <v/>
          </cell>
          <cell r="AT2134" t="str">
            <v>RF</v>
          </cell>
          <cell r="AU2134" t="str">
            <v>Refrigerator</v>
          </cell>
          <cell r="AV2134" t="str">
            <v>RFBF</v>
          </cell>
          <cell r="AW2134" t="str">
            <v>Bottom Freezer</v>
          </cell>
          <cell r="AX2134" t="str">
            <v>RFBFMD</v>
          </cell>
          <cell r="AY2134" t="str">
            <v>French Door Swing</v>
          </cell>
          <cell r="AZ2134" t="str">
            <v>RFBFMD4D</v>
          </cell>
          <cell r="BA2134" t="str">
            <v>4D F/D Swing</v>
          </cell>
        </row>
        <row r="2135">
          <cell r="E2135" t="str">
            <v>F50BG.ADBPEVN</v>
          </cell>
          <cell r="F2135">
            <v>0</v>
          </cell>
          <cell r="G2135">
            <v>0</v>
          </cell>
          <cell r="H2135">
            <v>0</v>
          </cell>
          <cell r="I2135">
            <v>11</v>
          </cell>
          <cell r="J2135">
            <v>1</v>
          </cell>
          <cell r="K2135">
            <v>400</v>
          </cell>
          <cell r="L2135">
            <v>0</v>
          </cell>
          <cell r="M2135">
            <v>0</v>
          </cell>
          <cell r="N2135">
            <v>0</v>
          </cell>
          <cell r="O2135">
            <v>7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2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 t="str">
            <v>REFPREMIUM</v>
          </cell>
          <cell r="AH2135" t="str">
            <v>REF_Premium</v>
          </cell>
          <cell r="AI2135" t="str">
            <v/>
          </cell>
          <cell r="AJ2135" t="str">
            <v/>
          </cell>
          <cell r="AK2135" t="str">
            <v>1.307124</v>
          </cell>
          <cell r="AL2135" t="str">
            <v>2</v>
          </cell>
          <cell r="AM2135" t="str">
            <v>Q</v>
          </cell>
          <cell r="AN2135" t="str">
            <v>M0</v>
          </cell>
          <cell r="AO2135" t="str">
            <v>Active(Model)</v>
          </cell>
          <cell r="AP2135" t="str">
            <v/>
          </cell>
          <cell r="AQ2135" t="str">
            <v/>
          </cell>
          <cell r="AR2135" t="str">
            <v>Y</v>
          </cell>
          <cell r="AS2135" t="str">
            <v/>
          </cell>
          <cell r="AT2135" t="str">
            <v>RF</v>
          </cell>
          <cell r="AU2135" t="str">
            <v>Refrigerator</v>
          </cell>
          <cell r="AV2135" t="str">
            <v>RFBF</v>
          </cell>
          <cell r="AW2135" t="str">
            <v>Bottom Freezer</v>
          </cell>
          <cell r="AX2135" t="str">
            <v>RFBFMD</v>
          </cell>
          <cell r="AY2135" t="str">
            <v>French Door Swing</v>
          </cell>
          <cell r="AZ2135" t="str">
            <v>RFBFMD4D</v>
          </cell>
          <cell r="BA2135" t="str">
            <v>4D F/D Swing</v>
          </cell>
        </row>
        <row r="2136">
          <cell r="E2136" t="str">
            <v>F51EG.ADMPEVN</v>
          </cell>
          <cell r="F2136">
            <v>34</v>
          </cell>
          <cell r="G2136">
            <v>0</v>
          </cell>
          <cell r="H2136">
            <v>0</v>
          </cell>
          <cell r="I2136">
            <v>72</v>
          </cell>
          <cell r="J2136">
            <v>3</v>
          </cell>
          <cell r="K2136">
            <v>0</v>
          </cell>
          <cell r="L2136">
            <v>0</v>
          </cell>
          <cell r="M2136">
            <v>2</v>
          </cell>
          <cell r="N2136">
            <v>25</v>
          </cell>
          <cell r="O2136">
            <v>16</v>
          </cell>
          <cell r="P2136">
            <v>27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1</v>
          </cell>
          <cell r="AF2136">
            <v>0</v>
          </cell>
          <cell r="AG2136" t="str">
            <v>REFPREMIUM</v>
          </cell>
          <cell r="AH2136" t="str">
            <v>REF_Premium</v>
          </cell>
          <cell r="AI2136" t="str">
            <v/>
          </cell>
          <cell r="AJ2136" t="str">
            <v/>
          </cell>
          <cell r="AK2136" t="str">
            <v>1.266426</v>
          </cell>
          <cell r="AL2136" t="str">
            <v>2</v>
          </cell>
          <cell r="AM2136" t="str">
            <v>Q</v>
          </cell>
          <cell r="AN2136" t="str">
            <v>M0</v>
          </cell>
          <cell r="AO2136" t="str">
            <v>Active(Model)</v>
          </cell>
          <cell r="AP2136" t="str">
            <v/>
          </cell>
          <cell r="AQ2136" t="str">
            <v/>
          </cell>
          <cell r="AR2136" t="str">
            <v>Y</v>
          </cell>
          <cell r="AS2136" t="str">
            <v/>
          </cell>
          <cell r="AT2136" t="str">
            <v>RF</v>
          </cell>
          <cell r="AU2136" t="str">
            <v>Refrigerator</v>
          </cell>
          <cell r="AV2136" t="str">
            <v>RFBF</v>
          </cell>
          <cell r="AW2136" t="str">
            <v>Bottom Freezer</v>
          </cell>
          <cell r="AX2136" t="str">
            <v>RFBFMD</v>
          </cell>
          <cell r="AY2136" t="str">
            <v>French Door Swing</v>
          </cell>
          <cell r="AZ2136" t="str">
            <v>RFBFMD4D</v>
          </cell>
          <cell r="BA2136" t="str">
            <v>4D F/D Swing</v>
          </cell>
        </row>
        <row r="2137">
          <cell r="E2137" t="str">
            <v>F53EGR.ABBPEVN</v>
          </cell>
          <cell r="F2137">
            <v>18</v>
          </cell>
          <cell r="G2137">
            <v>0</v>
          </cell>
          <cell r="H2137">
            <v>0</v>
          </cell>
          <cell r="I2137">
            <v>112</v>
          </cell>
          <cell r="J2137">
            <v>3</v>
          </cell>
          <cell r="K2137">
            <v>0</v>
          </cell>
          <cell r="L2137">
            <v>0</v>
          </cell>
          <cell r="M2137">
            <v>13</v>
          </cell>
          <cell r="N2137">
            <v>63</v>
          </cell>
          <cell r="O2137">
            <v>6</v>
          </cell>
          <cell r="P2137">
            <v>76</v>
          </cell>
          <cell r="Q2137">
            <v>156</v>
          </cell>
          <cell r="R2137">
            <v>0</v>
          </cell>
          <cell r="S2137">
            <v>0</v>
          </cell>
          <cell r="T2137">
            <v>0</v>
          </cell>
          <cell r="U2137">
            <v>1</v>
          </cell>
          <cell r="V2137">
            <v>24</v>
          </cell>
          <cell r="W2137">
            <v>3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13</v>
          </cell>
          <cell r="AE2137">
            <v>15</v>
          </cell>
          <cell r="AF2137">
            <v>13</v>
          </cell>
          <cell r="AG2137" t="str">
            <v>REFPREPLUS</v>
          </cell>
          <cell r="AH2137" t="str">
            <v>REF_Premium_Plus</v>
          </cell>
          <cell r="AI2137" t="str">
            <v/>
          </cell>
          <cell r="AJ2137" t="str">
            <v/>
          </cell>
          <cell r="AK2137" t="str">
            <v>1.261887</v>
          </cell>
          <cell r="AL2137" t="str">
            <v>2</v>
          </cell>
          <cell r="AM2137" t="str">
            <v>Q</v>
          </cell>
          <cell r="AN2137" t="str">
            <v>M0</v>
          </cell>
          <cell r="AO2137" t="str">
            <v>Active(Model)</v>
          </cell>
          <cell r="AP2137" t="str">
            <v/>
          </cell>
          <cell r="AQ2137" t="str">
            <v/>
          </cell>
          <cell r="AR2137" t="str">
            <v>Y</v>
          </cell>
          <cell r="AS2137" t="str">
            <v/>
          </cell>
          <cell r="AT2137" t="str">
            <v>RF</v>
          </cell>
          <cell r="AU2137" t="str">
            <v>Refrigerator</v>
          </cell>
          <cell r="AV2137" t="str">
            <v>RFBF</v>
          </cell>
          <cell r="AW2137" t="str">
            <v>Bottom Freezer</v>
          </cell>
          <cell r="AX2137" t="str">
            <v>RFBFFD</v>
          </cell>
          <cell r="AY2137" t="str">
            <v>French Door Drawer</v>
          </cell>
          <cell r="AZ2137" t="str">
            <v>RFBFFD4D</v>
          </cell>
          <cell r="BA2137" t="str">
            <v>4D F/D Drawer</v>
          </cell>
        </row>
        <row r="2138">
          <cell r="E2138" t="str">
            <v>F56BG.ABMPEVN</v>
          </cell>
          <cell r="F2138">
            <v>0</v>
          </cell>
          <cell r="G2138">
            <v>0</v>
          </cell>
          <cell r="H2138">
            <v>0</v>
          </cell>
          <cell r="I2138">
            <v>24</v>
          </cell>
          <cell r="J2138">
            <v>1</v>
          </cell>
          <cell r="K2138">
            <v>115</v>
          </cell>
          <cell r="L2138">
            <v>0</v>
          </cell>
          <cell r="M2138">
            <v>1</v>
          </cell>
          <cell r="N2138">
            <v>21</v>
          </cell>
          <cell r="O2138">
            <v>2</v>
          </cell>
          <cell r="P2138">
            <v>22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1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 t="str">
            <v>REFPREMIUM</v>
          </cell>
          <cell r="AH2138" t="str">
            <v>REF_Premium</v>
          </cell>
          <cell r="AI2138" t="str">
            <v/>
          </cell>
          <cell r="AJ2138" t="str">
            <v/>
          </cell>
          <cell r="AK2138" t="str">
            <v>1.270720</v>
          </cell>
          <cell r="AL2138" t="str">
            <v>2</v>
          </cell>
          <cell r="AM2138" t="str">
            <v>Q</v>
          </cell>
          <cell r="AN2138" t="str">
            <v>M0</v>
          </cell>
          <cell r="AO2138" t="str">
            <v>Active(Model)</v>
          </cell>
          <cell r="AP2138" t="str">
            <v/>
          </cell>
          <cell r="AQ2138" t="str">
            <v/>
          </cell>
          <cell r="AR2138" t="str">
            <v>Y</v>
          </cell>
          <cell r="AS2138" t="str">
            <v/>
          </cell>
          <cell r="AT2138" t="str">
            <v>RF</v>
          </cell>
          <cell r="AU2138" t="str">
            <v>Refrigerator</v>
          </cell>
          <cell r="AV2138" t="str">
            <v>RFBF</v>
          </cell>
          <cell r="AW2138" t="str">
            <v>Bottom Freezer</v>
          </cell>
          <cell r="AX2138" t="str">
            <v>RFBFMD</v>
          </cell>
          <cell r="AY2138" t="str">
            <v>French Door Swing</v>
          </cell>
          <cell r="AZ2138" t="str">
            <v>RFBFMD4D</v>
          </cell>
          <cell r="BA2138" t="str">
            <v>4D F/D Swing</v>
          </cell>
        </row>
        <row r="2139">
          <cell r="E2139" t="str">
            <v>F56BGA.ABMPEVN</v>
          </cell>
          <cell r="F2139">
            <v>74</v>
          </cell>
          <cell r="G2139">
            <v>0</v>
          </cell>
          <cell r="H2139">
            <v>0</v>
          </cell>
          <cell r="I2139">
            <v>153</v>
          </cell>
          <cell r="J2139">
            <v>0</v>
          </cell>
          <cell r="K2139">
            <v>0</v>
          </cell>
          <cell r="L2139">
            <v>0</v>
          </cell>
          <cell r="M2139">
            <v>54</v>
          </cell>
          <cell r="N2139">
            <v>20</v>
          </cell>
          <cell r="O2139">
            <v>0</v>
          </cell>
          <cell r="P2139">
            <v>74</v>
          </cell>
          <cell r="Q2139">
            <v>153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0</v>
          </cell>
          <cell r="AG2139" t="str">
            <v>REFPREMIUM</v>
          </cell>
          <cell r="AH2139" t="str">
            <v>REF_Premium</v>
          </cell>
          <cell r="AI2139" t="str">
            <v/>
          </cell>
          <cell r="AJ2139" t="str">
            <v/>
          </cell>
          <cell r="AK2139" t="str">
            <v>1.270720</v>
          </cell>
          <cell r="AL2139" t="str">
            <v>2</v>
          </cell>
          <cell r="AM2139" t="str">
            <v>Q</v>
          </cell>
          <cell r="AN2139" t="str">
            <v>M0</v>
          </cell>
          <cell r="AO2139" t="str">
            <v>Active(Model)</v>
          </cell>
          <cell r="AP2139" t="str">
            <v/>
          </cell>
          <cell r="AQ2139" t="str">
            <v/>
          </cell>
          <cell r="AR2139" t="str">
            <v>Y</v>
          </cell>
          <cell r="AS2139" t="str">
            <v/>
          </cell>
          <cell r="AT2139" t="str">
            <v>RF</v>
          </cell>
          <cell r="AU2139" t="str">
            <v>Refrigerator</v>
          </cell>
          <cell r="AV2139" t="str">
            <v>RFBF</v>
          </cell>
          <cell r="AW2139" t="str">
            <v>Bottom Freezer</v>
          </cell>
          <cell r="AX2139" t="str">
            <v>RFBFMD</v>
          </cell>
          <cell r="AY2139" t="str">
            <v>French Door Swing</v>
          </cell>
          <cell r="AZ2139" t="str">
            <v>RFBFMD4D</v>
          </cell>
          <cell r="BA2139" t="str">
            <v>4D F/D Swing</v>
          </cell>
        </row>
        <row r="2140">
          <cell r="E2140" t="str">
            <v>F58BGA.ABMPEVN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0</v>
          </cell>
          <cell r="AG2140" t="str">
            <v>REFPREMIUM</v>
          </cell>
          <cell r="AH2140" t="str">
            <v>REF_Premium</v>
          </cell>
          <cell r="AI2140" t="str">
            <v/>
          </cell>
          <cell r="AJ2140" t="str">
            <v/>
          </cell>
          <cell r="AK2140" t="str">
            <v>1.270720</v>
          </cell>
          <cell r="AL2140" t="str">
            <v>2</v>
          </cell>
          <cell r="AM2140" t="str">
            <v>Q</v>
          </cell>
          <cell r="AN2140" t="str">
            <v>M0</v>
          </cell>
          <cell r="AO2140" t="str">
            <v>Active(Model)</v>
          </cell>
          <cell r="AP2140" t="str">
            <v/>
          </cell>
          <cell r="AQ2140" t="str">
            <v/>
          </cell>
          <cell r="AR2140" t="str">
            <v>Y</v>
          </cell>
          <cell r="AS2140" t="str">
            <v/>
          </cell>
          <cell r="AT2140" t="str">
            <v>RF</v>
          </cell>
          <cell r="AU2140" t="str">
            <v>Refrigerator</v>
          </cell>
          <cell r="AV2140" t="str">
            <v>RFBF</v>
          </cell>
          <cell r="AW2140" t="str">
            <v>Bottom Freezer</v>
          </cell>
          <cell r="AX2140" t="str">
            <v>RFBFMD</v>
          </cell>
          <cell r="AY2140" t="str">
            <v>French Door Swing</v>
          </cell>
          <cell r="AZ2140" t="str">
            <v>RFBFMD4D</v>
          </cell>
          <cell r="BA2140" t="str">
            <v>4D F/D Swing</v>
          </cell>
        </row>
        <row r="2141">
          <cell r="E2141" t="str">
            <v>F58BGD.ABMPEVN</v>
          </cell>
          <cell r="F2141">
            <v>65</v>
          </cell>
          <cell r="G2141">
            <v>0</v>
          </cell>
          <cell r="H2141">
            <v>0</v>
          </cell>
          <cell r="I2141">
            <v>85</v>
          </cell>
          <cell r="J2141">
            <v>1</v>
          </cell>
          <cell r="K2141">
            <v>0</v>
          </cell>
          <cell r="L2141">
            <v>0</v>
          </cell>
          <cell r="M2141">
            <v>0</v>
          </cell>
          <cell r="N2141">
            <v>5</v>
          </cell>
          <cell r="O2141">
            <v>12</v>
          </cell>
          <cell r="P2141">
            <v>5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2</v>
          </cell>
          <cell r="AE2141">
            <v>0</v>
          </cell>
          <cell r="AF2141">
            <v>2</v>
          </cell>
          <cell r="AG2141" t="str">
            <v>REFPREPLUS</v>
          </cell>
          <cell r="AH2141" t="str">
            <v>REF_Premium_Plus</v>
          </cell>
          <cell r="AI2141" t="str">
            <v/>
          </cell>
          <cell r="AJ2141" t="str">
            <v/>
          </cell>
          <cell r="AK2141" t="str">
            <v>1.289601</v>
          </cell>
          <cell r="AL2141" t="str">
            <v>2</v>
          </cell>
          <cell r="AM2141" t="str">
            <v>F</v>
          </cell>
          <cell r="AN2141" t="str">
            <v>M0</v>
          </cell>
          <cell r="AO2141" t="str">
            <v>Active(Model)</v>
          </cell>
          <cell r="AP2141" t="str">
            <v/>
          </cell>
          <cell r="AQ2141" t="str">
            <v/>
          </cell>
          <cell r="AR2141" t="str">
            <v>Y</v>
          </cell>
          <cell r="AS2141" t="str">
            <v/>
          </cell>
          <cell r="AT2141" t="str">
            <v>RF</v>
          </cell>
          <cell r="AU2141" t="str">
            <v>Refrigerator</v>
          </cell>
          <cell r="AV2141" t="str">
            <v>RFBF</v>
          </cell>
          <cell r="AW2141" t="str">
            <v>Bottom Freezer</v>
          </cell>
          <cell r="AX2141" t="str">
            <v>RFBFMD</v>
          </cell>
          <cell r="AY2141" t="str">
            <v>French Door Swing</v>
          </cell>
          <cell r="AZ2141" t="str">
            <v>RFBFMD4D</v>
          </cell>
          <cell r="BA2141" t="str">
            <v>4D F/D Swing</v>
          </cell>
        </row>
        <row r="2142">
          <cell r="E2142" t="str">
            <v>F61BMD.AEPPEVN</v>
          </cell>
          <cell r="F2142">
            <v>0</v>
          </cell>
          <cell r="G2142">
            <v>0</v>
          </cell>
          <cell r="H2142">
            <v>0</v>
          </cell>
          <cell r="I2142">
            <v>2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1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 t="str">
            <v>REFPREPLUS</v>
          </cell>
          <cell r="AH2142" t="str">
            <v>REF_Premium_Plus</v>
          </cell>
          <cell r="AI2142" t="str">
            <v/>
          </cell>
          <cell r="AJ2142" t="str">
            <v/>
          </cell>
          <cell r="AK2142" t="str">
            <v>1.347179</v>
          </cell>
          <cell r="AL2142" t="str">
            <v>2</v>
          </cell>
          <cell r="AM2142" t="str">
            <v>F</v>
          </cell>
          <cell r="AN2142" t="str">
            <v>M0</v>
          </cell>
          <cell r="AO2142" t="str">
            <v>Active(Model)</v>
          </cell>
          <cell r="AP2142" t="str">
            <v/>
          </cell>
          <cell r="AQ2142" t="str">
            <v/>
          </cell>
          <cell r="AR2142" t="str">
            <v>Y</v>
          </cell>
          <cell r="AS2142" t="str">
            <v/>
          </cell>
          <cell r="AT2142" t="str">
            <v>RF</v>
          </cell>
          <cell r="AU2142" t="str">
            <v>Refrigerator</v>
          </cell>
          <cell r="AV2142" t="str">
            <v>RFBF</v>
          </cell>
          <cell r="AW2142" t="str">
            <v>Bottom Freezer</v>
          </cell>
          <cell r="AX2142" t="str">
            <v>RFBFMD</v>
          </cell>
          <cell r="AY2142" t="str">
            <v>French Door Swing</v>
          </cell>
          <cell r="AZ2142" t="str">
            <v>RFBFMD4D</v>
          </cell>
          <cell r="BA2142" t="str">
            <v>4D F/D Swing</v>
          </cell>
        </row>
        <row r="2143">
          <cell r="E2143" t="str">
            <v>FB1209D5M.AMBPEVN</v>
          </cell>
          <cell r="F2143">
            <v>9</v>
          </cell>
          <cell r="G2143">
            <v>0</v>
          </cell>
          <cell r="H2143">
            <v>0</v>
          </cell>
          <cell r="I2143">
            <v>12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12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0</v>
          </cell>
          <cell r="AF2143">
            <v>0</v>
          </cell>
          <cell r="AG2143" t="str">
            <v>WMPREMIUM</v>
          </cell>
          <cell r="AH2143" t="str">
            <v>WM_Premium</v>
          </cell>
          <cell r="AI2143" t="str">
            <v/>
          </cell>
          <cell r="AJ2143" t="str">
            <v/>
          </cell>
          <cell r="AK2143" t="str">
            <v>0.387684</v>
          </cell>
          <cell r="AL2143" t="str">
            <v>0</v>
          </cell>
          <cell r="AM2143" t="str">
            <v>Q</v>
          </cell>
          <cell r="AN2143" t="str">
            <v>M0</v>
          </cell>
          <cell r="AO2143" t="str">
            <v>Active(Model)</v>
          </cell>
          <cell r="AP2143" t="str">
            <v/>
          </cell>
          <cell r="AQ2143" t="str">
            <v/>
          </cell>
          <cell r="AR2143" t="str">
            <v>Y</v>
          </cell>
          <cell r="AS2143" t="str">
            <v/>
          </cell>
          <cell r="AT2143" t="str">
            <v>WM</v>
          </cell>
          <cell r="AU2143" t="str">
            <v>Washing Machine</v>
          </cell>
          <cell r="AV2143" t="str">
            <v>WMWL</v>
          </cell>
          <cell r="AW2143" t="str">
            <v>Clothes Washer</v>
          </cell>
          <cell r="AX2143" t="str">
            <v>WMWLFL</v>
          </cell>
          <cell r="AY2143" t="str">
            <v>Clothes Washer_Front Loader</v>
          </cell>
          <cell r="AZ2143" t="str">
            <v>WMWLFLSC</v>
          </cell>
          <cell r="BA2143" t="str">
            <v>Clothes Washer_Drum(DD)_Steam_24</v>
          </cell>
        </row>
        <row r="2144">
          <cell r="E2144" t="str">
            <v>FB1209S5M.AMBPEVN</v>
          </cell>
          <cell r="F2144">
            <v>0</v>
          </cell>
          <cell r="G2144">
            <v>0</v>
          </cell>
          <cell r="H2144">
            <v>0</v>
          </cell>
          <cell r="I2144">
            <v>16</v>
          </cell>
          <cell r="J2144">
            <v>0</v>
          </cell>
          <cell r="K2144">
            <v>18</v>
          </cell>
          <cell r="L2144">
            <v>0</v>
          </cell>
          <cell r="M2144">
            <v>0</v>
          </cell>
          <cell r="N2144">
            <v>0</v>
          </cell>
          <cell r="O2144">
            <v>3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0</v>
          </cell>
          <cell r="AG2144" t="str">
            <v>WMPREMIUM</v>
          </cell>
          <cell r="AH2144" t="str">
            <v>WM_Premium</v>
          </cell>
          <cell r="AI2144" t="str">
            <v/>
          </cell>
          <cell r="AJ2144" t="str">
            <v/>
          </cell>
          <cell r="AK2144" t="str">
            <v>0.387684</v>
          </cell>
          <cell r="AL2144" t="str">
            <v>0</v>
          </cell>
          <cell r="AM2144" t="str">
            <v>Q</v>
          </cell>
          <cell r="AN2144" t="str">
            <v>M0</v>
          </cell>
          <cell r="AO2144" t="str">
            <v>Active(Model)</v>
          </cell>
          <cell r="AP2144" t="str">
            <v/>
          </cell>
          <cell r="AQ2144" t="str">
            <v/>
          </cell>
          <cell r="AR2144" t="str">
            <v>Y</v>
          </cell>
          <cell r="AS2144" t="str">
            <v/>
          </cell>
          <cell r="AT2144" t="str">
            <v>WM</v>
          </cell>
          <cell r="AU2144" t="str">
            <v>Washing Machine</v>
          </cell>
          <cell r="AV2144" t="str">
            <v>WMWL</v>
          </cell>
          <cell r="AW2144" t="str">
            <v>Clothes Washer</v>
          </cell>
          <cell r="AX2144" t="str">
            <v>WMWLFL</v>
          </cell>
          <cell r="AY2144" t="str">
            <v>Clothes Washer_Front Loader</v>
          </cell>
          <cell r="AZ2144" t="str">
            <v>WMWLFLSC</v>
          </cell>
          <cell r="BA2144" t="str">
            <v>Clothes Washer_Drum(DD)_Steam_24</v>
          </cell>
        </row>
        <row r="2145">
          <cell r="E2145" t="str">
            <v>FB1209S5O.ANBPEVN</v>
          </cell>
          <cell r="F2145">
            <v>115</v>
          </cell>
          <cell r="G2145">
            <v>0</v>
          </cell>
          <cell r="H2145">
            <v>0</v>
          </cell>
          <cell r="I2145">
            <v>164</v>
          </cell>
          <cell r="J2145">
            <v>0</v>
          </cell>
          <cell r="K2145">
            <v>363</v>
          </cell>
          <cell r="L2145">
            <v>0</v>
          </cell>
          <cell r="M2145">
            <v>0</v>
          </cell>
          <cell r="N2145">
            <v>46</v>
          </cell>
          <cell r="O2145">
            <v>0</v>
          </cell>
          <cell r="P2145">
            <v>46</v>
          </cell>
          <cell r="Q2145">
            <v>162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2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0</v>
          </cell>
          <cell r="AF2145">
            <v>0</v>
          </cell>
          <cell r="AG2145" t="str">
            <v>WMPREMIUM</v>
          </cell>
          <cell r="AH2145" t="str">
            <v>WM_Premium</v>
          </cell>
          <cell r="AI2145" t="str">
            <v/>
          </cell>
          <cell r="AJ2145" t="str">
            <v/>
          </cell>
          <cell r="AK2145" t="str">
            <v>0.387684</v>
          </cell>
          <cell r="AL2145" t="str">
            <v>2</v>
          </cell>
          <cell r="AM2145" t="str">
            <v>Q</v>
          </cell>
          <cell r="AN2145" t="str">
            <v>M0</v>
          </cell>
          <cell r="AO2145" t="str">
            <v>Active(Model)</v>
          </cell>
          <cell r="AP2145" t="str">
            <v/>
          </cell>
          <cell r="AQ2145" t="str">
            <v/>
          </cell>
          <cell r="AR2145" t="str">
            <v>Y</v>
          </cell>
          <cell r="AS2145" t="str">
            <v/>
          </cell>
          <cell r="AT2145" t="str">
            <v>WM</v>
          </cell>
          <cell r="AU2145" t="str">
            <v>Washing Machine</v>
          </cell>
          <cell r="AV2145" t="str">
            <v>WMWL</v>
          </cell>
          <cell r="AW2145" t="str">
            <v>Clothes Washer</v>
          </cell>
          <cell r="AX2145" t="str">
            <v>WMWLFL</v>
          </cell>
          <cell r="AY2145" t="str">
            <v>Clothes Washer_Front Loader</v>
          </cell>
          <cell r="AZ2145" t="str">
            <v>WMWLFLSC</v>
          </cell>
          <cell r="BA2145" t="str">
            <v>Clothes Washer_Drum(DD)_Steam_24</v>
          </cell>
        </row>
        <row r="2146">
          <cell r="E2146" t="str">
            <v>FB1209S5W.ABWPEVN</v>
          </cell>
          <cell r="F2146">
            <v>0</v>
          </cell>
          <cell r="G2146">
            <v>0</v>
          </cell>
          <cell r="H2146">
            <v>0</v>
          </cell>
          <cell r="I2146">
            <v>12</v>
          </cell>
          <cell r="J2146">
            <v>5</v>
          </cell>
          <cell r="K2146">
            <v>94</v>
          </cell>
          <cell r="L2146">
            <v>0</v>
          </cell>
          <cell r="M2146">
            <v>0</v>
          </cell>
          <cell r="N2146">
            <v>4</v>
          </cell>
          <cell r="O2146">
            <v>111</v>
          </cell>
          <cell r="P2146">
            <v>4</v>
          </cell>
          <cell r="Q2146">
            <v>162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0</v>
          </cell>
          <cell r="AG2146" t="str">
            <v>WMPREMIUM</v>
          </cell>
          <cell r="AH2146" t="str">
            <v>WM_Premium</v>
          </cell>
          <cell r="AI2146" t="str">
            <v/>
          </cell>
          <cell r="AJ2146" t="str">
            <v/>
          </cell>
          <cell r="AK2146" t="str">
            <v>0.381810</v>
          </cell>
          <cell r="AL2146" t="str">
            <v>0</v>
          </cell>
          <cell r="AM2146" t="str">
            <v>Q</v>
          </cell>
          <cell r="AN2146" t="str">
            <v>M0</v>
          </cell>
          <cell r="AO2146" t="str">
            <v>Active(Model)</v>
          </cell>
          <cell r="AP2146" t="str">
            <v/>
          </cell>
          <cell r="AQ2146" t="str">
            <v/>
          </cell>
          <cell r="AR2146" t="str">
            <v>Y</v>
          </cell>
          <cell r="AS2146" t="str">
            <v/>
          </cell>
          <cell r="AT2146" t="str">
            <v>WM</v>
          </cell>
          <cell r="AU2146" t="str">
            <v>Washing Machine</v>
          </cell>
          <cell r="AV2146" t="str">
            <v>WMWL</v>
          </cell>
          <cell r="AW2146" t="str">
            <v>Clothes Washer</v>
          </cell>
          <cell r="AX2146" t="str">
            <v>WMWLFL</v>
          </cell>
          <cell r="AY2146" t="str">
            <v>Clothes Washer_Front Loader</v>
          </cell>
          <cell r="AZ2146" t="str">
            <v>WMWLFLSC</v>
          </cell>
          <cell r="BA2146" t="str">
            <v>Clothes Washer_Drum(DD)_Steam_24</v>
          </cell>
        </row>
        <row r="2147">
          <cell r="E2147" t="str">
            <v>FB1209S6M.AMBPEVN</v>
          </cell>
          <cell r="F2147">
            <v>0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  <cell r="K2147">
            <v>100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0</v>
          </cell>
          <cell r="AG2147" t="str">
            <v>WMBASIC</v>
          </cell>
          <cell r="AH2147" t="str">
            <v>WM_Basic</v>
          </cell>
          <cell r="AI2147" t="str">
            <v/>
          </cell>
          <cell r="AJ2147" t="str">
            <v/>
          </cell>
          <cell r="AK2147" t="str">
            <v>0.387684</v>
          </cell>
          <cell r="AL2147" t="str">
            <v>0</v>
          </cell>
          <cell r="AM2147" t="str">
            <v>Q</v>
          </cell>
          <cell r="AN2147" t="str">
            <v>M0</v>
          </cell>
          <cell r="AO2147" t="str">
            <v>Active(Model)</v>
          </cell>
          <cell r="AP2147" t="str">
            <v/>
          </cell>
          <cell r="AQ2147" t="str">
            <v/>
          </cell>
          <cell r="AR2147" t="str">
            <v>Y</v>
          </cell>
          <cell r="AS2147" t="str">
            <v/>
          </cell>
          <cell r="AT2147" t="str">
            <v>WM</v>
          </cell>
          <cell r="AU2147" t="str">
            <v>Washing Machine</v>
          </cell>
          <cell r="AV2147" t="str">
            <v>WMWL</v>
          </cell>
          <cell r="AW2147" t="str">
            <v>Clothes Washer</v>
          </cell>
          <cell r="AX2147" t="str">
            <v>WMWLFL</v>
          </cell>
          <cell r="AY2147" t="str">
            <v>Clothes Washer_Front Loader</v>
          </cell>
          <cell r="AZ2147" t="str">
            <v>WMWLFLSC</v>
          </cell>
          <cell r="BA2147" t="str">
            <v>Clothes Washer_Drum(DD)_Steam_24</v>
          </cell>
        </row>
        <row r="2148">
          <cell r="E2148" t="str">
            <v>FB1209S6W1.ABWPEVN</v>
          </cell>
          <cell r="F2148">
            <v>0</v>
          </cell>
          <cell r="G2148">
            <v>0</v>
          </cell>
          <cell r="H2148">
            <v>0</v>
          </cell>
          <cell r="I2148">
            <v>3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1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 t="str">
            <v>WMBASIC</v>
          </cell>
          <cell r="AH2148" t="str">
            <v>WM_Basic</v>
          </cell>
          <cell r="AI2148" t="str">
            <v/>
          </cell>
          <cell r="AJ2148" t="str">
            <v/>
          </cell>
          <cell r="AK2148" t="str">
            <v>0.387684</v>
          </cell>
          <cell r="AL2148" t="str">
            <v>0</v>
          </cell>
          <cell r="AM2148" t="str">
            <v>Q</v>
          </cell>
          <cell r="AN2148" t="str">
            <v>M0</v>
          </cell>
          <cell r="AO2148" t="str">
            <v>Active(Model)</v>
          </cell>
          <cell r="AP2148" t="str">
            <v/>
          </cell>
          <cell r="AQ2148" t="str">
            <v/>
          </cell>
          <cell r="AR2148" t="str">
            <v>Y</v>
          </cell>
          <cell r="AS2148" t="str">
            <v/>
          </cell>
          <cell r="AT2148" t="str">
            <v>WM</v>
          </cell>
          <cell r="AU2148" t="str">
            <v>Washing Machine</v>
          </cell>
          <cell r="AV2148" t="str">
            <v>WMWL</v>
          </cell>
          <cell r="AW2148" t="str">
            <v>Clothes Washer</v>
          </cell>
          <cell r="AX2148" t="str">
            <v>WMWLFL</v>
          </cell>
          <cell r="AY2148" t="str">
            <v>Clothes Washer_Front Loader</v>
          </cell>
          <cell r="AZ2148" t="str">
            <v>WMWLFLSC</v>
          </cell>
          <cell r="BA2148" t="str">
            <v>Clothes Washer_Drum(DD)_Steam_24</v>
          </cell>
        </row>
        <row r="2149">
          <cell r="E2149" t="str">
            <v>FS15GPBK0.ABAE</v>
          </cell>
          <cell r="F2149">
            <v>32</v>
          </cell>
          <cell r="G2149">
            <v>0</v>
          </cell>
          <cell r="H2149">
            <v>0</v>
          </cell>
          <cell r="I2149">
            <v>41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12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 t="str">
            <v/>
          </cell>
          <cell r="AH2149" t="str">
            <v/>
          </cell>
          <cell r="AI2149" t="str">
            <v/>
          </cell>
          <cell r="AJ2149" t="str">
            <v/>
          </cell>
          <cell r="AK2149" t="str">
            <v>0.122368</v>
          </cell>
          <cell r="AL2149" t="str">
            <v>0</v>
          </cell>
          <cell r="AM2149" t="str">
            <v>Q</v>
          </cell>
          <cell r="AN2149" t="str">
            <v>M0</v>
          </cell>
          <cell r="AO2149" t="str">
            <v>Active(Model)</v>
          </cell>
          <cell r="AP2149" t="str">
            <v/>
          </cell>
          <cell r="AQ2149" t="str">
            <v/>
          </cell>
          <cell r="AR2149" t="str">
            <v>Y</v>
          </cell>
          <cell r="AS2149" t="str">
            <v/>
          </cell>
          <cell r="AT2149" t="str">
            <v>HC</v>
          </cell>
          <cell r="AU2149" t="str">
            <v>Healthcare</v>
          </cell>
          <cell r="AV2149" t="str">
            <v>HCWC</v>
          </cell>
          <cell r="AW2149" t="str">
            <v>Wellness care</v>
          </cell>
          <cell r="AX2149" t="str">
            <v>HCWCAS</v>
          </cell>
          <cell r="AY2149" t="str">
            <v>Air Solution</v>
          </cell>
          <cell r="AZ2149" t="str">
            <v>HCWCASAC</v>
          </cell>
          <cell r="BA2149" t="str">
            <v>Air Cleaner</v>
          </cell>
        </row>
        <row r="2150">
          <cell r="E2150" t="str">
            <v>FV1409S4M1.AMBPEVN</v>
          </cell>
          <cell r="F2150">
            <v>0</v>
          </cell>
          <cell r="G2150">
            <v>0</v>
          </cell>
          <cell r="H2150">
            <v>0</v>
          </cell>
          <cell r="I2150">
            <v>34</v>
          </cell>
          <cell r="J2150">
            <v>0</v>
          </cell>
          <cell r="K2150">
            <v>175</v>
          </cell>
          <cell r="L2150">
            <v>0</v>
          </cell>
          <cell r="M2150">
            <v>0</v>
          </cell>
          <cell r="N2150">
            <v>30</v>
          </cell>
          <cell r="O2150">
            <v>125</v>
          </cell>
          <cell r="P2150">
            <v>30</v>
          </cell>
          <cell r="Q2150">
            <v>0</v>
          </cell>
          <cell r="R2150">
            <v>81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0</v>
          </cell>
          <cell r="AG2150" t="str">
            <v>WMPREMIUM</v>
          </cell>
          <cell r="AH2150" t="str">
            <v>WM_Premium</v>
          </cell>
          <cell r="AI2150" t="str">
            <v/>
          </cell>
          <cell r="AJ2150" t="str">
            <v/>
          </cell>
          <cell r="AK2150" t="str">
            <v>0.383328</v>
          </cell>
          <cell r="AL2150" t="str">
            <v>2</v>
          </cell>
          <cell r="AM2150" t="str">
            <v>F</v>
          </cell>
          <cell r="AN2150" t="str">
            <v>M0</v>
          </cell>
          <cell r="AO2150" t="str">
            <v>Active(Model)</v>
          </cell>
          <cell r="AP2150" t="str">
            <v/>
          </cell>
          <cell r="AQ2150" t="str">
            <v/>
          </cell>
          <cell r="AR2150" t="str">
            <v>Y</v>
          </cell>
          <cell r="AS2150" t="str">
            <v/>
          </cell>
          <cell r="AT2150" t="str">
            <v>WM</v>
          </cell>
          <cell r="AU2150" t="str">
            <v>Washing Machine</v>
          </cell>
          <cell r="AV2150" t="str">
            <v>WMWL</v>
          </cell>
          <cell r="AW2150" t="str">
            <v>Clothes Washer</v>
          </cell>
          <cell r="AX2150" t="str">
            <v>WMWLFL</v>
          </cell>
          <cell r="AY2150" t="str">
            <v>Clothes Washer_Front Loader</v>
          </cell>
          <cell r="AZ2150" t="str">
            <v>WMWLFLSC</v>
          </cell>
          <cell r="BA2150" t="str">
            <v>Clothes Washer_Drum(DD)_Steam_24</v>
          </cell>
        </row>
        <row r="2151">
          <cell r="E2151" t="str">
            <v>FV1410S4M1.AMBPEVN</v>
          </cell>
          <cell r="F2151">
            <v>0</v>
          </cell>
          <cell r="G2151">
            <v>0</v>
          </cell>
          <cell r="H2151">
            <v>0</v>
          </cell>
          <cell r="I2151">
            <v>270</v>
          </cell>
          <cell r="J2151">
            <v>49</v>
          </cell>
          <cell r="K2151">
            <v>728</v>
          </cell>
          <cell r="L2151">
            <v>0</v>
          </cell>
          <cell r="M2151">
            <v>0</v>
          </cell>
          <cell r="N2151">
            <v>270</v>
          </cell>
          <cell r="O2151">
            <v>76</v>
          </cell>
          <cell r="P2151">
            <v>270</v>
          </cell>
          <cell r="Q2151">
            <v>0</v>
          </cell>
          <cell r="R2151">
            <v>241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 t="str">
            <v>WMPREMIUM</v>
          </cell>
          <cell r="AH2151" t="str">
            <v>WM_Premium</v>
          </cell>
          <cell r="AI2151" t="str">
            <v/>
          </cell>
          <cell r="AJ2151" t="str">
            <v/>
          </cell>
          <cell r="AK2151" t="str">
            <v>0.383328</v>
          </cell>
          <cell r="AL2151" t="str">
            <v>2</v>
          </cell>
          <cell r="AM2151" t="str">
            <v>F</v>
          </cell>
          <cell r="AN2151" t="str">
            <v>M0</v>
          </cell>
          <cell r="AO2151" t="str">
            <v>Active(Model)</v>
          </cell>
          <cell r="AP2151" t="str">
            <v/>
          </cell>
          <cell r="AQ2151" t="str">
            <v/>
          </cell>
          <cell r="AR2151" t="str">
            <v>Y</v>
          </cell>
          <cell r="AS2151" t="str">
            <v/>
          </cell>
          <cell r="AT2151" t="str">
            <v>WM</v>
          </cell>
          <cell r="AU2151" t="str">
            <v>Washing Machine</v>
          </cell>
          <cell r="AV2151" t="str">
            <v>WMWL</v>
          </cell>
          <cell r="AW2151" t="str">
            <v>Clothes Washer</v>
          </cell>
          <cell r="AX2151" t="str">
            <v>WMWLFL</v>
          </cell>
          <cell r="AY2151" t="str">
            <v>Clothes Washer_Front Loader</v>
          </cell>
          <cell r="AZ2151" t="str">
            <v>WMWLFLSC</v>
          </cell>
          <cell r="BA2151" t="str">
            <v>Clothes Washer_Drum(DD)_Steam_24</v>
          </cell>
        </row>
        <row r="2152">
          <cell r="E2152" t="str">
            <v>FV1410S4W1.ABWPEVN</v>
          </cell>
          <cell r="F2152">
            <v>99</v>
          </cell>
          <cell r="G2152">
            <v>0</v>
          </cell>
          <cell r="H2152">
            <v>0</v>
          </cell>
          <cell r="I2152">
            <v>171</v>
          </cell>
          <cell r="J2152">
            <v>4</v>
          </cell>
          <cell r="K2152">
            <v>0</v>
          </cell>
          <cell r="L2152">
            <v>0</v>
          </cell>
          <cell r="M2152">
            <v>1</v>
          </cell>
          <cell r="N2152">
            <v>3</v>
          </cell>
          <cell r="O2152">
            <v>9</v>
          </cell>
          <cell r="P2152">
            <v>4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 t="str">
            <v>WMPREMIUM</v>
          </cell>
          <cell r="AH2152" t="str">
            <v>WM_Premium</v>
          </cell>
          <cell r="AI2152" t="str">
            <v/>
          </cell>
          <cell r="AJ2152" t="str">
            <v/>
          </cell>
          <cell r="AK2152" t="str">
            <v>0.383328</v>
          </cell>
          <cell r="AL2152" t="str">
            <v>2</v>
          </cell>
          <cell r="AM2152" t="str">
            <v>F</v>
          </cell>
          <cell r="AN2152" t="str">
            <v>M0</v>
          </cell>
          <cell r="AO2152" t="str">
            <v>Active(Model)</v>
          </cell>
          <cell r="AP2152" t="str">
            <v/>
          </cell>
          <cell r="AQ2152" t="str">
            <v/>
          </cell>
          <cell r="AR2152" t="str">
            <v>Y</v>
          </cell>
          <cell r="AS2152" t="str">
            <v/>
          </cell>
          <cell r="AT2152" t="str">
            <v>WM</v>
          </cell>
          <cell r="AU2152" t="str">
            <v>Washing Machine</v>
          </cell>
          <cell r="AV2152" t="str">
            <v>WMWL</v>
          </cell>
          <cell r="AW2152" t="str">
            <v>Clothes Washer</v>
          </cell>
          <cell r="AX2152" t="str">
            <v>WMWLFL</v>
          </cell>
          <cell r="AY2152" t="str">
            <v>Clothes Washer_Front Loader</v>
          </cell>
          <cell r="AZ2152" t="str">
            <v>WMWLFLSC</v>
          </cell>
          <cell r="BA2152" t="str">
            <v>Clothes Washer_Drum(DD)_Steam_24</v>
          </cell>
        </row>
        <row r="2153">
          <cell r="E2153" t="str">
            <v>FV1412S3B.ABLPEVN</v>
          </cell>
          <cell r="F2153">
            <v>0</v>
          </cell>
          <cell r="G2153">
            <v>0</v>
          </cell>
          <cell r="H2153">
            <v>0</v>
          </cell>
          <cell r="I2153">
            <v>20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0</v>
          </cell>
          <cell r="AG2153" t="str">
            <v>WMPREMIUM</v>
          </cell>
          <cell r="AH2153" t="str">
            <v>WM_Premium</v>
          </cell>
          <cell r="AI2153" t="str">
            <v/>
          </cell>
          <cell r="AJ2153" t="str">
            <v/>
          </cell>
          <cell r="AK2153" t="str">
            <v>0.383328</v>
          </cell>
          <cell r="AL2153" t="str">
            <v>2</v>
          </cell>
          <cell r="AM2153" t="str">
            <v>F</v>
          </cell>
          <cell r="AN2153" t="str">
            <v>M0</v>
          </cell>
          <cell r="AO2153" t="str">
            <v>Active(Model)</v>
          </cell>
          <cell r="AP2153" t="str">
            <v/>
          </cell>
          <cell r="AQ2153" t="str">
            <v/>
          </cell>
          <cell r="AR2153" t="str">
            <v>Y</v>
          </cell>
          <cell r="AS2153" t="str">
            <v/>
          </cell>
          <cell r="AT2153" t="str">
            <v>WM</v>
          </cell>
          <cell r="AU2153" t="str">
            <v>Washing Machine</v>
          </cell>
          <cell r="AV2153" t="str">
            <v>WMWL</v>
          </cell>
          <cell r="AW2153" t="str">
            <v>Clothes Washer</v>
          </cell>
          <cell r="AX2153" t="str">
            <v>WMWLFL</v>
          </cell>
          <cell r="AY2153" t="str">
            <v>Clothes Washer_Front Loader</v>
          </cell>
          <cell r="AZ2153" t="str">
            <v>WMWLFLSC</v>
          </cell>
          <cell r="BA2153" t="str">
            <v>Clothes Washer_Drum(DD)_Steam_24</v>
          </cell>
        </row>
        <row r="2154">
          <cell r="E2154" t="str">
            <v>FX1410N5G.AEGPEVN</v>
          </cell>
          <cell r="F2154">
            <v>0</v>
          </cell>
          <cell r="G2154">
            <v>0</v>
          </cell>
          <cell r="H2154">
            <v>0</v>
          </cell>
          <cell r="I2154">
            <v>84</v>
          </cell>
          <cell r="J2154">
            <v>0</v>
          </cell>
          <cell r="K2154">
            <v>311</v>
          </cell>
          <cell r="L2154">
            <v>0</v>
          </cell>
          <cell r="M2154">
            <v>0</v>
          </cell>
          <cell r="N2154">
            <v>51</v>
          </cell>
          <cell r="O2154">
            <v>60</v>
          </cell>
          <cell r="P2154">
            <v>51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1</v>
          </cell>
          <cell r="AF2154">
            <v>0</v>
          </cell>
          <cell r="AG2154" t="str">
            <v>WMPREMIUM</v>
          </cell>
          <cell r="AH2154" t="str">
            <v>WM_Premium</v>
          </cell>
          <cell r="AI2154" t="str">
            <v/>
          </cell>
          <cell r="AJ2154" t="str">
            <v/>
          </cell>
          <cell r="AK2154" t="str">
            <v>0.383328</v>
          </cell>
          <cell r="AL2154" t="str">
            <v>2</v>
          </cell>
          <cell r="AM2154" t="str">
            <v>F</v>
          </cell>
          <cell r="AN2154" t="str">
            <v>M0</v>
          </cell>
          <cell r="AO2154" t="str">
            <v>Active(Model)</v>
          </cell>
          <cell r="AP2154" t="str">
            <v/>
          </cell>
          <cell r="AQ2154" t="str">
            <v/>
          </cell>
          <cell r="AR2154" t="str">
            <v>Y</v>
          </cell>
          <cell r="AS2154" t="str">
            <v/>
          </cell>
          <cell r="AT2154" t="str">
            <v>WM</v>
          </cell>
          <cell r="AU2154" t="str">
            <v>Washing Machine</v>
          </cell>
          <cell r="AV2154" t="str">
            <v>WMWL</v>
          </cell>
          <cell r="AW2154" t="str">
            <v>Clothes Washer</v>
          </cell>
          <cell r="AX2154" t="str">
            <v>WMWLFL</v>
          </cell>
          <cell r="AY2154" t="str">
            <v>Clothes Washer_Front Loader</v>
          </cell>
          <cell r="AZ2154" t="str">
            <v>WMWLFLSC</v>
          </cell>
          <cell r="BA2154" t="str">
            <v>Clothes Washer_Drum(DD)_Steam_24</v>
          </cell>
        </row>
        <row r="2155">
          <cell r="E2155" t="str">
            <v>FX1410N5W.AGWPEVN</v>
          </cell>
          <cell r="F2155">
            <v>0</v>
          </cell>
          <cell r="G2155">
            <v>0</v>
          </cell>
          <cell r="H2155">
            <v>0</v>
          </cell>
          <cell r="I2155">
            <v>10</v>
          </cell>
          <cell r="J2155">
            <v>3</v>
          </cell>
          <cell r="K2155">
            <v>122</v>
          </cell>
          <cell r="L2155">
            <v>0</v>
          </cell>
          <cell r="M2155">
            <v>1</v>
          </cell>
          <cell r="N2155">
            <v>0</v>
          </cell>
          <cell r="O2155">
            <v>21</v>
          </cell>
          <cell r="P2155">
            <v>1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 t="str">
            <v>WMPREMIUM</v>
          </cell>
          <cell r="AH2155" t="str">
            <v>WM_Premium</v>
          </cell>
          <cell r="AI2155" t="str">
            <v/>
          </cell>
          <cell r="AJ2155" t="str">
            <v/>
          </cell>
          <cell r="AK2155" t="str">
            <v>0.383328</v>
          </cell>
          <cell r="AL2155" t="str">
            <v>2</v>
          </cell>
          <cell r="AM2155" t="str">
            <v>F</v>
          </cell>
          <cell r="AN2155" t="str">
            <v>M0</v>
          </cell>
          <cell r="AO2155" t="str">
            <v>Active(Model)</v>
          </cell>
          <cell r="AP2155" t="str">
            <v/>
          </cell>
          <cell r="AQ2155" t="str">
            <v/>
          </cell>
          <cell r="AR2155" t="str">
            <v>Y</v>
          </cell>
          <cell r="AS2155" t="str">
            <v/>
          </cell>
          <cell r="AT2155" t="str">
            <v>WM</v>
          </cell>
          <cell r="AU2155" t="str">
            <v>Washing Machine</v>
          </cell>
          <cell r="AV2155" t="str">
            <v>WMWL</v>
          </cell>
          <cell r="AW2155" t="str">
            <v>Clothes Washer</v>
          </cell>
          <cell r="AX2155" t="str">
            <v>WMWLFL</v>
          </cell>
          <cell r="AY2155" t="str">
            <v>Clothes Washer_Front Loader</v>
          </cell>
          <cell r="AZ2155" t="str">
            <v>WMWLFLSC</v>
          </cell>
          <cell r="BA2155" t="str">
            <v>Clothes Washer_Drum(DD)_Steam_24</v>
          </cell>
        </row>
        <row r="2156">
          <cell r="E2156" t="str">
            <v>FX1411D5G.AEGPEVN</v>
          </cell>
          <cell r="F2156">
            <v>0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0</v>
          </cell>
          <cell r="AG2156" t="str">
            <v>WMPREMIUM</v>
          </cell>
          <cell r="AH2156" t="str">
            <v>WM_Premium</v>
          </cell>
          <cell r="AI2156" t="str">
            <v/>
          </cell>
          <cell r="AJ2156" t="str">
            <v/>
          </cell>
          <cell r="AK2156" t="str">
            <v>0.383328</v>
          </cell>
          <cell r="AL2156" t="str">
            <v>2</v>
          </cell>
          <cell r="AM2156" t="str">
            <v>F</v>
          </cell>
          <cell r="AN2156" t="str">
            <v>M0</v>
          </cell>
          <cell r="AO2156" t="str">
            <v>Active(Model)</v>
          </cell>
          <cell r="AP2156" t="str">
            <v/>
          </cell>
          <cell r="AQ2156" t="str">
            <v/>
          </cell>
          <cell r="AR2156" t="str">
            <v>Y</v>
          </cell>
          <cell r="AS2156" t="str">
            <v/>
          </cell>
          <cell r="AT2156" t="str">
            <v>WM</v>
          </cell>
          <cell r="AU2156" t="str">
            <v>Washing Machine</v>
          </cell>
          <cell r="AV2156" t="str">
            <v>WMWL</v>
          </cell>
          <cell r="AW2156" t="str">
            <v>Clothes Washer</v>
          </cell>
          <cell r="AX2156" t="str">
            <v>WMWLFL</v>
          </cell>
          <cell r="AY2156" t="str">
            <v>Clothes Washer_Front Loader</v>
          </cell>
          <cell r="AZ2156" t="str">
            <v>WMWLFLSC</v>
          </cell>
          <cell r="BA2156" t="str">
            <v>Clothes Washer_Drum(DD)_Steam_24</v>
          </cell>
        </row>
        <row r="2157">
          <cell r="E2157" t="str">
            <v>FX1411N5G.AEGPEVN</v>
          </cell>
          <cell r="F2157">
            <v>0</v>
          </cell>
          <cell r="G2157">
            <v>0</v>
          </cell>
          <cell r="H2157">
            <v>0</v>
          </cell>
          <cell r="I2157">
            <v>21</v>
          </cell>
          <cell r="J2157">
            <v>3</v>
          </cell>
          <cell r="K2157">
            <v>233</v>
          </cell>
          <cell r="L2157">
            <v>0</v>
          </cell>
          <cell r="M2157">
            <v>0</v>
          </cell>
          <cell r="N2157">
            <v>21</v>
          </cell>
          <cell r="O2157">
            <v>361</v>
          </cell>
          <cell r="P2157">
            <v>21</v>
          </cell>
          <cell r="Q2157">
            <v>0</v>
          </cell>
          <cell r="R2157">
            <v>0</v>
          </cell>
          <cell r="S2157">
            <v>0</v>
          </cell>
          <cell r="T2157">
            <v>9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0</v>
          </cell>
          <cell r="AG2157" t="str">
            <v>WMPREMIUM</v>
          </cell>
          <cell r="AH2157" t="str">
            <v>WM_Premium</v>
          </cell>
          <cell r="AI2157" t="str">
            <v/>
          </cell>
          <cell r="AJ2157" t="str">
            <v/>
          </cell>
          <cell r="AK2157" t="str">
            <v>0.383328</v>
          </cell>
          <cell r="AL2157" t="str">
            <v>2</v>
          </cell>
          <cell r="AM2157" t="str">
            <v>F</v>
          </cell>
          <cell r="AN2157" t="str">
            <v>M0</v>
          </cell>
          <cell r="AO2157" t="str">
            <v>Active(Model)</v>
          </cell>
          <cell r="AP2157" t="str">
            <v/>
          </cell>
          <cell r="AQ2157" t="str">
            <v/>
          </cell>
          <cell r="AR2157" t="str">
            <v>Y</v>
          </cell>
          <cell r="AS2157" t="str">
            <v/>
          </cell>
          <cell r="AT2157" t="str">
            <v>WM</v>
          </cell>
          <cell r="AU2157" t="str">
            <v>Washing Machine</v>
          </cell>
          <cell r="AV2157" t="str">
            <v>WMWL</v>
          </cell>
          <cell r="AW2157" t="str">
            <v>Clothes Washer</v>
          </cell>
          <cell r="AX2157" t="str">
            <v>WMWLFL</v>
          </cell>
          <cell r="AY2157" t="str">
            <v>Clothes Washer_Front Loader</v>
          </cell>
          <cell r="AZ2157" t="str">
            <v>WMWLFLSC</v>
          </cell>
          <cell r="BA2157" t="str">
            <v>Clothes Washer_Drum(DD)_Steam_24</v>
          </cell>
        </row>
        <row r="2158">
          <cell r="E2158" t="str">
            <v>FX1411N5S.AESPEVN</v>
          </cell>
          <cell r="F2158">
            <v>635</v>
          </cell>
          <cell r="G2158">
            <v>0</v>
          </cell>
          <cell r="H2158">
            <v>0</v>
          </cell>
          <cell r="I2158">
            <v>656</v>
          </cell>
          <cell r="J2158">
            <v>3</v>
          </cell>
          <cell r="K2158">
            <v>0</v>
          </cell>
          <cell r="L2158">
            <v>0</v>
          </cell>
          <cell r="M2158">
            <v>0</v>
          </cell>
          <cell r="N2158">
            <v>21</v>
          </cell>
          <cell r="O2158">
            <v>96</v>
          </cell>
          <cell r="P2158">
            <v>21</v>
          </cell>
          <cell r="Q2158">
            <v>0</v>
          </cell>
          <cell r="R2158">
            <v>0</v>
          </cell>
          <cell r="S2158">
            <v>0</v>
          </cell>
          <cell r="T2158">
            <v>2</v>
          </cell>
          <cell r="U2158">
            <v>0</v>
          </cell>
          <cell r="V2158">
            <v>1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 t="str">
            <v>WMPREMIUM</v>
          </cell>
          <cell r="AH2158" t="str">
            <v>WM_Premium</v>
          </cell>
          <cell r="AI2158" t="str">
            <v/>
          </cell>
          <cell r="AJ2158" t="str">
            <v/>
          </cell>
          <cell r="AK2158" t="str">
            <v>0.383328</v>
          </cell>
          <cell r="AL2158" t="str">
            <v>2</v>
          </cell>
          <cell r="AM2158" t="str">
            <v>F</v>
          </cell>
          <cell r="AN2158" t="str">
            <v>M0</v>
          </cell>
          <cell r="AO2158" t="str">
            <v>Active(Model)</v>
          </cell>
          <cell r="AP2158" t="str">
            <v/>
          </cell>
          <cell r="AQ2158" t="str">
            <v/>
          </cell>
          <cell r="AR2158" t="str">
            <v>Y</v>
          </cell>
          <cell r="AS2158" t="str">
            <v/>
          </cell>
          <cell r="AT2158" t="str">
            <v>WM</v>
          </cell>
          <cell r="AU2158" t="str">
            <v>Washing Machine</v>
          </cell>
          <cell r="AV2158" t="str">
            <v>WMWL</v>
          </cell>
          <cell r="AW2158" t="str">
            <v>Clothes Washer</v>
          </cell>
          <cell r="AX2158" t="str">
            <v>WMWLFL</v>
          </cell>
          <cell r="AY2158" t="str">
            <v>Clothes Washer_Front Loader</v>
          </cell>
          <cell r="AZ2158" t="str">
            <v>WMWLFLSC</v>
          </cell>
          <cell r="BA2158" t="str">
            <v>Clothes Washer_Drum(DD)_Steam_24</v>
          </cell>
        </row>
        <row r="2159">
          <cell r="E2159" t="str">
            <v>FX1411N5W.AGWPEVN</v>
          </cell>
          <cell r="F2159">
            <v>0</v>
          </cell>
          <cell r="G2159">
            <v>0</v>
          </cell>
          <cell r="H2159">
            <v>0</v>
          </cell>
          <cell r="I2159">
            <v>5</v>
          </cell>
          <cell r="J2159">
            <v>0</v>
          </cell>
          <cell r="K2159">
            <v>69</v>
          </cell>
          <cell r="L2159">
            <v>0</v>
          </cell>
          <cell r="M2159">
            <v>0</v>
          </cell>
          <cell r="N2159">
            <v>5</v>
          </cell>
          <cell r="O2159">
            <v>8</v>
          </cell>
          <cell r="P2159">
            <v>5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0</v>
          </cell>
          <cell r="AF2159">
            <v>0</v>
          </cell>
          <cell r="AG2159" t="str">
            <v>WMPREMIUM</v>
          </cell>
          <cell r="AH2159" t="str">
            <v>WM_Premium</v>
          </cell>
          <cell r="AI2159" t="str">
            <v/>
          </cell>
          <cell r="AJ2159" t="str">
            <v/>
          </cell>
          <cell r="AK2159" t="str">
            <v>0.383328</v>
          </cell>
          <cell r="AL2159" t="str">
            <v>2</v>
          </cell>
          <cell r="AM2159" t="str">
            <v>F</v>
          </cell>
          <cell r="AN2159" t="str">
            <v>M0</v>
          </cell>
          <cell r="AO2159" t="str">
            <v>Active(Model)</v>
          </cell>
          <cell r="AP2159" t="str">
            <v/>
          </cell>
          <cell r="AQ2159" t="str">
            <v/>
          </cell>
          <cell r="AR2159" t="str">
            <v>Y</v>
          </cell>
          <cell r="AS2159" t="str">
            <v/>
          </cell>
          <cell r="AT2159" t="str">
            <v>WM</v>
          </cell>
          <cell r="AU2159" t="str">
            <v>Washing Machine</v>
          </cell>
          <cell r="AV2159" t="str">
            <v>WMWL</v>
          </cell>
          <cell r="AW2159" t="str">
            <v>Clothes Washer</v>
          </cell>
          <cell r="AX2159" t="str">
            <v>WMWLFL</v>
          </cell>
          <cell r="AY2159" t="str">
            <v>Clothes Washer_Front Loader</v>
          </cell>
          <cell r="AZ2159" t="str">
            <v>WMWLFLSC</v>
          </cell>
          <cell r="BA2159" t="str">
            <v>Clothes Washer_Drum(DD)_Steam_24</v>
          </cell>
        </row>
        <row r="2160">
          <cell r="E2160" t="str">
            <v>FX1412N5G.AEGPEVN</v>
          </cell>
          <cell r="F2160">
            <v>120</v>
          </cell>
          <cell r="G2160">
            <v>0</v>
          </cell>
          <cell r="H2160">
            <v>0</v>
          </cell>
          <cell r="I2160">
            <v>219</v>
          </cell>
          <cell r="J2160">
            <v>30</v>
          </cell>
          <cell r="K2160">
            <v>224</v>
          </cell>
          <cell r="L2160">
            <v>0</v>
          </cell>
          <cell r="M2160">
            <v>45</v>
          </cell>
          <cell r="N2160">
            <v>39</v>
          </cell>
          <cell r="O2160">
            <v>90</v>
          </cell>
          <cell r="P2160">
            <v>84</v>
          </cell>
          <cell r="Q2160">
            <v>0</v>
          </cell>
          <cell r="R2160">
            <v>161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0</v>
          </cell>
          <cell r="AG2160" t="str">
            <v>WMPREMIUM</v>
          </cell>
          <cell r="AH2160" t="str">
            <v>WM_Premium</v>
          </cell>
          <cell r="AI2160" t="str">
            <v/>
          </cell>
          <cell r="AJ2160" t="str">
            <v/>
          </cell>
          <cell r="AK2160" t="str">
            <v>0.383328</v>
          </cell>
          <cell r="AL2160" t="str">
            <v>2</v>
          </cell>
          <cell r="AM2160" t="str">
            <v>F</v>
          </cell>
          <cell r="AN2160" t="str">
            <v>M0</v>
          </cell>
          <cell r="AO2160" t="str">
            <v>Active(Model)</v>
          </cell>
          <cell r="AP2160" t="str">
            <v/>
          </cell>
          <cell r="AQ2160" t="str">
            <v/>
          </cell>
          <cell r="AR2160" t="str">
            <v>Y</v>
          </cell>
          <cell r="AS2160" t="str">
            <v/>
          </cell>
          <cell r="AT2160" t="str">
            <v>WM</v>
          </cell>
          <cell r="AU2160" t="str">
            <v>Washing Machine</v>
          </cell>
          <cell r="AV2160" t="str">
            <v>WMWL</v>
          </cell>
          <cell r="AW2160" t="str">
            <v>Clothes Washer</v>
          </cell>
          <cell r="AX2160" t="str">
            <v>WMWLFL</v>
          </cell>
          <cell r="AY2160" t="str">
            <v>Clothes Washer_Front Loader</v>
          </cell>
          <cell r="AZ2160" t="str">
            <v>WMWLFLSC</v>
          </cell>
          <cell r="BA2160" t="str">
            <v>Clothes Washer_Drum(DD)_Steam_24</v>
          </cell>
        </row>
        <row r="2161">
          <cell r="E2161" t="str">
            <v>FX1412N5S.AESPEVN</v>
          </cell>
          <cell r="F2161">
            <v>0</v>
          </cell>
          <cell r="G2161">
            <v>0</v>
          </cell>
          <cell r="H2161">
            <v>0</v>
          </cell>
          <cell r="I2161">
            <v>126</v>
          </cell>
          <cell r="J2161">
            <v>2</v>
          </cell>
          <cell r="K2161">
            <v>25</v>
          </cell>
          <cell r="L2161">
            <v>0</v>
          </cell>
          <cell r="M2161">
            <v>4</v>
          </cell>
          <cell r="N2161">
            <v>119</v>
          </cell>
          <cell r="O2161">
            <v>24</v>
          </cell>
          <cell r="P2161">
            <v>123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  <cell r="AF2161">
            <v>0</v>
          </cell>
          <cell r="AG2161" t="str">
            <v>WMPREMIUM</v>
          </cell>
          <cell r="AH2161" t="str">
            <v>WM_Premium</v>
          </cell>
          <cell r="AI2161" t="str">
            <v/>
          </cell>
          <cell r="AJ2161" t="str">
            <v/>
          </cell>
          <cell r="AK2161" t="str">
            <v>0.383328</v>
          </cell>
          <cell r="AL2161" t="str">
            <v>2</v>
          </cell>
          <cell r="AM2161" t="str">
            <v>F</v>
          </cell>
          <cell r="AN2161" t="str">
            <v>M0</v>
          </cell>
          <cell r="AO2161" t="str">
            <v>Active(Model)</v>
          </cell>
          <cell r="AP2161" t="str">
            <v/>
          </cell>
          <cell r="AQ2161" t="str">
            <v/>
          </cell>
          <cell r="AR2161" t="str">
            <v>Y</v>
          </cell>
          <cell r="AS2161" t="str">
            <v/>
          </cell>
          <cell r="AT2161" t="str">
            <v>WM</v>
          </cell>
          <cell r="AU2161" t="str">
            <v>Washing Machine</v>
          </cell>
          <cell r="AV2161" t="str">
            <v>WMWL</v>
          </cell>
          <cell r="AW2161" t="str">
            <v>Clothes Washer</v>
          </cell>
          <cell r="AX2161" t="str">
            <v>WMWLFL</v>
          </cell>
          <cell r="AY2161" t="str">
            <v>Clothes Washer_Front Loader</v>
          </cell>
          <cell r="AZ2161" t="str">
            <v>WMWLFLSC</v>
          </cell>
          <cell r="BA2161" t="str">
            <v>Clothes Washer_Drum(DD)_Steam_24</v>
          </cell>
        </row>
        <row r="2162">
          <cell r="E2162" t="str">
            <v>FX1412R3KA.AEBPEVN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68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 t="str">
            <v>WMPREMIUM</v>
          </cell>
          <cell r="AH2162" t="str">
            <v>WM_Premium</v>
          </cell>
          <cell r="AI2162" t="str">
            <v/>
          </cell>
          <cell r="AJ2162" t="str">
            <v/>
          </cell>
          <cell r="AK2162" t="str">
            <v>0.387684</v>
          </cell>
          <cell r="AL2162" t="str">
            <v>2</v>
          </cell>
          <cell r="AM2162" t="str">
            <v>F</v>
          </cell>
          <cell r="AN2162" t="str">
            <v>M0</v>
          </cell>
          <cell r="AO2162" t="str">
            <v>Active(Model)</v>
          </cell>
          <cell r="AP2162" t="str">
            <v/>
          </cell>
          <cell r="AQ2162" t="str">
            <v/>
          </cell>
          <cell r="AR2162" t="str">
            <v>Y</v>
          </cell>
          <cell r="AS2162" t="str">
            <v/>
          </cell>
          <cell r="AT2162" t="str">
            <v>WM</v>
          </cell>
          <cell r="AU2162" t="str">
            <v>Washing Machine</v>
          </cell>
          <cell r="AV2162" t="str">
            <v>WMWL</v>
          </cell>
          <cell r="AW2162" t="str">
            <v>Clothes Washer</v>
          </cell>
          <cell r="AX2162" t="str">
            <v>WMWLFL</v>
          </cell>
          <cell r="AY2162" t="str">
            <v>Clothes Washer_Front Loader</v>
          </cell>
          <cell r="AZ2162" t="str">
            <v>WMWLFLSC</v>
          </cell>
          <cell r="BA2162" t="str">
            <v>Clothes Washer_Drum(DD)_Steam_24</v>
          </cell>
        </row>
        <row r="2163">
          <cell r="E2163" t="str">
            <v>FX1412S3G.AEGPEVN</v>
          </cell>
          <cell r="F2163">
            <v>0</v>
          </cell>
          <cell r="G2163">
            <v>0</v>
          </cell>
          <cell r="H2163">
            <v>0</v>
          </cell>
          <cell r="I2163">
            <v>12</v>
          </cell>
          <cell r="J2163">
            <v>2</v>
          </cell>
          <cell r="K2163">
            <v>0</v>
          </cell>
          <cell r="L2163">
            <v>0</v>
          </cell>
          <cell r="M2163">
            <v>0</v>
          </cell>
          <cell r="N2163">
            <v>2</v>
          </cell>
          <cell r="O2163">
            <v>3</v>
          </cell>
          <cell r="P2163">
            <v>2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8</v>
          </cell>
          <cell r="AE2163">
            <v>0</v>
          </cell>
          <cell r="AF2163">
            <v>8</v>
          </cell>
          <cell r="AG2163" t="str">
            <v/>
          </cell>
          <cell r="AH2163" t="str">
            <v/>
          </cell>
          <cell r="AI2163" t="str">
            <v/>
          </cell>
          <cell r="AJ2163" t="str">
            <v/>
          </cell>
          <cell r="AK2163" t="str">
            <v>0.387684</v>
          </cell>
          <cell r="AL2163" t="str">
            <v>2</v>
          </cell>
          <cell r="AM2163" t="str">
            <v>Q</v>
          </cell>
          <cell r="AN2163" t="str">
            <v>M0</v>
          </cell>
          <cell r="AO2163" t="str">
            <v>Active(Model)</v>
          </cell>
          <cell r="AP2163" t="str">
            <v/>
          </cell>
          <cell r="AQ2163" t="str">
            <v/>
          </cell>
          <cell r="AR2163" t="str">
            <v>Y</v>
          </cell>
          <cell r="AS2163" t="str">
            <v/>
          </cell>
          <cell r="AT2163" t="str">
            <v>WM</v>
          </cell>
          <cell r="AU2163" t="str">
            <v>Washing Machine</v>
          </cell>
          <cell r="AV2163" t="str">
            <v>WMWL</v>
          </cell>
          <cell r="AW2163" t="str">
            <v>Clothes Washer</v>
          </cell>
          <cell r="AX2163" t="str">
            <v>WMWLFL</v>
          </cell>
          <cell r="AY2163" t="str">
            <v>Clothes Washer_Front Loader</v>
          </cell>
          <cell r="AZ2163" t="str">
            <v>WMWLFLSC</v>
          </cell>
          <cell r="BA2163" t="str">
            <v>Clothes Washer_Drum(DD)_Steam_24</v>
          </cell>
        </row>
        <row r="2164">
          <cell r="E2164" t="str">
            <v>FX1412S3K.AEBPVVN</v>
          </cell>
          <cell r="F2164">
            <v>0</v>
          </cell>
          <cell r="G2164">
            <v>0</v>
          </cell>
          <cell r="H2164">
            <v>0</v>
          </cell>
          <cell r="I2164">
            <v>6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1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 t="str">
            <v>WMPREMIUM</v>
          </cell>
          <cell r="AH2164" t="str">
            <v>WM_Premium</v>
          </cell>
          <cell r="AI2164" t="str">
            <v/>
          </cell>
          <cell r="AJ2164" t="str">
            <v/>
          </cell>
          <cell r="AK2164" t="str">
            <v>0.387684</v>
          </cell>
          <cell r="AL2164" t="str">
            <v>2</v>
          </cell>
          <cell r="AM2164" t="str">
            <v>F</v>
          </cell>
          <cell r="AN2164" t="str">
            <v>M0</v>
          </cell>
          <cell r="AO2164" t="str">
            <v>Active(Model)</v>
          </cell>
          <cell r="AP2164" t="str">
            <v/>
          </cell>
          <cell r="AQ2164" t="str">
            <v/>
          </cell>
          <cell r="AR2164" t="str">
            <v>Y</v>
          </cell>
          <cell r="AS2164" t="str">
            <v/>
          </cell>
          <cell r="AT2164" t="str">
            <v>WM</v>
          </cell>
          <cell r="AU2164" t="str">
            <v>Washing Machine</v>
          </cell>
          <cell r="AV2164" t="str">
            <v>WMWL</v>
          </cell>
          <cell r="AW2164" t="str">
            <v>Clothes Washer</v>
          </cell>
          <cell r="AX2164" t="str">
            <v>WMWLFL</v>
          </cell>
          <cell r="AY2164" t="str">
            <v>Clothes Washer_Front Loader</v>
          </cell>
          <cell r="AZ2164" t="str">
            <v>WMWLFLSC</v>
          </cell>
          <cell r="BA2164" t="str">
            <v>Clothes Washer_Drum(DD)_Steam_24</v>
          </cell>
        </row>
        <row r="2165">
          <cell r="E2165" t="str">
            <v>FX1412S3KAV.AEBPEVN</v>
          </cell>
          <cell r="F2165">
            <v>0</v>
          </cell>
          <cell r="G2165">
            <v>0</v>
          </cell>
          <cell r="H2165">
            <v>0</v>
          </cell>
          <cell r="I2165">
            <v>35</v>
          </cell>
          <cell r="J2165">
            <v>3</v>
          </cell>
          <cell r="K2165">
            <v>135</v>
          </cell>
          <cell r="L2165">
            <v>0</v>
          </cell>
          <cell r="M2165">
            <v>4</v>
          </cell>
          <cell r="N2165">
            <v>7</v>
          </cell>
          <cell r="O2165">
            <v>15</v>
          </cell>
          <cell r="P2165">
            <v>11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 t="str">
            <v>WMPREMIUM</v>
          </cell>
          <cell r="AH2165" t="str">
            <v>WM_Premium</v>
          </cell>
          <cell r="AI2165" t="str">
            <v/>
          </cell>
          <cell r="AJ2165" t="str">
            <v/>
          </cell>
          <cell r="AK2165" t="str">
            <v>0.383328</v>
          </cell>
          <cell r="AL2165" t="str">
            <v>2</v>
          </cell>
          <cell r="AM2165" t="str">
            <v>F</v>
          </cell>
          <cell r="AN2165" t="str">
            <v>M0</v>
          </cell>
          <cell r="AO2165" t="str">
            <v>Active(Model)</v>
          </cell>
          <cell r="AP2165" t="str">
            <v/>
          </cell>
          <cell r="AQ2165" t="str">
            <v/>
          </cell>
          <cell r="AR2165" t="str">
            <v>Y</v>
          </cell>
          <cell r="AS2165" t="str">
            <v/>
          </cell>
          <cell r="AT2165" t="str">
            <v>WM</v>
          </cell>
          <cell r="AU2165" t="str">
            <v>Washing Machine</v>
          </cell>
          <cell r="AV2165" t="str">
            <v>WMWL</v>
          </cell>
          <cell r="AW2165" t="str">
            <v>Clothes Washer</v>
          </cell>
          <cell r="AX2165" t="str">
            <v>WMWLFL</v>
          </cell>
          <cell r="AY2165" t="str">
            <v>Clothes Washer_Front Loader</v>
          </cell>
          <cell r="AZ2165" t="str">
            <v>WMWLFLSC</v>
          </cell>
          <cell r="BA2165" t="str">
            <v>Clothes Washer_Drum(DD)_Steam_24</v>
          </cell>
        </row>
        <row r="2166">
          <cell r="E2166" t="str">
            <v>FX1413S3KA.AEBPEVN</v>
          </cell>
          <cell r="F2166">
            <v>7</v>
          </cell>
          <cell r="G2166">
            <v>0</v>
          </cell>
          <cell r="H2166">
            <v>0</v>
          </cell>
          <cell r="I2166">
            <v>12</v>
          </cell>
          <cell r="J2166">
            <v>0</v>
          </cell>
          <cell r="K2166">
            <v>62</v>
          </cell>
          <cell r="L2166">
            <v>0</v>
          </cell>
          <cell r="M2166">
            <v>0</v>
          </cell>
          <cell r="N2166">
            <v>5</v>
          </cell>
          <cell r="O2166">
            <v>26</v>
          </cell>
          <cell r="P2166">
            <v>5</v>
          </cell>
          <cell r="Q2166">
            <v>7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  <cell r="AF2166">
            <v>0</v>
          </cell>
          <cell r="AG2166" t="str">
            <v>WMPREMIUM</v>
          </cell>
          <cell r="AH2166" t="str">
            <v>WM_Premium</v>
          </cell>
          <cell r="AI2166" t="str">
            <v/>
          </cell>
          <cell r="AJ2166" t="str">
            <v/>
          </cell>
          <cell r="AK2166" t="str">
            <v>0.414117</v>
          </cell>
          <cell r="AL2166" t="str">
            <v>2</v>
          </cell>
          <cell r="AM2166" t="str">
            <v>Q</v>
          </cell>
          <cell r="AN2166" t="str">
            <v>M0</v>
          </cell>
          <cell r="AO2166" t="str">
            <v>Active(Model)</v>
          </cell>
          <cell r="AP2166" t="str">
            <v/>
          </cell>
          <cell r="AQ2166" t="str">
            <v/>
          </cell>
          <cell r="AR2166" t="str">
            <v>Y</v>
          </cell>
          <cell r="AS2166" t="str">
            <v/>
          </cell>
          <cell r="AT2166" t="str">
            <v>WM</v>
          </cell>
          <cell r="AU2166" t="str">
            <v>Washing Machine</v>
          </cell>
          <cell r="AV2166" t="str">
            <v>WMWL</v>
          </cell>
          <cell r="AW2166" t="str">
            <v>Clothes Washer</v>
          </cell>
          <cell r="AX2166" t="str">
            <v>WMWLFL</v>
          </cell>
          <cell r="AY2166" t="str">
            <v>Clothes Washer_Front Loader</v>
          </cell>
          <cell r="AZ2166" t="str">
            <v>WMWLFLSC</v>
          </cell>
          <cell r="BA2166" t="str">
            <v>Clothes Washer_Drum(DD)_Steam_24</v>
          </cell>
        </row>
        <row r="2167">
          <cell r="E2167" t="str">
            <v>FX1413S5G.AEGPEVN</v>
          </cell>
          <cell r="F2167">
            <v>0</v>
          </cell>
          <cell r="G2167">
            <v>0</v>
          </cell>
          <cell r="H2167">
            <v>0</v>
          </cell>
          <cell r="I2167">
            <v>34</v>
          </cell>
          <cell r="J2167">
            <v>5</v>
          </cell>
          <cell r="K2167">
            <v>4</v>
          </cell>
          <cell r="L2167">
            <v>0</v>
          </cell>
          <cell r="M2167">
            <v>0</v>
          </cell>
          <cell r="N2167">
            <v>34</v>
          </cell>
          <cell r="O2167">
            <v>151</v>
          </cell>
          <cell r="P2167">
            <v>34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1</v>
          </cell>
          <cell r="AF2167">
            <v>0</v>
          </cell>
          <cell r="AG2167" t="str">
            <v/>
          </cell>
          <cell r="AH2167" t="str">
            <v/>
          </cell>
          <cell r="AI2167" t="str">
            <v/>
          </cell>
          <cell r="AJ2167" t="str">
            <v/>
          </cell>
          <cell r="AK2167" t="str">
            <v>0.414117</v>
          </cell>
          <cell r="AL2167" t="str">
            <v>2</v>
          </cell>
          <cell r="AM2167" t="str">
            <v>Q</v>
          </cell>
          <cell r="AN2167" t="str">
            <v>M0</v>
          </cell>
          <cell r="AO2167" t="str">
            <v>Active(Model)</v>
          </cell>
          <cell r="AP2167" t="str">
            <v/>
          </cell>
          <cell r="AQ2167" t="str">
            <v/>
          </cell>
          <cell r="AR2167" t="str">
            <v>Y</v>
          </cell>
          <cell r="AS2167" t="str">
            <v/>
          </cell>
          <cell r="AT2167" t="str">
            <v>WM</v>
          </cell>
          <cell r="AU2167" t="str">
            <v>Washing Machine</v>
          </cell>
          <cell r="AV2167" t="str">
            <v>WMWL</v>
          </cell>
          <cell r="AW2167" t="str">
            <v>Clothes Washer</v>
          </cell>
          <cell r="AX2167" t="str">
            <v>WMWLFL</v>
          </cell>
          <cell r="AY2167" t="str">
            <v>Clothes Washer_Front Loader</v>
          </cell>
          <cell r="AZ2167" t="str">
            <v>WMWLFLSC</v>
          </cell>
          <cell r="BA2167" t="str">
            <v>Clothes Washer_Drum(DD)_Steam_24</v>
          </cell>
        </row>
        <row r="2168">
          <cell r="E2168" t="str">
            <v>FX1414R3KA.AEBPEVN</v>
          </cell>
          <cell r="F2168">
            <v>0</v>
          </cell>
          <cell r="G2168">
            <v>0</v>
          </cell>
          <cell r="H2168">
            <v>0</v>
          </cell>
          <cell r="I2168">
            <v>0</v>
          </cell>
          <cell r="J2168">
            <v>0</v>
          </cell>
          <cell r="K2168">
            <v>15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 t="str">
            <v>WMPREMIUM</v>
          </cell>
          <cell r="AH2168" t="str">
            <v>WM_Premium</v>
          </cell>
          <cell r="AI2168" t="str">
            <v/>
          </cell>
          <cell r="AJ2168" t="str">
            <v/>
          </cell>
          <cell r="AK2168" t="str">
            <v>0.414117</v>
          </cell>
          <cell r="AL2168" t="str">
            <v>2</v>
          </cell>
          <cell r="AM2168" t="str">
            <v>Q</v>
          </cell>
          <cell r="AN2168" t="str">
            <v>M0</v>
          </cell>
          <cell r="AO2168" t="str">
            <v>Active(Model)</v>
          </cell>
          <cell r="AP2168" t="str">
            <v/>
          </cell>
          <cell r="AQ2168" t="str">
            <v/>
          </cell>
          <cell r="AR2168" t="str">
            <v>Y</v>
          </cell>
          <cell r="AS2168" t="str">
            <v/>
          </cell>
          <cell r="AT2168" t="str">
            <v>WM</v>
          </cell>
          <cell r="AU2168" t="str">
            <v>Washing Machine</v>
          </cell>
          <cell r="AV2168" t="str">
            <v>WMWL</v>
          </cell>
          <cell r="AW2168" t="str">
            <v>Clothes Washer</v>
          </cell>
          <cell r="AX2168" t="str">
            <v>WMWLFL</v>
          </cell>
          <cell r="AY2168" t="str">
            <v>Clothes Washer_Front Loader</v>
          </cell>
          <cell r="AZ2168" t="str">
            <v>WMWLFLSC</v>
          </cell>
          <cell r="BA2168" t="str">
            <v>Clothes Washer_Drum(DD)_Steam_24</v>
          </cell>
        </row>
        <row r="2169">
          <cell r="E2169" t="str">
            <v>FX1414S3KA.AEBPEVN</v>
          </cell>
          <cell r="F2169">
            <v>0</v>
          </cell>
          <cell r="G2169">
            <v>0</v>
          </cell>
          <cell r="H2169">
            <v>0</v>
          </cell>
          <cell r="I2169">
            <v>7</v>
          </cell>
          <cell r="J2169">
            <v>0</v>
          </cell>
          <cell r="K2169">
            <v>67</v>
          </cell>
          <cell r="L2169">
            <v>0</v>
          </cell>
          <cell r="M2169">
            <v>1</v>
          </cell>
          <cell r="N2169">
            <v>2</v>
          </cell>
          <cell r="O2169">
            <v>0</v>
          </cell>
          <cell r="P2169">
            <v>3</v>
          </cell>
          <cell r="Q2169">
            <v>3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 t="str">
            <v>WMPREMIUM</v>
          </cell>
          <cell r="AH2169" t="str">
            <v>WM_Premium</v>
          </cell>
          <cell r="AI2169" t="str">
            <v/>
          </cell>
          <cell r="AJ2169" t="str">
            <v/>
          </cell>
          <cell r="AK2169" t="str">
            <v>0.414117</v>
          </cell>
          <cell r="AL2169" t="str">
            <v>2</v>
          </cell>
          <cell r="AM2169" t="str">
            <v>Q</v>
          </cell>
          <cell r="AN2169" t="str">
            <v>M0</v>
          </cell>
          <cell r="AO2169" t="str">
            <v>Active(Model)</v>
          </cell>
          <cell r="AP2169" t="str">
            <v/>
          </cell>
          <cell r="AQ2169" t="str">
            <v/>
          </cell>
          <cell r="AR2169" t="str">
            <v>Y</v>
          </cell>
          <cell r="AS2169" t="str">
            <v/>
          </cell>
          <cell r="AT2169" t="str">
            <v>WM</v>
          </cell>
          <cell r="AU2169" t="str">
            <v>Washing Machine</v>
          </cell>
          <cell r="AV2169" t="str">
            <v>WMWL</v>
          </cell>
          <cell r="AW2169" t="str">
            <v>Clothes Washer</v>
          </cell>
          <cell r="AX2169" t="str">
            <v>WMWLFL</v>
          </cell>
          <cell r="AY2169" t="str">
            <v>Clothes Washer_Front Loader</v>
          </cell>
          <cell r="AZ2169" t="str">
            <v>WMWLFLSC</v>
          </cell>
          <cell r="BA2169" t="str">
            <v>Clothes Washer_Drum(DD)_Steam_24</v>
          </cell>
        </row>
        <row r="2170">
          <cell r="E2170" t="str">
            <v>GN-D372BLA.ABLPEVN</v>
          </cell>
          <cell r="F2170">
            <v>0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1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 t="str">
            <v>REFPREMIUM</v>
          </cell>
          <cell r="AH2170" t="str">
            <v>REF_Premium</v>
          </cell>
          <cell r="AI2170" t="str">
            <v/>
          </cell>
          <cell r="AJ2170" t="str">
            <v/>
          </cell>
          <cell r="AK2170" t="str">
            <v>0.963295</v>
          </cell>
          <cell r="AL2170" t="str">
            <v>2</v>
          </cell>
          <cell r="AM2170" t="str">
            <v>Q</v>
          </cell>
          <cell r="AN2170" t="str">
            <v>M0</v>
          </cell>
          <cell r="AO2170" t="str">
            <v>Active(Model)</v>
          </cell>
          <cell r="AP2170" t="str">
            <v/>
          </cell>
          <cell r="AQ2170" t="str">
            <v/>
          </cell>
          <cell r="AR2170" t="str">
            <v>Y</v>
          </cell>
          <cell r="AS2170" t="str">
            <v/>
          </cell>
          <cell r="AT2170" t="str">
            <v>RF</v>
          </cell>
          <cell r="AU2170" t="str">
            <v>Refrigerator</v>
          </cell>
          <cell r="AV2170" t="str">
            <v>RFTM</v>
          </cell>
          <cell r="AW2170" t="str">
            <v>TMNF</v>
          </cell>
          <cell r="AX2170" t="str">
            <v>RFTMTM</v>
          </cell>
          <cell r="AY2170" t="str">
            <v>TMNF</v>
          </cell>
          <cell r="AZ2170" t="str">
            <v>RFTMTMLA</v>
          </cell>
          <cell r="BA2170" t="str">
            <v>Large REF</v>
          </cell>
        </row>
        <row r="2171">
          <cell r="E2171" t="str">
            <v>GR-G257SV.APYPEVN</v>
          </cell>
          <cell r="F2171">
            <v>0</v>
          </cell>
          <cell r="G2171">
            <v>0</v>
          </cell>
          <cell r="H2171">
            <v>0</v>
          </cell>
          <cell r="I2171">
            <v>10</v>
          </cell>
          <cell r="J2171">
            <v>3</v>
          </cell>
          <cell r="K2171">
            <v>10</v>
          </cell>
          <cell r="L2171">
            <v>0</v>
          </cell>
          <cell r="M2171">
            <v>0</v>
          </cell>
          <cell r="N2171">
            <v>0</v>
          </cell>
          <cell r="O2171">
            <v>9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 t="str">
            <v>REFPREPLUS</v>
          </cell>
          <cell r="AH2171" t="str">
            <v>REF_Premium_Plus</v>
          </cell>
          <cell r="AI2171" t="str">
            <v/>
          </cell>
          <cell r="AJ2171" t="str">
            <v/>
          </cell>
          <cell r="AK2171" t="str">
            <v>1.415300</v>
          </cell>
          <cell r="AL2171" t="str">
            <v>2</v>
          </cell>
          <cell r="AM2171" t="str">
            <v>Q</v>
          </cell>
          <cell r="AN2171" t="str">
            <v>M0</v>
          </cell>
          <cell r="AO2171" t="str">
            <v>Active(Model)</v>
          </cell>
          <cell r="AP2171" t="str">
            <v/>
          </cell>
          <cell r="AQ2171" t="str">
            <v/>
          </cell>
          <cell r="AR2171" t="str">
            <v>Y</v>
          </cell>
          <cell r="AS2171" t="str">
            <v/>
          </cell>
          <cell r="AT2171" t="str">
            <v>RF</v>
          </cell>
          <cell r="AU2171" t="str">
            <v>Refrigerator</v>
          </cell>
          <cell r="AV2171" t="str">
            <v>RFSS</v>
          </cell>
          <cell r="AW2171" t="str">
            <v>SxS</v>
          </cell>
          <cell r="AX2171" t="str">
            <v>RFSSSS</v>
          </cell>
          <cell r="AY2171" t="str">
            <v>SxS</v>
          </cell>
          <cell r="AZ2171" t="str">
            <v>RFSSSS25</v>
          </cell>
          <cell r="BA2171" t="str">
            <v>SxS 25CU</v>
          </cell>
        </row>
        <row r="2172">
          <cell r="E2172" t="str">
            <v>GR-X257BG.AEEPEVN</v>
          </cell>
          <cell r="F2172">
            <v>0</v>
          </cell>
          <cell r="G2172">
            <v>0</v>
          </cell>
          <cell r="H2172">
            <v>0</v>
          </cell>
          <cell r="I2172">
            <v>5</v>
          </cell>
          <cell r="J2172">
            <v>0</v>
          </cell>
          <cell r="K2172">
            <v>8</v>
          </cell>
          <cell r="L2172">
            <v>0</v>
          </cell>
          <cell r="M2172">
            <v>2</v>
          </cell>
          <cell r="N2172">
            <v>0</v>
          </cell>
          <cell r="O2172">
            <v>1</v>
          </cell>
          <cell r="P2172">
            <v>2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 t="str">
            <v>REFPREPLUS</v>
          </cell>
          <cell r="AH2172" t="str">
            <v>REF_Premium_Plus</v>
          </cell>
          <cell r="AI2172" t="str">
            <v/>
          </cell>
          <cell r="AJ2172" t="str">
            <v/>
          </cell>
          <cell r="AK2172" t="str">
            <v>1.415300</v>
          </cell>
          <cell r="AL2172" t="str">
            <v>2</v>
          </cell>
          <cell r="AM2172" t="str">
            <v>Q</v>
          </cell>
          <cell r="AN2172" t="str">
            <v>M0</v>
          </cell>
          <cell r="AO2172" t="str">
            <v>Active(Model)</v>
          </cell>
          <cell r="AP2172" t="str">
            <v/>
          </cell>
          <cell r="AQ2172" t="str">
            <v/>
          </cell>
          <cell r="AR2172" t="str">
            <v>Y</v>
          </cell>
          <cell r="AS2172" t="str">
            <v/>
          </cell>
          <cell r="AT2172" t="str">
            <v>RF</v>
          </cell>
          <cell r="AU2172" t="str">
            <v>Refrigerator</v>
          </cell>
          <cell r="AV2172" t="str">
            <v>RFSS</v>
          </cell>
          <cell r="AW2172" t="str">
            <v>SxS</v>
          </cell>
          <cell r="AX2172" t="str">
            <v>RFSSSS</v>
          </cell>
          <cell r="AY2172" t="str">
            <v>SxS</v>
          </cell>
          <cell r="AZ2172" t="str">
            <v>RFSSSS25</v>
          </cell>
          <cell r="BA2172" t="str">
            <v>SxS 25CU</v>
          </cell>
        </row>
        <row r="2173">
          <cell r="E2173" t="str">
            <v>GR-X257BL.AEPPEVN</v>
          </cell>
          <cell r="F2173">
            <v>1</v>
          </cell>
          <cell r="G2173">
            <v>0</v>
          </cell>
          <cell r="H2173">
            <v>0</v>
          </cell>
          <cell r="I2173">
            <v>17</v>
          </cell>
          <cell r="J2173">
            <v>0</v>
          </cell>
          <cell r="K2173">
            <v>5</v>
          </cell>
          <cell r="L2173">
            <v>0</v>
          </cell>
          <cell r="M2173">
            <v>3</v>
          </cell>
          <cell r="N2173">
            <v>0</v>
          </cell>
          <cell r="O2173">
            <v>0</v>
          </cell>
          <cell r="P2173">
            <v>3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1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0</v>
          </cell>
          <cell r="AG2173" t="str">
            <v>REFPREPLUS</v>
          </cell>
          <cell r="AH2173" t="str">
            <v>REF_Premium_Plus</v>
          </cell>
          <cell r="AI2173" t="str">
            <v/>
          </cell>
          <cell r="AJ2173" t="str">
            <v/>
          </cell>
          <cell r="AK2173" t="str">
            <v>1.415300</v>
          </cell>
          <cell r="AL2173" t="str">
            <v>2</v>
          </cell>
          <cell r="AM2173" t="str">
            <v>Q</v>
          </cell>
          <cell r="AN2173" t="str">
            <v>M0</v>
          </cell>
          <cell r="AO2173" t="str">
            <v>Active(Model)</v>
          </cell>
          <cell r="AP2173" t="str">
            <v/>
          </cell>
          <cell r="AQ2173" t="str">
            <v/>
          </cell>
          <cell r="AR2173" t="str">
            <v>Y</v>
          </cell>
          <cell r="AS2173" t="str">
            <v/>
          </cell>
          <cell r="AT2173" t="str">
            <v>RF</v>
          </cell>
          <cell r="AU2173" t="str">
            <v>Refrigerator</v>
          </cell>
          <cell r="AV2173" t="str">
            <v>RFSS</v>
          </cell>
          <cell r="AW2173" t="str">
            <v>SxS</v>
          </cell>
          <cell r="AX2173" t="str">
            <v>RFSSSS</v>
          </cell>
          <cell r="AY2173" t="str">
            <v>SxS</v>
          </cell>
          <cell r="AZ2173" t="str">
            <v>RFSSSS25</v>
          </cell>
          <cell r="BA2173" t="str">
            <v>SxS 25CU</v>
          </cell>
        </row>
        <row r="2174">
          <cell r="E2174" t="str">
            <v>GRAB.AVNMLBK</v>
          </cell>
          <cell r="F2174">
            <v>19</v>
          </cell>
          <cell r="G2174">
            <v>0</v>
          </cell>
          <cell r="H2174">
            <v>0</v>
          </cell>
          <cell r="I2174">
            <v>56</v>
          </cell>
          <cell r="J2174">
            <v>4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1</v>
          </cell>
          <cell r="AD2174">
            <v>0</v>
          </cell>
          <cell r="AE2174">
            <v>3</v>
          </cell>
          <cell r="AF2174">
            <v>1</v>
          </cell>
          <cell r="AG2174" t="str">
            <v/>
          </cell>
          <cell r="AH2174" t="str">
            <v/>
          </cell>
          <cell r="AI2174" t="str">
            <v/>
          </cell>
          <cell r="AJ2174" t="str">
            <v/>
          </cell>
          <cell r="AK2174" t="str">
            <v>0.002842</v>
          </cell>
          <cell r="AL2174" t="str">
            <v>0</v>
          </cell>
          <cell r="AM2174" t="str">
            <v>Q</v>
          </cell>
          <cell r="AN2174" t="str">
            <v>M0</v>
          </cell>
          <cell r="AO2174" t="str">
            <v>Active(Model)</v>
          </cell>
          <cell r="AP2174" t="str">
            <v/>
          </cell>
          <cell r="AQ2174" t="str">
            <v/>
          </cell>
          <cell r="AR2174" t="str">
            <v>Y</v>
          </cell>
          <cell r="AS2174" t="str">
            <v/>
          </cell>
          <cell r="AT2174" t="str">
            <v>AO</v>
          </cell>
          <cell r="AU2174" t="str">
            <v>AO</v>
          </cell>
          <cell r="AV2174" t="str">
            <v>AOAA</v>
          </cell>
          <cell r="AW2174" t="str">
            <v>Home Audio_OS</v>
          </cell>
          <cell r="AX2174" t="str">
            <v>AOAADS</v>
          </cell>
          <cell r="AY2174" t="str">
            <v>Wireless Speaker_OS</v>
          </cell>
          <cell r="AZ2174" t="str">
            <v>AOAADSPS</v>
          </cell>
          <cell r="BA2174" t="str">
            <v>Bluetooth Speaker_OS</v>
          </cell>
        </row>
        <row r="2175">
          <cell r="E2175" t="str">
            <v>HU925V.ATV</v>
          </cell>
          <cell r="F2175">
            <v>0</v>
          </cell>
          <cell r="G2175">
            <v>0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B2175">
            <v>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 t="str">
            <v>PRJ</v>
          </cell>
          <cell r="AH2175" t="str">
            <v>Projector</v>
          </cell>
          <cell r="AI2175" t="str">
            <v/>
          </cell>
          <cell r="AJ2175" t="str">
            <v/>
          </cell>
          <cell r="AK2175" t="str">
            <v>0.099954</v>
          </cell>
          <cell r="AL2175" t="str">
            <v>2</v>
          </cell>
          <cell r="AM2175" t="str">
            <v>Q</v>
          </cell>
          <cell r="AN2175" t="str">
            <v>M0</v>
          </cell>
          <cell r="AO2175" t="str">
            <v>Active(Model)</v>
          </cell>
          <cell r="AP2175" t="str">
            <v/>
          </cell>
          <cell r="AQ2175" t="str">
            <v/>
          </cell>
          <cell r="AR2175" t="str">
            <v>Y</v>
          </cell>
          <cell r="AS2175" t="str">
            <v/>
          </cell>
          <cell r="AT2175" t="str">
            <v>TV</v>
          </cell>
          <cell r="AU2175" t="str">
            <v>TV</v>
          </cell>
          <cell r="AV2175" t="str">
            <v>TVPR</v>
          </cell>
          <cell r="AW2175" t="str">
            <v>Projector</v>
          </cell>
          <cell r="AX2175" t="str">
            <v>TVPRPL</v>
          </cell>
          <cell r="AY2175" t="str">
            <v>PJTR Laser</v>
          </cell>
          <cell r="AZ2175" t="str">
            <v>TVPRPLNU</v>
          </cell>
          <cell r="BA2175" t="str">
            <v>PJTR Laser UHD</v>
          </cell>
        </row>
        <row r="2176">
          <cell r="E2176" t="str">
            <v>IAC18B1M.ATYGEVH</v>
          </cell>
          <cell r="F2176">
            <v>1</v>
          </cell>
          <cell r="G2176">
            <v>0</v>
          </cell>
          <cell r="H2176">
            <v>0</v>
          </cell>
          <cell r="I2176">
            <v>1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0</v>
          </cell>
          <cell r="AG2176" t="str">
            <v>RACPREMIUM</v>
          </cell>
          <cell r="AH2176" t="str">
            <v>RAC_Premium</v>
          </cell>
          <cell r="AI2176" t="str">
            <v/>
          </cell>
          <cell r="AJ2176" t="str">
            <v/>
          </cell>
          <cell r="AK2176" t="str">
            <v>0.113005</v>
          </cell>
          <cell r="AL2176" t="str">
            <v>0</v>
          </cell>
          <cell r="AM2176" t="str">
            <v>Q</v>
          </cell>
          <cell r="AN2176" t="str">
            <v>M0</v>
          </cell>
          <cell r="AO2176" t="str">
            <v>Active(Model)</v>
          </cell>
          <cell r="AP2176" t="str">
            <v/>
          </cell>
          <cell r="AQ2176" t="str">
            <v/>
          </cell>
          <cell r="AR2176" t="str">
            <v>Y</v>
          </cell>
          <cell r="AS2176" t="str">
            <v/>
          </cell>
          <cell r="AT2176" t="str">
            <v>AC</v>
          </cell>
          <cell r="AU2176" t="str">
            <v>Airconditioner</v>
          </cell>
          <cell r="AV2176" t="str">
            <v>ACMU</v>
          </cell>
          <cell r="AW2176" t="str">
            <v>A/C Mock-up</v>
          </cell>
          <cell r="AX2176" t="str">
            <v>ACMUAM</v>
          </cell>
          <cell r="AY2176" t="str">
            <v>A/C Mock-up</v>
          </cell>
          <cell r="AZ2176" t="str">
            <v>ACMUAMMJ</v>
          </cell>
          <cell r="BA2176" t="str">
            <v>A/C Mock-up_Prod_RAC</v>
          </cell>
        </row>
        <row r="2177">
          <cell r="E2177" t="str">
            <v>IAC18B1N.ATYGEVH</v>
          </cell>
          <cell r="F2177">
            <v>0</v>
          </cell>
          <cell r="G2177">
            <v>0</v>
          </cell>
          <cell r="H2177">
            <v>0</v>
          </cell>
          <cell r="I2177">
            <v>2</v>
          </cell>
          <cell r="J2177">
            <v>0</v>
          </cell>
          <cell r="K2177">
            <v>1</v>
          </cell>
          <cell r="L2177">
            <v>2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 t="str">
            <v>RACPREMIUM</v>
          </cell>
          <cell r="AH2177" t="str">
            <v>RAC_Premium</v>
          </cell>
          <cell r="AI2177" t="str">
            <v/>
          </cell>
          <cell r="AJ2177" t="str">
            <v/>
          </cell>
          <cell r="AK2177" t="str">
            <v>0.113005</v>
          </cell>
          <cell r="AL2177" t="str">
            <v>0</v>
          </cell>
          <cell r="AM2177" t="str">
            <v>Q</v>
          </cell>
          <cell r="AN2177" t="str">
            <v>M0</v>
          </cell>
          <cell r="AO2177" t="str">
            <v>Active(Model)</v>
          </cell>
          <cell r="AP2177" t="str">
            <v/>
          </cell>
          <cell r="AQ2177" t="str">
            <v/>
          </cell>
          <cell r="AR2177" t="str">
            <v>Y</v>
          </cell>
          <cell r="AS2177" t="str">
            <v/>
          </cell>
          <cell r="AT2177" t="str">
            <v>AC</v>
          </cell>
          <cell r="AU2177" t="str">
            <v>Airconditioner</v>
          </cell>
          <cell r="AV2177" t="str">
            <v>ACSR</v>
          </cell>
          <cell r="AW2177" t="str">
            <v>SRAC</v>
          </cell>
          <cell r="AX2177" t="str">
            <v>ACSRIV</v>
          </cell>
          <cell r="AY2177" t="str">
            <v>Inverter</v>
          </cell>
          <cell r="AZ2177" t="str">
            <v>ACSRIVSN</v>
          </cell>
          <cell r="BA2177" t="str">
            <v>Inverter Single Split Wall_I/D</v>
          </cell>
        </row>
        <row r="2178">
          <cell r="E2178" t="str">
            <v>IAC18B1U.ATYGEVH</v>
          </cell>
          <cell r="F2178">
            <v>0</v>
          </cell>
          <cell r="G2178">
            <v>0</v>
          </cell>
          <cell r="H2178">
            <v>0</v>
          </cell>
          <cell r="I2178">
            <v>2</v>
          </cell>
          <cell r="J2178">
            <v>0</v>
          </cell>
          <cell r="K2178">
            <v>1</v>
          </cell>
          <cell r="L2178">
            <v>2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0</v>
          </cell>
          <cell r="AF2178">
            <v>0</v>
          </cell>
          <cell r="AG2178" t="str">
            <v>RACPREMIUM</v>
          </cell>
          <cell r="AH2178" t="str">
            <v>RAC_Premium</v>
          </cell>
          <cell r="AI2178" t="str">
            <v/>
          </cell>
          <cell r="AJ2178" t="str">
            <v/>
          </cell>
          <cell r="AK2178" t="str">
            <v>0.211677</v>
          </cell>
          <cell r="AL2178" t="str">
            <v>0</v>
          </cell>
          <cell r="AM2178" t="str">
            <v>Q</v>
          </cell>
          <cell r="AN2178" t="str">
            <v>M0</v>
          </cell>
          <cell r="AO2178" t="str">
            <v>Active(Model)</v>
          </cell>
          <cell r="AP2178" t="str">
            <v/>
          </cell>
          <cell r="AQ2178" t="str">
            <v/>
          </cell>
          <cell r="AR2178" t="str">
            <v>Y</v>
          </cell>
          <cell r="AS2178" t="str">
            <v/>
          </cell>
          <cell r="AT2178" t="str">
            <v>AC</v>
          </cell>
          <cell r="AU2178" t="str">
            <v>Airconditioner</v>
          </cell>
          <cell r="AV2178" t="str">
            <v>ACSR</v>
          </cell>
          <cell r="AW2178" t="str">
            <v>SRAC</v>
          </cell>
          <cell r="AX2178" t="str">
            <v>ACSRIV</v>
          </cell>
          <cell r="AY2178" t="str">
            <v>Inverter</v>
          </cell>
          <cell r="AZ2178" t="str">
            <v>ACSRIVSU</v>
          </cell>
          <cell r="BA2178" t="str">
            <v>Inverter Single Split Wall_O/D</v>
          </cell>
        </row>
        <row r="2179">
          <cell r="E2179" t="str">
            <v>IDC09B2N.ATYGEVH</v>
          </cell>
          <cell r="F2179">
            <v>0</v>
          </cell>
          <cell r="G2179">
            <v>0</v>
          </cell>
          <cell r="H2179">
            <v>0</v>
          </cell>
          <cell r="I2179">
            <v>2</v>
          </cell>
          <cell r="J2179">
            <v>2</v>
          </cell>
          <cell r="K2179">
            <v>18</v>
          </cell>
          <cell r="L2179">
            <v>0</v>
          </cell>
          <cell r="M2179">
            <v>0</v>
          </cell>
          <cell r="N2179">
            <v>1</v>
          </cell>
          <cell r="O2179">
            <v>3</v>
          </cell>
          <cell r="P2179">
            <v>1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2</v>
          </cell>
          <cell r="AF2179">
            <v>0</v>
          </cell>
          <cell r="AG2179" t="str">
            <v>RACPREMIUM</v>
          </cell>
          <cell r="AH2179" t="str">
            <v>RAC_Premium</v>
          </cell>
          <cell r="AI2179" t="str">
            <v/>
          </cell>
          <cell r="AJ2179" t="str">
            <v/>
          </cell>
          <cell r="AK2179" t="str">
            <v>0.097743</v>
          </cell>
          <cell r="AL2179" t="str">
            <v>0</v>
          </cell>
          <cell r="AM2179" t="str">
            <v>Q</v>
          </cell>
          <cell r="AN2179" t="str">
            <v>M0</v>
          </cell>
          <cell r="AO2179" t="str">
            <v>Active(Model)</v>
          </cell>
          <cell r="AP2179" t="str">
            <v/>
          </cell>
          <cell r="AQ2179" t="str">
            <v/>
          </cell>
          <cell r="AR2179" t="str">
            <v>Y</v>
          </cell>
          <cell r="AS2179" t="str">
            <v/>
          </cell>
          <cell r="AT2179" t="str">
            <v>AC</v>
          </cell>
          <cell r="AU2179" t="str">
            <v>Airconditioner</v>
          </cell>
          <cell r="AV2179" t="str">
            <v>ACSR</v>
          </cell>
          <cell r="AW2179" t="str">
            <v>SRAC</v>
          </cell>
          <cell r="AX2179" t="str">
            <v>ACSRIV</v>
          </cell>
          <cell r="AY2179" t="str">
            <v>Inverter</v>
          </cell>
          <cell r="AZ2179" t="str">
            <v>ACSRIVSN</v>
          </cell>
          <cell r="BA2179" t="str">
            <v>Inverter Single Split Wall_I/D</v>
          </cell>
        </row>
        <row r="2180">
          <cell r="E2180" t="str">
            <v>IDC09B2U.ATYGEVH</v>
          </cell>
          <cell r="F2180">
            <v>2</v>
          </cell>
          <cell r="G2180">
            <v>0</v>
          </cell>
          <cell r="H2180">
            <v>0</v>
          </cell>
          <cell r="I2180">
            <v>9</v>
          </cell>
          <cell r="J2180">
            <v>2</v>
          </cell>
          <cell r="K2180">
            <v>18</v>
          </cell>
          <cell r="L2180">
            <v>0</v>
          </cell>
          <cell r="M2180">
            <v>0</v>
          </cell>
          <cell r="N2180">
            <v>1</v>
          </cell>
          <cell r="O2180">
            <v>3</v>
          </cell>
          <cell r="P2180">
            <v>1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2</v>
          </cell>
          <cell r="AF2180">
            <v>0</v>
          </cell>
          <cell r="AG2180" t="str">
            <v>RACPREMIUM</v>
          </cell>
          <cell r="AH2180" t="str">
            <v>RAC_Premium</v>
          </cell>
          <cell r="AI2180" t="str">
            <v/>
          </cell>
          <cell r="AJ2180" t="str">
            <v/>
          </cell>
          <cell r="AK2180" t="str">
            <v>0.142216</v>
          </cell>
          <cell r="AL2180" t="str">
            <v>0</v>
          </cell>
          <cell r="AM2180" t="str">
            <v>Q</v>
          </cell>
          <cell r="AN2180" t="str">
            <v>M0</v>
          </cell>
          <cell r="AO2180" t="str">
            <v>Active(Model)</v>
          </cell>
          <cell r="AP2180" t="str">
            <v/>
          </cell>
          <cell r="AQ2180" t="str">
            <v/>
          </cell>
          <cell r="AR2180" t="str">
            <v>Y</v>
          </cell>
          <cell r="AS2180" t="str">
            <v/>
          </cell>
          <cell r="AT2180" t="str">
            <v>AC</v>
          </cell>
          <cell r="AU2180" t="str">
            <v>Airconditioner</v>
          </cell>
          <cell r="AV2180" t="str">
            <v>ACSR</v>
          </cell>
          <cell r="AW2180" t="str">
            <v>SRAC</v>
          </cell>
          <cell r="AX2180" t="str">
            <v>ACSRIV</v>
          </cell>
          <cell r="AY2180" t="str">
            <v>Inverter</v>
          </cell>
          <cell r="AZ2180" t="str">
            <v>ACSRIVSU</v>
          </cell>
          <cell r="BA2180" t="str">
            <v>Inverter Single Split Wall_O/D</v>
          </cell>
        </row>
        <row r="2181">
          <cell r="E2181" t="str">
            <v>IDC09M2N.ATYGEVH</v>
          </cell>
          <cell r="F2181">
            <v>0</v>
          </cell>
          <cell r="G2181">
            <v>0</v>
          </cell>
          <cell r="H2181">
            <v>0</v>
          </cell>
          <cell r="I2181">
            <v>87</v>
          </cell>
          <cell r="J2181">
            <v>0</v>
          </cell>
          <cell r="K2181">
            <v>323</v>
          </cell>
          <cell r="L2181">
            <v>30</v>
          </cell>
          <cell r="M2181">
            <v>42</v>
          </cell>
          <cell r="N2181">
            <v>0</v>
          </cell>
          <cell r="O2181">
            <v>66</v>
          </cell>
          <cell r="P2181">
            <v>42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17</v>
          </cell>
          <cell r="AF2181">
            <v>0</v>
          </cell>
          <cell r="AG2181" t="str">
            <v>RACPREMIUM</v>
          </cell>
          <cell r="AH2181" t="str">
            <v>RAC_Premium</v>
          </cell>
          <cell r="AI2181" t="str">
            <v/>
          </cell>
          <cell r="AJ2181" t="str">
            <v/>
          </cell>
          <cell r="AK2181" t="str">
            <v>0.097743</v>
          </cell>
          <cell r="AL2181" t="str">
            <v>0</v>
          </cell>
          <cell r="AM2181" t="str">
            <v>Q</v>
          </cell>
          <cell r="AN2181" t="str">
            <v>M0</v>
          </cell>
          <cell r="AO2181" t="str">
            <v>Active(Model)</v>
          </cell>
          <cell r="AP2181" t="str">
            <v/>
          </cell>
          <cell r="AQ2181" t="str">
            <v/>
          </cell>
          <cell r="AR2181" t="str">
            <v>Y</v>
          </cell>
          <cell r="AS2181" t="str">
            <v/>
          </cell>
          <cell r="AT2181" t="str">
            <v>AC</v>
          </cell>
          <cell r="AU2181" t="str">
            <v>Airconditioner</v>
          </cell>
          <cell r="AV2181" t="str">
            <v>ACSR</v>
          </cell>
          <cell r="AW2181" t="str">
            <v>SRAC</v>
          </cell>
          <cell r="AX2181" t="str">
            <v>ACSRIV</v>
          </cell>
          <cell r="AY2181" t="str">
            <v>Inverter</v>
          </cell>
          <cell r="AZ2181" t="str">
            <v>ACSRIVSN</v>
          </cell>
          <cell r="BA2181" t="str">
            <v>Inverter Single Split Wall_I/D</v>
          </cell>
        </row>
        <row r="2182">
          <cell r="E2182" t="str">
            <v>IDC09M2U.ATYGEVH</v>
          </cell>
          <cell r="F2182">
            <v>0</v>
          </cell>
          <cell r="G2182">
            <v>0</v>
          </cell>
          <cell r="H2182">
            <v>0</v>
          </cell>
          <cell r="I2182">
            <v>94</v>
          </cell>
          <cell r="J2182">
            <v>0</v>
          </cell>
          <cell r="K2182">
            <v>321</v>
          </cell>
          <cell r="L2182">
            <v>30</v>
          </cell>
          <cell r="M2182">
            <v>44</v>
          </cell>
          <cell r="N2182">
            <v>0</v>
          </cell>
          <cell r="O2182">
            <v>66</v>
          </cell>
          <cell r="P2182">
            <v>44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17</v>
          </cell>
          <cell r="AF2182">
            <v>0</v>
          </cell>
          <cell r="AG2182" t="str">
            <v>RACPREMIUM</v>
          </cell>
          <cell r="AH2182" t="str">
            <v>RAC_Premium</v>
          </cell>
          <cell r="AI2182" t="str">
            <v/>
          </cell>
          <cell r="AJ2182" t="str">
            <v/>
          </cell>
          <cell r="AK2182" t="str">
            <v>0.142216</v>
          </cell>
          <cell r="AL2182" t="str">
            <v>0</v>
          </cell>
          <cell r="AM2182" t="str">
            <v>Q</v>
          </cell>
          <cell r="AN2182" t="str">
            <v>M0</v>
          </cell>
          <cell r="AO2182" t="str">
            <v>Active(Model)</v>
          </cell>
          <cell r="AP2182" t="str">
            <v/>
          </cell>
          <cell r="AQ2182" t="str">
            <v/>
          </cell>
          <cell r="AR2182" t="str">
            <v>Y</v>
          </cell>
          <cell r="AS2182" t="str">
            <v/>
          </cell>
          <cell r="AT2182" t="str">
            <v>AC</v>
          </cell>
          <cell r="AU2182" t="str">
            <v>Airconditioner</v>
          </cell>
          <cell r="AV2182" t="str">
            <v>ACSR</v>
          </cell>
          <cell r="AW2182" t="str">
            <v>SRAC</v>
          </cell>
          <cell r="AX2182" t="str">
            <v>ACSRIV</v>
          </cell>
          <cell r="AY2182" t="str">
            <v>Inverter</v>
          </cell>
          <cell r="AZ2182" t="str">
            <v>ACSRIVSU</v>
          </cell>
          <cell r="BA2182" t="str">
            <v>Inverter Single Split Wall_O/D</v>
          </cell>
        </row>
        <row r="2183">
          <cell r="E2183" t="str">
            <v>IDC12B2N.ATYGEVH</v>
          </cell>
          <cell r="F2183">
            <v>0</v>
          </cell>
          <cell r="G2183">
            <v>0</v>
          </cell>
          <cell r="H2183">
            <v>0</v>
          </cell>
          <cell r="I2183">
            <v>32</v>
          </cell>
          <cell r="J2183">
            <v>2</v>
          </cell>
          <cell r="K2183">
            <v>48</v>
          </cell>
          <cell r="L2183">
            <v>0</v>
          </cell>
          <cell r="M2183">
            <v>3</v>
          </cell>
          <cell r="N2183">
            <v>0</v>
          </cell>
          <cell r="O2183">
            <v>8</v>
          </cell>
          <cell r="P2183">
            <v>3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>
            <v>0</v>
          </cell>
          <cell r="AE2183">
            <v>0</v>
          </cell>
          <cell r="AF2183">
            <v>0</v>
          </cell>
          <cell r="AG2183" t="str">
            <v>RACPREMIUM</v>
          </cell>
          <cell r="AH2183" t="str">
            <v>RAC_Premium</v>
          </cell>
          <cell r="AI2183" t="str">
            <v/>
          </cell>
          <cell r="AJ2183" t="str">
            <v/>
          </cell>
          <cell r="AK2183" t="str">
            <v>0.097743</v>
          </cell>
          <cell r="AL2183" t="str">
            <v>0</v>
          </cell>
          <cell r="AM2183" t="str">
            <v>Q</v>
          </cell>
          <cell r="AN2183" t="str">
            <v>M0</v>
          </cell>
          <cell r="AO2183" t="str">
            <v>Active(Model)</v>
          </cell>
          <cell r="AP2183" t="str">
            <v/>
          </cell>
          <cell r="AQ2183" t="str">
            <v/>
          </cell>
          <cell r="AR2183" t="str">
            <v>Y</v>
          </cell>
          <cell r="AS2183" t="str">
            <v/>
          </cell>
          <cell r="AT2183" t="str">
            <v>AC</v>
          </cell>
          <cell r="AU2183" t="str">
            <v>Airconditioner</v>
          </cell>
          <cell r="AV2183" t="str">
            <v>ACSR</v>
          </cell>
          <cell r="AW2183" t="str">
            <v>SRAC</v>
          </cell>
          <cell r="AX2183" t="str">
            <v>ACSRIV</v>
          </cell>
          <cell r="AY2183" t="str">
            <v>Inverter</v>
          </cell>
          <cell r="AZ2183" t="str">
            <v>ACSRIVSN</v>
          </cell>
          <cell r="BA2183" t="str">
            <v>Inverter Single Split Wall_I/D</v>
          </cell>
        </row>
        <row r="2184">
          <cell r="E2184" t="str">
            <v>IDC12B2U.ATYGEVH</v>
          </cell>
          <cell r="F2184">
            <v>0</v>
          </cell>
          <cell r="G2184">
            <v>0</v>
          </cell>
          <cell r="H2184">
            <v>0</v>
          </cell>
          <cell r="I2184">
            <v>22</v>
          </cell>
          <cell r="J2184">
            <v>2</v>
          </cell>
          <cell r="K2184">
            <v>48</v>
          </cell>
          <cell r="L2184">
            <v>0</v>
          </cell>
          <cell r="M2184">
            <v>3</v>
          </cell>
          <cell r="N2184">
            <v>0</v>
          </cell>
          <cell r="O2184">
            <v>8</v>
          </cell>
          <cell r="P2184">
            <v>3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 t="str">
            <v>RACPREMIUM</v>
          </cell>
          <cell r="AH2184" t="str">
            <v>RAC_Premium</v>
          </cell>
          <cell r="AI2184" t="str">
            <v/>
          </cell>
          <cell r="AJ2184" t="str">
            <v/>
          </cell>
          <cell r="AK2184" t="str">
            <v>0.142216</v>
          </cell>
          <cell r="AL2184" t="str">
            <v>0</v>
          </cell>
          <cell r="AM2184" t="str">
            <v>Q</v>
          </cell>
          <cell r="AN2184" t="str">
            <v>M0</v>
          </cell>
          <cell r="AO2184" t="str">
            <v>Active(Model)</v>
          </cell>
          <cell r="AP2184" t="str">
            <v/>
          </cell>
          <cell r="AQ2184" t="str">
            <v/>
          </cell>
          <cell r="AR2184" t="str">
            <v>Y</v>
          </cell>
          <cell r="AS2184" t="str">
            <v/>
          </cell>
          <cell r="AT2184" t="str">
            <v>AC</v>
          </cell>
          <cell r="AU2184" t="str">
            <v>Airconditioner</v>
          </cell>
          <cell r="AV2184" t="str">
            <v>ACSR</v>
          </cell>
          <cell r="AW2184" t="str">
            <v>SRAC</v>
          </cell>
          <cell r="AX2184" t="str">
            <v>ACSRIV</v>
          </cell>
          <cell r="AY2184" t="str">
            <v>Inverter</v>
          </cell>
          <cell r="AZ2184" t="str">
            <v>ACSRIVSU</v>
          </cell>
          <cell r="BA2184" t="str">
            <v>Inverter Single Split Wall_O/D</v>
          </cell>
        </row>
        <row r="2185">
          <cell r="E2185" t="str">
            <v>IDC12M2N.ATYGEVH</v>
          </cell>
          <cell r="F2185">
            <v>0</v>
          </cell>
          <cell r="G2185">
            <v>0</v>
          </cell>
          <cell r="H2185">
            <v>0</v>
          </cell>
          <cell r="I2185">
            <v>44</v>
          </cell>
          <cell r="J2185">
            <v>1</v>
          </cell>
          <cell r="K2185">
            <v>117</v>
          </cell>
          <cell r="L2185">
            <v>5</v>
          </cell>
          <cell r="M2185">
            <v>25</v>
          </cell>
          <cell r="N2185">
            <v>8</v>
          </cell>
          <cell r="O2185">
            <v>25</v>
          </cell>
          <cell r="P2185">
            <v>33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 t="str">
            <v>RACPREMIUM</v>
          </cell>
          <cell r="AH2185" t="str">
            <v>RAC_Premium</v>
          </cell>
          <cell r="AI2185" t="str">
            <v/>
          </cell>
          <cell r="AJ2185" t="str">
            <v/>
          </cell>
          <cell r="AK2185" t="str">
            <v>0.097743</v>
          </cell>
          <cell r="AL2185" t="str">
            <v>0</v>
          </cell>
          <cell r="AM2185" t="str">
            <v>Q</v>
          </cell>
          <cell r="AN2185" t="str">
            <v>M0</v>
          </cell>
          <cell r="AO2185" t="str">
            <v>Active(Model)</v>
          </cell>
          <cell r="AP2185" t="str">
            <v/>
          </cell>
          <cell r="AQ2185" t="str">
            <v/>
          </cell>
          <cell r="AR2185" t="str">
            <v>Y</v>
          </cell>
          <cell r="AS2185" t="str">
            <v/>
          </cell>
          <cell r="AT2185" t="str">
            <v>AC</v>
          </cell>
          <cell r="AU2185" t="str">
            <v>Airconditioner</v>
          </cell>
          <cell r="AV2185" t="str">
            <v>ACSR</v>
          </cell>
          <cell r="AW2185" t="str">
            <v>SRAC</v>
          </cell>
          <cell r="AX2185" t="str">
            <v>ACSRIV</v>
          </cell>
          <cell r="AY2185" t="str">
            <v>Inverter</v>
          </cell>
          <cell r="AZ2185" t="str">
            <v>ACSRIVSN</v>
          </cell>
          <cell r="BA2185" t="str">
            <v>Inverter Single Split Wall_I/D</v>
          </cell>
        </row>
        <row r="2186">
          <cell r="E2186" t="str">
            <v>IDC12M2U.ATYGEVH</v>
          </cell>
          <cell r="F2186">
            <v>0</v>
          </cell>
          <cell r="G2186">
            <v>0</v>
          </cell>
          <cell r="H2186">
            <v>0</v>
          </cell>
          <cell r="I2186">
            <v>46</v>
          </cell>
          <cell r="J2186">
            <v>1</v>
          </cell>
          <cell r="K2186">
            <v>117</v>
          </cell>
          <cell r="L2186">
            <v>5</v>
          </cell>
          <cell r="M2186">
            <v>25</v>
          </cell>
          <cell r="N2186">
            <v>8</v>
          </cell>
          <cell r="O2186">
            <v>25</v>
          </cell>
          <cell r="P2186">
            <v>33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 t="str">
            <v>RACPREMIUM</v>
          </cell>
          <cell r="AH2186" t="str">
            <v>RAC_Premium</v>
          </cell>
          <cell r="AI2186" t="str">
            <v/>
          </cell>
          <cell r="AJ2186" t="str">
            <v/>
          </cell>
          <cell r="AK2186" t="str">
            <v>0.142216</v>
          </cell>
          <cell r="AL2186" t="str">
            <v>0</v>
          </cell>
          <cell r="AM2186" t="str">
            <v>Q</v>
          </cell>
          <cell r="AN2186" t="str">
            <v>M0</v>
          </cell>
          <cell r="AO2186" t="str">
            <v>Active(Model)</v>
          </cell>
          <cell r="AP2186" t="str">
            <v/>
          </cell>
          <cell r="AQ2186" t="str">
            <v/>
          </cell>
          <cell r="AR2186" t="str">
            <v>Y</v>
          </cell>
          <cell r="AS2186" t="str">
            <v/>
          </cell>
          <cell r="AT2186" t="str">
            <v>AC</v>
          </cell>
          <cell r="AU2186" t="str">
            <v>Airconditioner</v>
          </cell>
          <cell r="AV2186" t="str">
            <v>ACSR</v>
          </cell>
          <cell r="AW2186" t="str">
            <v>SRAC</v>
          </cell>
          <cell r="AX2186" t="str">
            <v>ACSRIV</v>
          </cell>
          <cell r="AY2186" t="str">
            <v>Inverter</v>
          </cell>
          <cell r="AZ2186" t="str">
            <v>ACSRIVSU</v>
          </cell>
          <cell r="BA2186" t="str">
            <v>Inverter Single Split Wall_O/D</v>
          </cell>
        </row>
        <row r="2187">
          <cell r="E2187" t="str">
            <v>IDC18M1N.ATYGEVH</v>
          </cell>
          <cell r="F2187">
            <v>0</v>
          </cell>
          <cell r="G2187">
            <v>0</v>
          </cell>
          <cell r="H2187">
            <v>0</v>
          </cell>
          <cell r="I2187">
            <v>1</v>
          </cell>
          <cell r="J2187">
            <v>0</v>
          </cell>
          <cell r="K2187">
            <v>2</v>
          </cell>
          <cell r="L2187">
            <v>0</v>
          </cell>
          <cell r="M2187">
            <v>1</v>
          </cell>
          <cell r="N2187">
            <v>0</v>
          </cell>
          <cell r="O2187">
            <v>3</v>
          </cell>
          <cell r="P2187">
            <v>1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 t="str">
            <v>RACPREMIUM</v>
          </cell>
          <cell r="AH2187" t="str">
            <v>RAC_Premium</v>
          </cell>
          <cell r="AI2187" t="str">
            <v/>
          </cell>
          <cell r="AJ2187" t="str">
            <v/>
          </cell>
          <cell r="AK2187" t="str">
            <v>0.108516</v>
          </cell>
          <cell r="AL2187" t="str">
            <v>0</v>
          </cell>
          <cell r="AM2187" t="str">
            <v>Q</v>
          </cell>
          <cell r="AN2187" t="str">
            <v>M0</v>
          </cell>
          <cell r="AO2187" t="str">
            <v>Active(Model)</v>
          </cell>
          <cell r="AP2187" t="str">
            <v/>
          </cell>
          <cell r="AQ2187" t="str">
            <v/>
          </cell>
          <cell r="AR2187" t="str">
            <v>Y</v>
          </cell>
          <cell r="AS2187" t="str">
            <v/>
          </cell>
          <cell r="AT2187" t="str">
            <v>AC</v>
          </cell>
          <cell r="AU2187" t="str">
            <v>Airconditioner</v>
          </cell>
          <cell r="AV2187" t="str">
            <v>ACSR</v>
          </cell>
          <cell r="AW2187" t="str">
            <v>SRAC</v>
          </cell>
          <cell r="AX2187" t="str">
            <v>ACSRIV</v>
          </cell>
          <cell r="AY2187" t="str">
            <v>Inverter</v>
          </cell>
          <cell r="AZ2187" t="str">
            <v>ACSRIVSN</v>
          </cell>
          <cell r="BA2187" t="str">
            <v>Inverter Single Split Wall_I/D</v>
          </cell>
        </row>
        <row r="2188">
          <cell r="E2188" t="str">
            <v>IDC18M1U.ATYGEVH</v>
          </cell>
          <cell r="F2188">
            <v>0</v>
          </cell>
          <cell r="G2188">
            <v>0</v>
          </cell>
          <cell r="H2188">
            <v>0</v>
          </cell>
          <cell r="I2188">
            <v>1</v>
          </cell>
          <cell r="J2188">
            <v>0</v>
          </cell>
          <cell r="K2188">
            <v>2</v>
          </cell>
          <cell r="L2188">
            <v>0</v>
          </cell>
          <cell r="M2188">
            <v>1</v>
          </cell>
          <cell r="N2188">
            <v>0</v>
          </cell>
          <cell r="O2188">
            <v>3</v>
          </cell>
          <cell r="P2188">
            <v>1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0</v>
          </cell>
          <cell r="AG2188" t="str">
            <v>RACPREMIUM</v>
          </cell>
          <cell r="AH2188" t="str">
            <v>RAC_Premium</v>
          </cell>
          <cell r="AI2188" t="str">
            <v/>
          </cell>
          <cell r="AJ2188" t="str">
            <v/>
          </cell>
          <cell r="AK2188" t="str">
            <v>0.211677</v>
          </cell>
          <cell r="AL2188" t="str">
            <v>0</v>
          </cell>
          <cell r="AM2188" t="str">
            <v>Q</v>
          </cell>
          <cell r="AN2188" t="str">
            <v>M0</v>
          </cell>
          <cell r="AO2188" t="str">
            <v>Active(Model)</v>
          </cell>
          <cell r="AP2188" t="str">
            <v/>
          </cell>
          <cell r="AQ2188" t="str">
            <v/>
          </cell>
          <cell r="AR2188" t="str">
            <v>Y</v>
          </cell>
          <cell r="AS2188" t="str">
            <v/>
          </cell>
          <cell r="AT2188" t="str">
            <v>AC</v>
          </cell>
          <cell r="AU2188" t="str">
            <v>Airconditioner</v>
          </cell>
          <cell r="AV2188" t="str">
            <v>ACSR</v>
          </cell>
          <cell r="AW2188" t="str">
            <v>SRAC</v>
          </cell>
          <cell r="AX2188" t="str">
            <v>ACSRIV</v>
          </cell>
          <cell r="AY2188" t="str">
            <v>Inverter</v>
          </cell>
          <cell r="AZ2188" t="str">
            <v>ACSRIVSU</v>
          </cell>
          <cell r="BA2188" t="str">
            <v>Inverter Single Split Wall_O/D</v>
          </cell>
        </row>
        <row r="2189">
          <cell r="E2189" t="str">
            <v>IDC18M2N.ATYGEVH</v>
          </cell>
          <cell r="F2189">
            <v>10</v>
          </cell>
          <cell r="G2189">
            <v>0</v>
          </cell>
          <cell r="H2189">
            <v>0</v>
          </cell>
          <cell r="I2189">
            <v>63</v>
          </cell>
          <cell r="J2189">
            <v>0</v>
          </cell>
          <cell r="K2189">
            <v>20</v>
          </cell>
          <cell r="L2189">
            <v>19</v>
          </cell>
          <cell r="M2189">
            <v>18</v>
          </cell>
          <cell r="N2189">
            <v>1</v>
          </cell>
          <cell r="O2189">
            <v>12</v>
          </cell>
          <cell r="P2189">
            <v>19</v>
          </cell>
          <cell r="Q2189">
            <v>16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 t="str">
            <v>RACPREMIUM</v>
          </cell>
          <cell r="AH2189" t="str">
            <v>RAC_Premium</v>
          </cell>
          <cell r="AI2189" t="str">
            <v/>
          </cell>
          <cell r="AJ2189" t="str">
            <v/>
          </cell>
          <cell r="AK2189" t="str">
            <v>0.108516</v>
          </cell>
          <cell r="AL2189" t="str">
            <v>0</v>
          </cell>
          <cell r="AM2189" t="str">
            <v>Q</v>
          </cell>
          <cell r="AN2189" t="str">
            <v>M0</v>
          </cell>
          <cell r="AO2189" t="str">
            <v>Active(Model)</v>
          </cell>
          <cell r="AP2189" t="str">
            <v/>
          </cell>
          <cell r="AQ2189" t="str">
            <v/>
          </cell>
          <cell r="AR2189" t="str">
            <v>Y</v>
          </cell>
          <cell r="AS2189" t="str">
            <v/>
          </cell>
          <cell r="AT2189" t="str">
            <v>AC</v>
          </cell>
          <cell r="AU2189" t="str">
            <v>Airconditioner</v>
          </cell>
          <cell r="AV2189" t="str">
            <v>ACSR</v>
          </cell>
          <cell r="AW2189" t="str">
            <v>SRAC</v>
          </cell>
          <cell r="AX2189" t="str">
            <v>ACSRIV</v>
          </cell>
          <cell r="AY2189" t="str">
            <v>Inverter</v>
          </cell>
          <cell r="AZ2189" t="str">
            <v>ACSRIVSN</v>
          </cell>
          <cell r="BA2189" t="str">
            <v>Inverter Single Split Wall_I/D</v>
          </cell>
        </row>
        <row r="2190">
          <cell r="E2190" t="str">
            <v>IDC18M2U.ATYGEVH</v>
          </cell>
          <cell r="F2190">
            <v>10</v>
          </cell>
          <cell r="G2190">
            <v>0</v>
          </cell>
          <cell r="H2190">
            <v>0</v>
          </cell>
          <cell r="I2190">
            <v>62</v>
          </cell>
          <cell r="J2190">
            <v>0</v>
          </cell>
          <cell r="K2190">
            <v>30</v>
          </cell>
          <cell r="L2190">
            <v>9</v>
          </cell>
          <cell r="M2190">
            <v>18</v>
          </cell>
          <cell r="N2190">
            <v>1</v>
          </cell>
          <cell r="O2190">
            <v>12</v>
          </cell>
          <cell r="P2190">
            <v>19</v>
          </cell>
          <cell r="Q2190">
            <v>16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 t="str">
            <v>RACPREMIUM</v>
          </cell>
          <cell r="AH2190" t="str">
            <v>RAC_Premium</v>
          </cell>
          <cell r="AI2190" t="str">
            <v/>
          </cell>
          <cell r="AJ2190" t="str">
            <v/>
          </cell>
          <cell r="AK2190" t="str">
            <v>0.211677</v>
          </cell>
          <cell r="AL2190" t="str">
            <v>0</v>
          </cell>
          <cell r="AM2190" t="str">
            <v>Q</v>
          </cell>
          <cell r="AN2190" t="str">
            <v>M0</v>
          </cell>
          <cell r="AO2190" t="str">
            <v>Active(Model)</v>
          </cell>
          <cell r="AP2190" t="str">
            <v/>
          </cell>
          <cell r="AQ2190" t="str">
            <v/>
          </cell>
          <cell r="AR2190" t="str">
            <v>Y</v>
          </cell>
          <cell r="AS2190" t="str">
            <v/>
          </cell>
          <cell r="AT2190" t="str">
            <v>AC</v>
          </cell>
          <cell r="AU2190" t="str">
            <v>Airconditioner</v>
          </cell>
          <cell r="AV2190" t="str">
            <v>ACSR</v>
          </cell>
          <cell r="AW2190" t="str">
            <v>SRAC</v>
          </cell>
          <cell r="AX2190" t="str">
            <v>ACSRIV</v>
          </cell>
          <cell r="AY2190" t="str">
            <v>Inverter</v>
          </cell>
          <cell r="AZ2190" t="str">
            <v>ACSRIVSU</v>
          </cell>
          <cell r="BA2190" t="str">
            <v>Inverter Single Split Wall_O/D</v>
          </cell>
        </row>
        <row r="2191">
          <cell r="E2191" t="str">
            <v>IDC24M1N.ATYGEVH</v>
          </cell>
          <cell r="F2191">
            <v>0</v>
          </cell>
          <cell r="G2191">
            <v>0</v>
          </cell>
          <cell r="H2191">
            <v>0</v>
          </cell>
          <cell r="I2191">
            <v>3</v>
          </cell>
          <cell r="J2191">
            <v>0</v>
          </cell>
          <cell r="K2191">
            <v>3</v>
          </cell>
          <cell r="L2191">
            <v>0</v>
          </cell>
          <cell r="M2191">
            <v>3</v>
          </cell>
          <cell r="N2191">
            <v>0</v>
          </cell>
          <cell r="O2191">
            <v>0</v>
          </cell>
          <cell r="P2191">
            <v>3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 t="str">
            <v>RACPREMIUM</v>
          </cell>
          <cell r="AH2191" t="str">
            <v>RAC_Premium</v>
          </cell>
          <cell r="AI2191" t="str">
            <v/>
          </cell>
          <cell r="AJ2191" t="str">
            <v/>
          </cell>
          <cell r="AK2191" t="str">
            <v>0.108516</v>
          </cell>
          <cell r="AL2191" t="str">
            <v>0</v>
          </cell>
          <cell r="AM2191" t="str">
            <v>Q</v>
          </cell>
          <cell r="AN2191" t="str">
            <v>M0</v>
          </cell>
          <cell r="AO2191" t="str">
            <v>Active(Model)</v>
          </cell>
          <cell r="AP2191" t="str">
            <v/>
          </cell>
          <cell r="AQ2191" t="str">
            <v/>
          </cell>
          <cell r="AR2191" t="str">
            <v>Y</v>
          </cell>
          <cell r="AS2191" t="str">
            <v/>
          </cell>
          <cell r="AT2191" t="str">
            <v>AC</v>
          </cell>
          <cell r="AU2191" t="str">
            <v>Airconditioner</v>
          </cell>
          <cell r="AV2191" t="str">
            <v>ACSR</v>
          </cell>
          <cell r="AW2191" t="str">
            <v>SRAC</v>
          </cell>
          <cell r="AX2191" t="str">
            <v>ACSRIV</v>
          </cell>
          <cell r="AY2191" t="str">
            <v>Inverter</v>
          </cell>
          <cell r="AZ2191" t="str">
            <v>ACSRIVSN</v>
          </cell>
          <cell r="BA2191" t="str">
            <v>Inverter Single Split Wall_I/D</v>
          </cell>
        </row>
        <row r="2192">
          <cell r="E2192" t="str">
            <v>IDC24M1U.ATYGEVH</v>
          </cell>
          <cell r="F2192">
            <v>0</v>
          </cell>
          <cell r="G2192">
            <v>0</v>
          </cell>
          <cell r="H2192">
            <v>0</v>
          </cell>
          <cell r="I2192">
            <v>3</v>
          </cell>
          <cell r="J2192">
            <v>0</v>
          </cell>
          <cell r="K2192">
            <v>3</v>
          </cell>
          <cell r="L2192">
            <v>0</v>
          </cell>
          <cell r="M2192">
            <v>3</v>
          </cell>
          <cell r="N2192">
            <v>0</v>
          </cell>
          <cell r="O2192">
            <v>0</v>
          </cell>
          <cell r="P2192">
            <v>3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0</v>
          </cell>
          <cell r="AG2192" t="str">
            <v>RACPREMIUM</v>
          </cell>
          <cell r="AH2192" t="str">
            <v>RAC_Premium</v>
          </cell>
          <cell r="AI2192" t="str">
            <v/>
          </cell>
          <cell r="AJ2192" t="str">
            <v/>
          </cell>
          <cell r="AK2192" t="str">
            <v>0.335972</v>
          </cell>
          <cell r="AL2192" t="str">
            <v>0</v>
          </cell>
          <cell r="AM2192" t="str">
            <v>Q</v>
          </cell>
          <cell r="AN2192" t="str">
            <v>M0</v>
          </cell>
          <cell r="AO2192" t="str">
            <v>Active(Model)</v>
          </cell>
          <cell r="AP2192" t="str">
            <v/>
          </cell>
          <cell r="AQ2192" t="str">
            <v/>
          </cell>
          <cell r="AR2192" t="str">
            <v>Y</v>
          </cell>
          <cell r="AS2192" t="str">
            <v/>
          </cell>
          <cell r="AT2192" t="str">
            <v>AC</v>
          </cell>
          <cell r="AU2192" t="str">
            <v>Airconditioner</v>
          </cell>
          <cell r="AV2192" t="str">
            <v>ACSR</v>
          </cell>
          <cell r="AW2192" t="str">
            <v>SRAC</v>
          </cell>
          <cell r="AX2192" t="str">
            <v>ACSRIV</v>
          </cell>
          <cell r="AY2192" t="str">
            <v>Inverter</v>
          </cell>
          <cell r="AZ2192" t="str">
            <v>ACSRIVSU</v>
          </cell>
          <cell r="BA2192" t="str">
            <v>Inverter Single Split Wall_O/D</v>
          </cell>
        </row>
        <row r="2193">
          <cell r="E2193" t="str">
            <v>IDC24M2N.ATYGEVH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0</v>
          </cell>
          <cell r="AG2193" t="str">
            <v>RACPREMIUM</v>
          </cell>
          <cell r="AH2193" t="str">
            <v>RAC_Premium</v>
          </cell>
          <cell r="AI2193" t="str">
            <v/>
          </cell>
          <cell r="AJ2193" t="str">
            <v/>
          </cell>
          <cell r="AK2193" t="str">
            <v>0.108516</v>
          </cell>
          <cell r="AL2193" t="str">
            <v>0</v>
          </cell>
          <cell r="AM2193" t="str">
            <v>Q</v>
          </cell>
          <cell r="AN2193" t="str">
            <v>M0</v>
          </cell>
          <cell r="AO2193" t="str">
            <v>Active(Model)</v>
          </cell>
          <cell r="AP2193" t="str">
            <v/>
          </cell>
          <cell r="AQ2193" t="str">
            <v/>
          </cell>
          <cell r="AR2193" t="str">
            <v>Y</v>
          </cell>
          <cell r="AS2193" t="str">
            <v/>
          </cell>
          <cell r="AT2193" t="str">
            <v>AC</v>
          </cell>
          <cell r="AU2193" t="str">
            <v>Airconditioner</v>
          </cell>
          <cell r="AV2193" t="str">
            <v>ACSR</v>
          </cell>
          <cell r="AW2193" t="str">
            <v>SRAC</v>
          </cell>
          <cell r="AX2193" t="str">
            <v>ACSRIV</v>
          </cell>
          <cell r="AY2193" t="str">
            <v>Inverter</v>
          </cell>
          <cell r="AZ2193" t="str">
            <v>ACSRIVSN</v>
          </cell>
          <cell r="BA2193" t="str">
            <v>Inverter Single Split Wall_I/D</v>
          </cell>
        </row>
        <row r="2194">
          <cell r="E2194" t="str">
            <v>IDC24M2U.ATYGEVH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 t="str">
            <v>RACPREMIUM</v>
          </cell>
          <cell r="AH2194" t="str">
            <v>RAC_Premium</v>
          </cell>
          <cell r="AI2194" t="str">
            <v/>
          </cell>
          <cell r="AJ2194" t="str">
            <v/>
          </cell>
          <cell r="AK2194" t="str">
            <v>0.335972</v>
          </cell>
          <cell r="AL2194" t="str">
            <v>0</v>
          </cell>
          <cell r="AM2194" t="str">
            <v>Q</v>
          </cell>
          <cell r="AN2194" t="str">
            <v>M0</v>
          </cell>
          <cell r="AO2194" t="str">
            <v>Active(Model)</v>
          </cell>
          <cell r="AP2194" t="str">
            <v/>
          </cell>
          <cell r="AQ2194" t="str">
            <v/>
          </cell>
          <cell r="AR2194" t="str">
            <v>Y</v>
          </cell>
          <cell r="AS2194" t="str">
            <v/>
          </cell>
          <cell r="AT2194" t="str">
            <v>AC</v>
          </cell>
          <cell r="AU2194" t="str">
            <v>Airconditioner</v>
          </cell>
          <cell r="AV2194" t="str">
            <v>ACSR</v>
          </cell>
          <cell r="AW2194" t="str">
            <v>SRAC</v>
          </cell>
          <cell r="AX2194" t="str">
            <v>ACSRIV</v>
          </cell>
          <cell r="AY2194" t="str">
            <v>Inverter</v>
          </cell>
          <cell r="AZ2194" t="str">
            <v>ACSRIVSU</v>
          </cell>
          <cell r="BA2194" t="str">
            <v>Inverter Single Split Wall_O/D</v>
          </cell>
        </row>
        <row r="2195">
          <cell r="E2195" t="str">
            <v>IDH09M1N.ATYGEVH</v>
          </cell>
          <cell r="F2195">
            <v>0</v>
          </cell>
          <cell r="G2195">
            <v>0</v>
          </cell>
          <cell r="H2195">
            <v>0</v>
          </cell>
          <cell r="I2195">
            <v>4</v>
          </cell>
          <cell r="J2195">
            <v>2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0</v>
          </cell>
          <cell r="AG2195" t="str">
            <v>RACPREMIUM</v>
          </cell>
          <cell r="AH2195" t="str">
            <v>RAC_Premium</v>
          </cell>
          <cell r="AI2195" t="str">
            <v/>
          </cell>
          <cell r="AJ2195" t="str">
            <v/>
          </cell>
          <cell r="AK2195" t="str">
            <v>0.097743</v>
          </cell>
          <cell r="AL2195" t="str">
            <v>0</v>
          </cell>
          <cell r="AM2195" t="str">
            <v>Q</v>
          </cell>
          <cell r="AN2195" t="str">
            <v>M0</v>
          </cell>
          <cell r="AO2195" t="str">
            <v>Active(Model)</v>
          </cell>
          <cell r="AP2195" t="str">
            <v/>
          </cell>
          <cell r="AQ2195" t="str">
            <v/>
          </cell>
          <cell r="AR2195" t="str">
            <v>Y</v>
          </cell>
          <cell r="AS2195" t="str">
            <v/>
          </cell>
          <cell r="AT2195" t="str">
            <v>AC</v>
          </cell>
          <cell r="AU2195" t="str">
            <v>Airconditioner</v>
          </cell>
          <cell r="AV2195" t="str">
            <v>ACSR</v>
          </cell>
          <cell r="AW2195" t="str">
            <v>SRAC</v>
          </cell>
          <cell r="AX2195" t="str">
            <v>ACSRIV</v>
          </cell>
          <cell r="AY2195" t="str">
            <v>Inverter</v>
          </cell>
          <cell r="AZ2195" t="str">
            <v>ACSRIVSN</v>
          </cell>
          <cell r="BA2195" t="str">
            <v>Inverter Single Split Wall_I/D</v>
          </cell>
        </row>
        <row r="2196">
          <cell r="E2196" t="str">
            <v>IDH09M1U.ATYGEVH</v>
          </cell>
          <cell r="F2196">
            <v>0</v>
          </cell>
          <cell r="G2196">
            <v>0</v>
          </cell>
          <cell r="H2196">
            <v>0</v>
          </cell>
          <cell r="I2196">
            <v>4</v>
          </cell>
          <cell r="J2196">
            <v>2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 t="str">
            <v>RACPREMIUM</v>
          </cell>
          <cell r="AH2196" t="str">
            <v>RAC_Premium</v>
          </cell>
          <cell r="AI2196" t="str">
            <v/>
          </cell>
          <cell r="AJ2196" t="str">
            <v/>
          </cell>
          <cell r="AK2196" t="str">
            <v>0.142216</v>
          </cell>
          <cell r="AL2196" t="str">
            <v>0</v>
          </cell>
          <cell r="AM2196" t="str">
            <v>Q</v>
          </cell>
          <cell r="AN2196" t="str">
            <v>M0</v>
          </cell>
          <cell r="AO2196" t="str">
            <v>Active(Model)</v>
          </cell>
          <cell r="AP2196" t="str">
            <v/>
          </cell>
          <cell r="AQ2196" t="str">
            <v/>
          </cell>
          <cell r="AR2196" t="str">
            <v>Y</v>
          </cell>
          <cell r="AS2196" t="str">
            <v/>
          </cell>
          <cell r="AT2196" t="str">
            <v>AC</v>
          </cell>
          <cell r="AU2196" t="str">
            <v>Airconditioner</v>
          </cell>
          <cell r="AV2196" t="str">
            <v>ACSR</v>
          </cell>
          <cell r="AW2196" t="str">
            <v>SRAC</v>
          </cell>
          <cell r="AX2196" t="str">
            <v>ACSRIV</v>
          </cell>
          <cell r="AY2196" t="str">
            <v>Inverter</v>
          </cell>
          <cell r="AZ2196" t="str">
            <v>ACSRIVSU</v>
          </cell>
          <cell r="BA2196" t="str">
            <v>Inverter Single Split Wall_O/D</v>
          </cell>
        </row>
        <row r="2197">
          <cell r="E2197" t="str">
            <v>IDH12M1N.ATYGEVH</v>
          </cell>
          <cell r="F2197">
            <v>0</v>
          </cell>
          <cell r="G2197">
            <v>0</v>
          </cell>
          <cell r="H2197">
            <v>0</v>
          </cell>
          <cell r="I2197">
            <v>4</v>
          </cell>
          <cell r="J2197">
            <v>0</v>
          </cell>
          <cell r="K2197">
            <v>0</v>
          </cell>
          <cell r="L2197">
            <v>0</v>
          </cell>
          <cell r="M2197">
            <v>1</v>
          </cell>
          <cell r="N2197">
            <v>0</v>
          </cell>
          <cell r="O2197">
            <v>0</v>
          </cell>
          <cell r="P2197">
            <v>1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0</v>
          </cell>
          <cell r="AG2197" t="str">
            <v>RACPREMIUM</v>
          </cell>
          <cell r="AH2197" t="str">
            <v>RAC_Premium</v>
          </cell>
          <cell r="AI2197" t="str">
            <v/>
          </cell>
          <cell r="AJ2197" t="str">
            <v/>
          </cell>
          <cell r="AK2197" t="str">
            <v>0.097743</v>
          </cell>
          <cell r="AL2197" t="str">
            <v>0</v>
          </cell>
          <cell r="AM2197" t="str">
            <v>Q</v>
          </cell>
          <cell r="AN2197" t="str">
            <v>M0</v>
          </cell>
          <cell r="AO2197" t="str">
            <v>Active(Model)</v>
          </cell>
          <cell r="AP2197" t="str">
            <v/>
          </cell>
          <cell r="AQ2197" t="str">
            <v/>
          </cell>
          <cell r="AR2197" t="str">
            <v>Y</v>
          </cell>
          <cell r="AS2197" t="str">
            <v/>
          </cell>
          <cell r="AT2197" t="str">
            <v>AC</v>
          </cell>
          <cell r="AU2197" t="str">
            <v>Airconditioner</v>
          </cell>
          <cell r="AV2197" t="str">
            <v>ACSR</v>
          </cell>
          <cell r="AW2197" t="str">
            <v>SRAC</v>
          </cell>
          <cell r="AX2197" t="str">
            <v>ACSRIV</v>
          </cell>
          <cell r="AY2197" t="str">
            <v>Inverter</v>
          </cell>
          <cell r="AZ2197" t="str">
            <v>ACSRIVSN</v>
          </cell>
          <cell r="BA2197" t="str">
            <v>Inverter Single Split Wall_I/D</v>
          </cell>
        </row>
        <row r="2198">
          <cell r="E2198" t="str">
            <v>IDH12M1U.ATYGEVH</v>
          </cell>
          <cell r="F2198">
            <v>0</v>
          </cell>
          <cell r="G2198">
            <v>0</v>
          </cell>
          <cell r="H2198">
            <v>0</v>
          </cell>
          <cell r="I2198">
            <v>4</v>
          </cell>
          <cell r="J2198">
            <v>0</v>
          </cell>
          <cell r="K2198">
            <v>0</v>
          </cell>
          <cell r="L2198">
            <v>0</v>
          </cell>
          <cell r="M2198">
            <v>1</v>
          </cell>
          <cell r="N2198">
            <v>0</v>
          </cell>
          <cell r="O2198">
            <v>0</v>
          </cell>
          <cell r="P2198">
            <v>1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  <cell r="AF2198">
            <v>0</v>
          </cell>
          <cell r="AG2198" t="str">
            <v>RACPREMIUM</v>
          </cell>
          <cell r="AH2198" t="str">
            <v>RAC_Premium</v>
          </cell>
          <cell r="AI2198" t="str">
            <v/>
          </cell>
          <cell r="AJ2198" t="str">
            <v/>
          </cell>
          <cell r="AK2198" t="str">
            <v>0.142216</v>
          </cell>
          <cell r="AL2198" t="str">
            <v>0</v>
          </cell>
          <cell r="AM2198" t="str">
            <v>Q</v>
          </cell>
          <cell r="AN2198" t="str">
            <v>M0</v>
          </cell>
          <cell r="AO2198" t="str">
            <v>Active(Model)</v>
          </cell>
          <cell r="AP2198" t="str">
            <v/>
          </cell>
          <cell r="AQ2198" t="str">
            <v/>
          </cell>
          <cell r="AR2198" t="str">
            <v>Y</v>
          </cell>
          <cell r="AS2198" t="str">
            <v/>
          </cell>
          <cell r="AT2198" t="str">
            <v>AC</v>
          </cell>
          <cell r="AU2198" t="str">
            <v>Airconditioner</v>
          </cell>
          <cell r="AV2198" t="str">
            <v>ACSR</v>
          </cell>
          <cell r="AW2198" t="str">
            <v>SRAC</v>
          </cell>
          <cell r="AX2198" t="str">
            <v>ACSRIV</v>
          </cell>
          <cell r="AY2198" t="str">
            <v>Inverter</v>
          </cell>
          <cell r="AZ2198" t="str">
            <v>ACSRIVSU</v>
          </cell>
          <cell r="BA2198" t="str">
            <v>Inverter Single Split Wall_O/D</v>
          </cell>
        </row>
        <row r="2199">
          <cell r="E2199" t="str">
            <v>IDH18M1N.ATYGEVH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1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0</v>
          </cell>
          <cell r="AG2199" t="str">
            <v>RACPREMIUM</v>
          </cell>
          <cell r="AH2199" t="str">
            <v>RAC_Premium</v>
          </cell>
          <cell r="AI2199" t="str">
            <v/>
          </cell>
          <cell r="AJ2199" t="str">
            <v/>
          </cell>
          <cell r="AK2199" t="str">
            <v>0.108516</v>
          </cell>
          <cell r="AL2199" t="str">
            <v>0</v>
          </cell>
          <cell r="AM2199" t="str">
            <v>Q</v>
          </cell>
          <cell r="AN2199" t="str">
            <v>M0</v>
          </cell>
          <cell r="AO2199" t="str">
            <v>Active(Model)</v>
          </cell>
          <cell r="AP2199" t="str">
            <v/>
          </cell>
          <cell r="AQ2199" t="str">
            <v/>
          </cell>
          <cell r="AR2199" t="str">
            <v>Y</v>
          </cell>
          <cell r="AS2199" t="str">
            <v/>
          </cell>
          <cell r="AT2199" t="str">
            <v>AC</v>
          </cell>
          <cell r="AU2199" t="str">
            <v>Airconditioner</v>
          </cell>
          <cell r="AV2199" t="str">
            <v>ACSR</v>
          </cell>
          <cell r="AW2199" t="str">
            <v>SRAC</v>
          </cell>
          <cell r="AX2199" t="str">
            <v>ACSRIV</v>
          </cell>
          <cell r="AY2199" t="str">
            <v>Inverter</v>
          </cell>
          <cell r="AZ2199" t="str">
            <v>ACSRIVSN</v>
          </cell>
          <cell r="BA2199" t="str">
            <v>Inverter Single Split Wall_I/D</v>
          </cell>
        </row>
        <row r="2200">
          <cell r="E2200" t="str">
            <v>IDH18M1U.ATYGEVH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  <cell r="K2200">
            <v>1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 t="str">
            <v>RACPREMIUM</v>
          </cell>
          <cell r="AH2200" t="str">
            <v>RAC_Premium</v>
          </cell>
          <cell r="AI2200" t="str">
            <v/>
          </cell>
          <cell r="AJ2200" t="str">
            <v/>
          </cell>
          <cell r="AK2200" t="str">
            <v>0.335972</v>
          </cell>
          <cell r="AL2200" t="str">
            <v>0</v>
          </cell>
          <cell r="AM2200" t="str">
            <v>Q</v>
          </cell>
          <cell r="AN2200" t="str">
            <v>M0</v>
          </cell>
          <cell r="AO2200" t="str">
            <v>Active(Model)</v>
          </cell>
          <cell r="AP2200" t="str">
            <v/>
          </cell>
          <cell r="AQ2200" t="str">
            <v/>
          </cell>
          <cell r="AR2200" t="str">
            <v>Y</v>
          </cell>
          <cell r="AS2200" t="str">
            <v/>
          </cell>
          <cell r="AT2200" t="str">
            <v>AC</v>
          </cell>
          <cell r="AU2200" t="str">
            <v>Airconditioner</v>
          </cell>
          <cell r="AV2200" t="str">
            <v>ACSR</v>
          </cell>
          <cell r="AW2200" t="str">
            <v>SRAC</v>
          </cell>
          <cell r="AX2200" t="str">
            <v>ACSRIV</v>
          </cell>
          <cell r="AY2200" t="str">
            <v>Inverter</v>
          </cell>
          <cell r="AZ2200" t="str">
            <v>ACSRIVSU</v>
          </cell>
          <cell r="BA2200" t="str">
            <v>Inverter Single Split Wall_O/D</v>
          </cell>
        </row>
        <row r="2201">
          <cell r="E2201" t="str">
            <v>IDH24M1N.ATYGEVH</v>
          </cell>
          <cell r="F2201">
            <v>0</v>
          </cell>
          <cell r="G2201">
            <v>0</v>
          </cell>
          <cell r="H2201">
            <v>0</v>
          </cell>
          <cell r="I2201">
            <v>2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0</v>
          </cell>
          <cell r="AG2201" t="str">
            <v>RACPREMIUM</v>
          </cell>
          <cell r="AH2201" t="str">
            <v>RAC_Premium</v>
          </cell>
          <cell r="AI2201" t="str">
            <v/>
          </cell>
          <cell r="AJ2201" t="str">
            <v/>
          </cell>
          <cell r="AK2201" t="str">
            <v>0.108516</v>
          </cell>
          <cell r="AL2201" t="str">
            <v>0</v>
          </cell>
          <cell r="AM2201" t="str">
            <v>Q</v>
          </cell>
          <cell r="AN2201" t="str">
            <v>M0</v>
          </cell>
          <cell r="AO2201" t="str">
            <v>Active(Model)</v>
          </cell>
          <cell r="AP2201" t="str">
            <v/>
          </cell>
          <cell r="AQ2201" t="str">
            <v/>
          </cell>
          <cell r="AR2201" t="str">
            <v>Y</v>
          </cell>
          <cell r="AS2201" t="str">
            <v/>
          </cell>
          <cell r="AT2201" t="str">
            <v>AC</v>
          </cell>
          <cell r="AU2201" t="str">
            <v>Airconditioner</v>
          </cell>
          <cell r="AV2201" t="str">
            <v>ACSR</v>
          </cell>
          <cell r="AW2201" t="str">
            <v>SRAC</v>
          </cell>
          <cell r="AX2201" t="str">
            <v>ACSRIV</v>
          </cell>
          <cell r="AY2201" t="str">
            <v>Inverter</v>
          </cell>
          <cell r="AZ2201" t="str">
            <v>ACSRIVSN</v>
          </cell>
          <cell r="BA2201" t="str">
            <v>Inverter Single Split Wall_I/D</v>
          </cell>
        </row>
        <row r="2202">
          <cell r="E2202" t="str">
            <v>IDH24M1U.ATYGEVH</v>
          </cell>
          <cell r="F2202">
            <v>0</v>
          </cell>
          <cell r="G2202">
            <v>0</v>
          </cell>
          <cell r="H2202">
            <v>0</v>
          </cell>
          <cell r="I2202">
            <v>2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0</v>
          </cell>
          <cell r="AF2202">
            <v>0</v>
          </cell>
          <cell r="AG2202" t="str">
            <v>RACPREMIUM</v>
          </cell>
          <cell r="AH2202" t="str">
            <v>RAC_Premium</v>
          </cell>
          <cell r="AI2202" t="str">
            <v/>
          </cell>
          <cell r="AJ2202" t="str">
            <v/>
          </cell>
          <cell r="AK2202" t="str">
            <v>0.335972</v>
          </cell>
          <cell r="AL2202" t="str">
            <v>0</v>
          </cell>
          <cell r="AM2202" t="str">
            <v>Q</v>
          </cell>
          <cell r="AN2202" t="str">
            <v>M0</v>
          </cell>
          <cell r="AO2202" t="str">
            <v>Active(Model)</v>
          </cell>
          <cell r="AP2202" t="str">
            <v/>
          </cell>
          <cell r="AQ2202" t="str">
            <v/>
          </cell>
          <cell r="AR2202" t="str">
            <v>Y</v>
          </cell>
          <cell r="AS2202" t="str">
            <v/>
          </cell>
          <cell r="AT2202" t="str">
            <v>AC</v>
          </cell>
          <cell r="AU2202" t="str">
            <v>Airconditioner</v>
          </cell>
          <cell r="AV2202" t="str">
            <v>ACSR</v>
          </cell>
          <cell r="AW2202" t="str">
            <v>SRAC</v>
          </cell>
          <cell r="AX2202" t="str">
            <v>ACSRIV</v>
          </cell>
          <cell r="AY2202" t="str">
            <v>Inverter</v>
          </cell>
          <cell r="AZ2202" t="str">
            <v>ACSRIVSU</v>
          </cell>
          <cell r="BA2202" t="str">
            <v>Inverter Single Split Wall_O/D</v>
          </cell>
        </row>
        <row r="2203">
          <cell r="E2203" t="str">
            <v>IEC09G2N.ATYGEVH</v>
          </cell>
          <cell r="F2203">
            <v>0</v>
          </cell>
          <cell r="G2203">
            <v>0</v>
          </cell>
          <cell r="H2203">
            <v>0</v>
          </cell>
          <cell r="I2203">
            <v>7</v>
          </cell>
          <cell r="J2203">
            <v>0</v>
          </cell>
          <cell r="K2203">
            <v>356</v>
          </cell>
          <cell r="L2203">
            <v>0</v>
          </cell>
          <cell r="M2203">
            <v>7</v>
          </cell>
          <cell r="N2203">
            <v>0</v>
          </cell>
          <cell r="O2203">
            <v>0</v>
          </cell>
          <cell r="P2203">
            <v>7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0</v>
          </cell>
          <cell r="AG2203" t="str">
            <v>RACPREMIUM</v>
          </cell>
          <cell r="AH2203" t="str">
            <v>RAC_Premium</v>
          </cell>
          <cell r="AI2203" t="str">
            <v/>
          </cell>
          <cell r="AJ2203" t="str">
            <v/>
          </cell>
          <cell r="AK2203" t="str">
            <v>0.088857</v>
          </cell>
          <cell r="AL2203" t="str">
            <v>0</v>
          </cell>
          <cell r="AM2203" t="str">
            <v>Q</v>
          </cell>
          <cell r="AN2203" t="str">
            <v>M0</v>
          </cell>
          <cell r="AO2203" t="str">
            <v>Active(Model)</v>
          </cell>
          <cell r="AP2203" t="str">
            <v/>
          </cell>
          <cell r="AQ2203" t="str">
            <v/>
          </cell>
          <cell r="AR2203" t="str">
            <v>Y</v>
          </cell>
          <cell r="AS2203" t="str">
            <v/>
          </cell>
          <cell r="AT2203" t="str">
            <v>AC</v>
          </cell>
          <cell r="AU2203" t="str">
            <v>Airconditioner</v>
          </cell>
          <cell r="AV2203" t="str">
            <v>ACSR</v>
          </cell>
          <cell r="AW2203" t="str">
            <v>SRAC</v>
          </cell>
          <cell r="AX2203" t="str">
            <v>ACSRIV</v>
          </cell>
          <cell r="AY2203" t="str">
            <v>Inverter</v>
          </cell>
          <cell r="AZ2203" t="str">
            <v>ACSRIVSN</v>
          </cell>
          <cell r="BA2203" t="str">
            <v>Inverter Single Split Wall_I/D</v>
          </cell>
        </row>
        <row r="2204">
          <cell r="E2204" t="str">
            <v>IEC09G2U.ATYGEVH</v>
          </cell>
          <cell r="F2204">
            <v>3</v>
          </cell>
          <cell r="G2204">
            <v>0</v>
          </cell>
          <cell r="H2204">
            <v>0</v>
          </cell>
          <cell r="I2204">
            <v>10</v>
          </cell>
          <cell r="J2204">
            <v>0</v>
          </cell>
          <cell r="K2204">
            <v>356</v>
          </cell>
          <cell r="L2204">
            <v>0</v>
          </cell>
          <cell r="M2204">
            <v>7</v>
          </cell>
          <cell r="N2204">
            <v>0</v>
          </cell>
          <cell r="O2204">
            <v>0</v>
          </cell>
          <cell r="P2204">
            <v>7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0</v>
          </cell>
          <cell r="AG2204" t="str">
            <v>RACPREMIUM</v>
          </cell>
          <cell r="AH2204" t="str">
            <v>RAC_Premium</v>
          </cell>
          <cell r="AI2204" t="str">
            <v/>
          </cell>
          <cell r="AJ2204" t="str">
            <v/>
          </cell>
          <cell r="AK2204" t="str">
            <v>0.142216</v>
          </cell>
          <cell r="AL2204" t="str">
            <v>0</v>
          </cell>
          <cell r="AM2204" t="str">
            <v>Q</v>
          </cell>
          <cell r="AN2204" t="str">
            <v>M0</v>
          </cell>
          <cell r="AO2204" t="str">
            <v>Active(Model)</v>
          </cell>
          <cell r="AP2204" t="str">
            <v/>
          </cell>
          <cell r="AQ2204" t="str">
            <v/>
          </cell>
          <cell r="AR2204" t="str">
            <v>Y</v>
          </cell>
          <cell r="AS2204" t="str">
            <v/>
          </cell>
          <cell r="AT2204" t="str">
            <v>AC</v>
          </cell>
          <cell r="AU2204" t="str">
            <v>Airconditioner</v>
          </cell>
          <cell r="AV2204" t="str">
            <v>ACSR</v>
          </cell>
          <cell r="AW2204" t="str">
            <v>SRAC</v>
          </cell>
          <cell r="AX2204" t="str">
            <v>ACSRIV</v>
          </cell>
          <cell r="AY2204" t="str">
            <v>Inverter</v>
          </cell>
          <cell r="AZ2204" t="str">
            <v>ACSRIVSU</v>
          </cell>
          <cell r="BA2204" t="str">
            <v>Inverter Single Split Wall_O/D</v>
          </cell>
        </row>
        <row r="2205">
          <cell r="E2205" t="str">
            <v>IEC09M1U.ATYGEVH</v>
          </cell>
          <cell r="F2205">
            <v>1</v>
          </cell>
          <cell r="G2205">
            <v>0</v>
          </cell>
          <cell r="H2205">
            <v>0</v>
          </cell>
          <cell r="I2205">
            <v>1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 t="str">
            <v>RACPREMIUM</v>
          </cell>
          <cell r="AH2205" t="str">
            <v>RAC_Premium</v>
          </cell>
          <cell r="AI2205" t="str">
            <v/>
          </cell>
          <cell r="AJ2205" t="str">
            <v/>
          </cell>
          <cell r="AK2205" t="str">
            <v>0.144617</v>
          </cell>
          <cell r="AL2205" t="str">
            <v>0</v>
          </cell>
          <cell r="AM2205" t="str">
            <v>Q</v>
          </cell>
          <cell r="AN2205" t="str">
            <v>M0</v>
          </cell>
          <cell r="AO2205" t="str">
            <v>Active(Model)</v>
          </cell>
          <cell r="AP2205" t="str">
            <v/>
          </cell>
          <cell r="AQ2205" t="str">
            <v/>
          </cell>
          <cell r="AR2205" t="str">
            <v>Y</v>
          </cell>
          <cell r="AS2205" t="str">
            <v/>
          </cell>
          <cell r="AT2205" t="str">
            <v>AC</v>
          </cell>
          <cell r="AU2205" t="str">
            <v>Airconditioner</v>
          </cell>
          <cell r="AV2205" t="str">
            <v>ACSR</v>
          </cell>
          <cell r="AW2205" t="str">
            <v>SRAC</v>
          </cell>
          <cell r="AX2205" t="str">
            <v>ACSRIV</v>
          </cell>
          <cell r="AY2205" t="str">
            <v>Inverter</v>
          </cell>
          <cell r="AZ2205" t="str">
            <v>ACSRIVSU</v>
          </cell>
          <cell r="BA2205" t="str">
            <v>Inverter Single Split Wall_O/D</v>
          </cell>
        </row>
        <row r="2206">
          <cell r="E2206" t="str">
            <v>IEC09M2N.ATYGEVH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1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 t="str">
            <v>RACPREMIUM</v>
          </cell>
          <cell r="AH2206" t="str">
            <v>RAC_Premium</v>
          </cell>
          <cell r="AI2206" t="str">
            <v/>
          </cell>
          <cell r="AJ2206" t="str">
            <v/>
          </cell>
          <cell r="AK2206" t="str">
            <v>0.088857</v>
          </cell>
          <cell r="AL2206" t="str">
            <v>0</v>
          </cell>
          <cell r="AM2206" t="str">
            <v>Q</v>
          </cell>
          <cell r="AN2206" t="str">
            <v>M0</v>
          </cell>
          <cell r="AO2206" t="str">
            <v>Active(Model)</v>
          </cell>
          <cell r="AP2206" t="str">
            <v/>
          </cell>
          <cell r="AQ2206" t="str">
            <v/>
          </cell>
          <cell r="AR2206" t="str">
            <v>Y</v>
          </cell>
          <cell r="AS2206" t="str">
            <v/>
          </cell>
          <cell r="AT2206" t="str">
            <v>AC</v>
          </cell>
          <cell r="AU2206" t="str">
            <v>Airconditioner</v>
          </cell>
          <cell r="AV2206" t="str">
            <v>ACSR</v>
          </cell>
          <cell r="AW2206" t="str">
            <v>SRAC</v>
          </cell>
          <cell r="AX2206" t="str">
            <v>ACSRIV</v>
          </cell>
          <cell r="AY2206" t="str">
            <v>Inverter</v>
          </cell>
          <cell r="AZ2206" t="str">
            <v>ACSRIVSN</v>
          </cell>
          <cell r="BA2206" t="str">
            <v>Inverter Single Split Wall_I/D</v>
          </cell>
        </row>
        <row r="2207">
          <cell r="E2207" t="str">
            <v>IEC09M2U.ATYGEVH</v>
          </cell>
          <cell r="F2207">
            <v>0</v>
          </cell>
          <cell r="G2207">
            <v>0</v>
          </cell>
          <cell r="H2207">
            <v>0</v>
          </cell>
          <cell r="I2207">
            <v>1</v>
          </cell>
          <cell r="J2207">
            <v>0</v>
          </cell>
          <cell r="K2207">
            <v>1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0</v>
          </cell>
          <cell r="AG2207" t="str">
            <v>RACPREMIUM</v>
          </cell>
          <cell r="AH2207" t="str">
            <v>RAC_Premium</v>
          </cell>
          <cell r="AI2207" t="str">
            <v/>
          </cell>
          <cell r="AJ2207" t="str">
            <v/>
          </cell>
          <cell r="AK2207" t="str">
            <v>0.142216</v>
          </cell>
          <cell r="AL2207" t="str">
            <v>0</v>
          </cell>
          <cell r="AM2207" t="str">
            <v>Q</v>
          </cell>
          <cell r="AN2207" t="str">
            <v>M0</v>
          </cell>
          <cell r="AO2207" t="str">
            <v>Active(Model)</v>
          </cell>
          <cell r="AP2207" t="str">
            <v/>
          </cell>
          <cell r="AQ2207" t="str">
            <v/>
          </cell>
          <cell r="AR2207" t="str">
            <v>Y</v>
          </cell>
          <cell r="AS2207" t="str">
            <v/>
          </cell>
          <cell r="AT2207" t="str">
            <v>AC</v>
          </cell>
          <cell r="AU2207" t="str">
            <v>Airconditioner</v>
          </cell>
          <cell r="AV2207" t="str">
            <v>ACSR</v>
          </cell>
          <cell r="AW2207" t="str">
            <v>SRAC</v>
          </cell>
          <cell r="AX2207" t="str">
            <v>ACSRIV</v>
          </cell>
          <cell r="AY2207" t="str">
            <v>Inverter</v>
          </cell>
          <cell r="AZ2207" t="str">
            <v>ACSRIVSU</v>
          </cell>
          <cell r="BA2207" t="str">
            <v>Inverter Single Split Wall_O/D</v>
          </cell>
        </row>
        <row r="2208">
          <cell r="E2208" t="str">
            <v>IEC12G2N.ATYGEVH</v>
          </cell>
          <cell r="F2208">
            <v>1</v>
          </cell>
          <cell r="G2208">
            <v>0</v>
          </cell>
          <cell r="H2208">
            <v>0</v>
          </cell>
          <cell r="I2208">
            <v>7</v>
          </cell>
          <cell r="J2208">
            <v>0</v>
          </cell>
          <cell r="K2208">
            <v>304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0</v>
          </cell>
          <cell r="AD2208">
            <v>0</v>
          </cell>
          <cell r="AE2208">
            <v>0</v>
          </cell>
          <cell r="AF2208">
            <v>0</v>
          </cell>
          <cell r="AG2208" t="str">
            <v>RACPREMIUM</v>
          </cell>
          <cell r="AH2208" t="str">
            <v>RAC_Premium</v>
          </cell>
          <cell r="AI2208" t="str">
            <v/>
          </cell>
          <cell r="AJ2208" t="str">
            <v/>
          </cell>
          <cell r="AK2208" t="str">
            <v>0.088857</v>
          </cell>
          <cell r="AL2208" t="str">
            <v>0</v>
          </cell>
          <cell r="AM2208" t="str">
            <v>Q</v>
          </cell>
          <cell r="AN2208" t="str">
            <v>M0</v>
          </cell>
          <cell r="AO2208" t="str">
            <v>Active(Model)</v>
          </cell>
          <cell r="AP2208" t="str">
            <v/>
          </cell>
          <cell r="AQ2208" t="str">
            <v/>
          </cell>
          <cell r="AR2208" t="str">
            <v>Y</v>
          </cell>
          <cell r="AS2208" t="str">
            <v/>
          </cell>
          <cell r="AT2208" t="str">
            <v>AC</v>
          </cell>
          <cell r="AU2208" t="str">
            <v>Airconditioner</v>
          </cell>
          <cell r="AV2208" t="str">
            <v>ACSR</v>
          </cell>
          <cell r="AW2208" t="str">
            <v>SRAC</v>
          </cell>
          <cell r="AX2208" t="str">
            <v>ACSRIV</v>
          </cell>
          <cell r="AY2208" t="str">
            <v>Inverter</v>
          </cell>
          <cell r="AZ2208" t="str">
            <v>ACSRIVSN</v>
          </cell>
          <cell r="BA2208" t="str">
            <v>Inverter Single Split Wall_I/D</v>
          </cell>
        </row>
        <row r="2209">
          <cell r="E2209" t="str">
            <v>IEC12G2U.ATYGEVH</v>
          </cell>
          <cell r="F2209">
            <v>0</v>
          </cell>
          <cell r="G2209">
            <v>0</v>
          </cell>
          <cell r="H2209">
            <v>0</v>
          </cell>
          <cell r="I2209">
            <v>6</v>
          </cell>
          <cell r="J2209">
            <v>0</v>
          </cell>
          <cell r="K2209">
            <v>304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0</v>
          </cell>
          <cell r="AG2209" t="str">
            <v>RACPREMIUM</v>
          </cell>
          <cell r="AH2209" t="str">
            <v>RAC_Premium</v>
          </cell>
          <cell r="AI2209" t="str">
            <v/>
          </cell>
          <cell r="AJ2209" t="str">
            <v/>
          </cell>
          <cell r="AK2209" t="str">
            <v>0.142216</v>
          </cell>
          <cell r="AL2209" t="str">
            <v>0</v>
          </cell>
          <cell r="AM2209" t="str">
            <v>Q</v>
          </cell>
          <cell r="AN2209" t="str">
            <v>M0</v>
          </cell>
          <cell r="AO2209" t="str">
            <v>Active(Model)</v>
          </cell>
          <cell r="AP2209" t="str">
            <v/>
          </cell>
          <cell r="AQ2209" t="str">
            <v/>
          </cell>
          <cell r="AR2209" t="str">
            <v>Y</v>
          </cell>
          <cell r="AS2209" t="str">
            <v/>
          </cell>
          <cell r="AT2209" t="str">
            <v>AC</v>
          </cell>
          <cell r="AU2209" t="str">
            <v>Airconditioner</v>
          </cell>
          <cell r="AV2209" t="str">
            <v>ACSR</v>
          </cell>
          <cell r="AW2209" t="str">
            <v>SRAC</v>
          </cell>
          <cell r="AX2209" t="str">
            <v>ACSRIV</v>
          </cell>
          <cell r="AY2209" t="str">
            <v>Inverter</v>
          </cell>
          <cell r="AZ2209" t="str">
            <v>ACSRIVSU</v>
          </cell>
          <cell r="BA2209" t="str">
            <v>Inverter Single Split Wall_O/D</v>
          </cell>
        </row>
        <row r="2210">
          <cell r="E2210" t="str">
            <v>IEC12M1N.ATYGEVH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  <cell r="K2210">
            <v>1</v>
          </cell>
          <cell r="L2210">
            <v>0</v>
          </cell>
          <cell r="M2210">
            <v>0</v>
          </cell>
          <cell r="N2210">
            <v>0</v>
          </cell>
          <cell r="O2210">
            <v>8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  <cell r="AF2210">
            <v>0</v>
          </cell>
          <cell r="AG2210" t="str">
            <v>RACPREMIUM</v>
          </cell>
          <cell r="AH2210" t="str">
            <v>RAC_Premium</v>
          </cell>
          <cell r="AI2210" t="str">
            <v/>
          </cell>
          <cell r="AJ2210" t="str">
            <v/>
          </cell>
          <cell r="AK2210" t="str">
            <v>0.088857</v>
          </cell>
          <cell r="AL2210" t="str">
            <v>0</v>
          </cell>
          <cell r="AM2210" t="str">
            <v>Q</v>
          </cell>
          <cell r="AN2210" t="str">
            <v>M0</v>
          </cell>
          <cell r="AO2210" t="str">
            <v>Active(Model)</v>
          </cell>
          <cell r="AP2210" t="str">
            <v/>
          </cell>
          <cell r="AQ2210" t="str">
            <v/>
          </cell>
          <cell r="AR2210" t="str">
            <v>Y</v>
          </cell>
          <cell r="AS2210" t="str">
            <v/>
          </cell>
          <cell r="AT2210" t="str">
            <v>AC</v>
          </cell>
          <cell r="AU2210" t="str">
            <v>Airconditioner</v>
          </cell>
          <cell r="AV2210" t="str">
            <v>ACSR</v>
          </cell>
          <cell r="AW2210" t="str">
            <v>SRAC</v>
          </cell>
          <cell r="AX2210" t="str">
            <v>ACSRIV</v>
          </cell>
          <cell r="AY2210" t="str">
            <v>Inverter</v>
          </cell>
          <cell r="AZ2210" t="str">
            <v>ACSRIVSN</v>
          </cell>
          <cell r="BA2210" t="str">
            <v>Inverter Single Split Wall_I/D</v>
          </cell>
        </row>
        <row r="2211">
          <cell r="E2211" t="str">
            <v>IEC12M1U.ATYGEVH</v>
          </cell>
          <cell r="F2211">
            <v>1</v>
          </cell>
          <cell r="G2211">
            <v>0</v>
          </cell>
          <cell r="H2211">
            <v>0</v>
          </cell>
          <cell r="I2211">
            <v>1</v>
          </cell>
          <cell r="J2211">
            <v>0</v>
          </cell>
          <cell r="K2211">
            <v>1</v>
          </cell>
          <cell r="L2211">
            <v>0</v>
          </cell>
          <cell r="M2211">
            <v>0</v>
          </cell>
          <cell r="N2211">
            <v>0</v>
          </cell>
          <cell r="O2211">
            <v>8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 t="str">
            <v>RACPREMIUM</v>
          </cell>
          <cell r="AH2211" t="str">
            <v>RAC_Premium</v>
          </cell>
          <cell r="AI2211" t="str">
            <v/>
          </cell>
          <cell r="AJ2211" t="str">
            <v/>
          </cell>
          <cell r="AK2211" t="str">
            <v>0.144617</v>
          </cell>
          <cell r="AL2211" t="str">
            <v>0</v>
          </cell>
          <cell r="AM2211" t="str">
            <v>Q</v>
          </cell>
          <cell r="AN2211" t="str">
            <v>M0</v>
          </cell>
          <cell r="AO2211" t="str">
            <v>Active(Model)</v>
          </cell>
          <cell r="AP2211" t="str">
            <v/>
          </cell>
          <cell r="AQ2211" t="str">
            <v/>
          </cell>
          <cell r="AR2211" t="str">
            <v>Y</v>
          </cell>
          <cell r="AS2211" t="str">
            <v/>
          </cell>
          <cell r="AT2211" t="str">
            <v>AC</v>
          </cell>
          <cell r="AU2211" t="str">
            <v>Airconditioner</v>
          </cell>
          <cell r="AV2211" t="str">
            <v>ACSR</v>
          </cell>
          <cell r="AW2211" t="str">
            <v>SRAC</v>
          </cell>
          <cell r="AX2211" t="str">
            <v>ACSRIV</v>
          </cell>
          <cell r="AY2211" t="str">
            <v>Inverter</v>
          </cell>
          <cell r="AZ2211" t="str">
            <v>ACSRIVSU</v>
          </cell>
          <cell r="BA2211" t="str">
            <v>Inverter Single Split Wall_O/D</v>
          </cell>
        </row>
        <row r="2212">
          <cell r="E2212" t="str">
            <v>IEC12M2N.ATYGEVH</v>
          </cell>
          <cell r="F2212">
            <v>141</v>
          </cell>
          <cell r="G2212">
            <v>0</v>
          </cell>
          <cell r="H2212">
            <v>0</v>
          </cell>
          <cell r="I2212">
            <v>218</v>
          </cell>
          <cell r="J2212">
            <v>1</v>
          </cell>
          <cell r="K2212">
            <v>0</v>
          </cell>
          <cell r="L2212">
            <v>0</v>
          </cell>
          <cell r="M2212">
            <v>4</v>
          </cell>
          <cell r="N2212">
            <v>38</v>
          </cell>
          <cell r="O2212">
            <v>81</v>
          </cell>
          <cell r="P2212">
            <v>42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20</v>
          </cell>
          <cell r="AE2212">
            <v>0</v>
          </cell>
          <cell r="AF2212">
            <v>20</v>
          </cell>
          <cell r="AG2212" t="str">
            <v>RACPREMIUM</v>
          </cell>
          <cell r="AH2212" t="str">
            <v>RAC_Premium</v>
          </cell>
          <cell r="AI2212" t="str">
            <v/>
          </cell>
          <cell r="AJ2212" t="str">
            <v/>
          </cell>
          <cell r="AK2212" t="str">
            <v>0.088857</v>
          </cell>
          <cell r="AL2212" t="str">
            <v>0</v>
          </cell>
          <cell r="AM2212" t="str">
            <v>Q</v>
          </cell>
          <cell r="AN2212" t="str">
            <v>M0</v>
          </cell>
          <cell r="AO2212" t="str">
            <v>Active(Model)</v>
          </cell>
          <cell r="AP2212" t="str">
            <v/>
          </cell>
          <cell r="AQ2212" t="str">
            <v/>
          </cell>
          <cell r="AR2212" t="str">
            <v>Y</v>
          </cell>
          <cell r="AS2212" t="str">
            <v/>
          </cell>
          <cell r="AT2212" t="str">
            <v>AC</v>
          </cell>
          <cell r="AU2212" t="str">
            <v>Airconditioner</v>
          </cell>
          <cell r="AV2212" t="str">
            <v>ACSR</v>
          </cell>
          <cell r="AW2212" t="str">
            <v>SRAC</v>
          </cell>
          <cell r="AX2212" t="str">
            <v>ACSRIV</v>
          </cell>
          <cell r="AY2212" t="str">
            <v>Inverter</v>
          </cell>
          <cell r="AZ2212" t="str">
            <v>ACSRIVSN</v>
          </cell>
          <cell r="BA2212" t="str">
            <v>Inverter Single Split Wall_I/D</v>
          </cell>
        </row>
        <row r="2213">
          <cell r="E2213" t="str">
            <v>IEC12M2U.ATYGEVH</v>
          </cell>
          <cell r="F2213">
            <v>142</v>
          </cell>
          <cell r="G2213">
            <v>0</v>
          </cell>
          <cell r="H2213">
            <v>0</v>
          </cell>
          <cell r="I2213">
            <v>219</v>
          </cell>
          <cell r="J2213">
            <v>1</v>
          </cell>
          <cell r="K2213">
            <v>0</v>
          </cell>
          <cell r="L2213">
            <v>0</v>
          </cell>
          <cell r="M2213">
            <v>4</v>
          </cell>
          <cell r="N2213">
            <v>38</v>
          </cell>
          <cell r="O2213">
            <v>81</v>
          </cell>
          <cell r="P2213">
            <v>42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20</v>
          </cell>
          <cell r="AE2213">
            <v>0</v>
          </cell>
          <cell r="AF2213">
            <v>20</v>
          </cell>
          <cell r="AG2213" t="str">
            <v>RACPREMIUM</v>
          </cell>
          <cell r="AH2213" t="str">
            <v>RAC_Premium</v>
          </cell>
          <cell r="AI2213" t="str">
            <v/>
          </cell>
          <cell r="AJ2213" t="str">
            <v/>
          </cell>
          <cell r="AK2213" t="str">
            <v>0.142216</v>
          </cell>
          <cell r="AL2213" t="str">
            <v>0</v>
          </cell>
          <cell r="AM2213" t="str">
            <v>Q</v>
          </cell>
          <cell r="AN2213" t="str">
            <v>M0</v>
          </cell>
          <cell r="AO2213" t="str">
            <v>Active(Model)</v>
          </cell>
          <cell r="AP2213" t="str">
            <v/>
          </cell>
          <cell r="AQ2213" t="str">
            <v/>
          </cell>
          <cell r="AR2213" t="str">
            <v>Y</v>
          </cell>
          <cell r="AS2213" t="str">
            <v/>
          </cell>
          <cell r="AT2213" t="str">
            <v>AC</v>
          </cell>
          <cell r="AU2213" t="str">
            <v>Airconditioner</v>
          </cell>
          <cell r="AV2213" t="str">
            <v>ACSR</v>
          </cell>
          <cell r="AW2213" t="str">
            <v>SRAC</v>
          </cell>
          <cell r="AX2213" t="str">
            <v>ACSRIV</v>
          </cell>
          <cell r="AY2213" t="str">
            <v>Inverter</v>
          </cell>
          <cell r="AZ2213" t="str">
            <v>ACSRIVSU</v>
          </cell>
          <cell r="BA2213" t="str">
            <v>Inverter Single Split Wall_O/D</v>
          </cell>
        </row>
        <row r="2214">
          <cell r="E2214" t="str">
            <v>IEC18M1N.ATYGEVH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3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 t="str">
            <v>RACPREMIUM</v>
          </cell>
          <cell r="AH2214" t="str">
            <v>RAC_Premium</v>
          </cell>
          <cell r="AI2214" t="str">
            <v/>
          </cell>
          <cell r="AJ2214" t="str">
            <v/>
          </cell>
          <cell r="AK2214" t="str">
            <v>0.126638</v>
          </cell>
          <cell r="AL2214" t="str">
            <v>0</v>
          </cell>
          <cell r="AM2214" t="str">
            <v>Q</v>
          </cell>
          <cell r="AN2214" t="str">
            <v>M0</v>
          </cell>
          <cell r="AO2214" t="str">
            <v>Active(Model)</v>
          </cell>
          <cell r="AP2214" t="str">
            <v/>
          </cell>
          <cell r="AQ2214" t="str">
            <v/>
          </cell>
          <cell r="AR2214" t="str">
            <v>Y</v>
          </cell>
          <cell r="AS2214" t="str">
            <v/>
          </cell>
          <cell r="AT2214" t="str">
            <v>AC</v>
          </cell>
          <cell r="AU2214" t="str">
            <v>Airconditioner</v>
          </cell>
          <cell r="AV2214" t="str">
            <v>ACSR</v>
          </cell>
          <cell r="AW2214" t="str">
            <v>SRAC</v>
          </cell>
          <cell r="AX2214" t="str">
            <v>ACSRIV</v>
          </cell>
          <cell r="AY2214" t="str">
            <v>Inverter</v>
          </cell>
          <cell r="AZ2214" t="str">
            <v>ACSRIVSN</v>
          </cell>
          <cell r="BA2214" t="str">
            <v>Inverter Single Split Wall_I/D</v>
          </cell>
        </row>
        <row r="2215">
          <cell r="E2215" t="str">
            <v>IEC18M1U.ATYGEVH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  <cell r="K2215">
            <v>3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 t="str">
            <v>RACPREMIUM</v>
          </cell>
          <cell r="AH2215" t="str">
            <v>RAC_Premium</v>
          </cell>
          <cell r="AI2215" t="str">
            <v/>
          </cell>
          <cell r="AJ2215" t="str">
            <v/>
          </cell>
          <cell r="AK2215" t="str">
            <v>0.212597</v>
          </cell>
          <cell r="AL2215" t="str">
            <v>0</v>
          </cell>
          <cell r="AM2215" t="str">
            <v>Q</v>
          </cell>
          <cell r="AN2215" t="str">
            <v>M0</v>
          </cell>
          <cell r="AO2215" t="str">
            <v>Active(Model)</v>
          </cell>
          <cell r="AP2215" t="str">
            <v/>
          </cell>
          <cell r="AQ2215" t="str">
            <v/>
          </cell>
          <cell r="AR2215" t="str">
            <v>Y</v>
          </cell>
          <cell r="AS2215" t="str">
            <v/>
          </cell>
          <cell r="AT2215" t="str">
            <v>AC</v>
          </cell>
          <cell r="AU2215" t="str">
            <v>Airconditioner</v>
          </cell>
          <cell r="AV2215" t="str">
            <v>ACSR</v>
          </cell>
          <cell r="AW2215" t="str">
            <v>SRAC</v>
          </cell>
          <cell r="AX2215" t="str">
            <v>ACSRIV</v>
          </cell>
          <cell r="AY2215" t="str">
            <v>Inverter</v>
          </cell>
          <cell r="AZ2215" t="str">
            <v>ACSRIVSU</v>
          </cell>
          <cell r="BA2215" t="str">
            <v>Inverter Single Split Wall_O/D</v>
          </cell>
        </row>
        <row r="2216">
          <cell r="E2216" t="str">
            <v>IEC18M2N.ATYGEVH</v>
          </cell>
          <cell r="F2216">
            <v>0</v>
          </cell>
          <cell r="G2216">
            <v>0</v>
          </cell>
          <cell r="H2216">
            <v>0</v>
          </cell>
          <cell r="I2216">
            <v>9</v>
          </cell>
          <cell r="J2216">
            <v>0</v>
          </cell>
          <cell r="K2216">
            <v>69</v>
          </cell>
          <cell r="L2216">
            <v>0</v>
          </cell>
          <cell r="M2216">
            <v>8</v>
          </cell>
          <cell r="N2216">
            <v>0</v>
          </cell>
          <cell r="O2216">
            <v>0</v>
          </cell>
          <cell r="P2216">
            <v>8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  <cell r="AC2216">
            <v>0</v>
          </cell>
          <cell r="AD2216">
            <v>0</v>
          </cell>
          <cell r="AE2216">
            <v>0</v>
          </cell>
          <cell r="AF2216">
            <v>0</v>
          </cell>
          <cell r="AG2216" t="str">
            <v>RACPREMIUM</v>
          </cell>
          <cell r="AH2216" t="str">
            <v>RAC_Premium</v>
          </cell>
          <cell r="AI2216" t="str">
            <v/>
          </cell>
          <cell r="AJ2216" t="str">
            <v/>
          </cell>
          <cell r="AK2216" t="str">
            <v>0.126638</v>
          </cell>
          <cell r="AL2216" t="str">
            <v>0</v>
          </cell>
          <cell r="AM2216" t="str">
            <v>Q</v>
          </cell>
          <cell r="AN2216" t="str">
            <v>M0</v>
          </cell>
          <cell r="AO2216" t="str">
            <v>Active(Model)</v>
          </cell>
          <cell r="AP2216" t="str">
            <v/>
          </cell>
          <cell r="AQ2216" t="str">
            <v/>
          </cell>
          <cell r="AR2216" t="str">
            <v>Y</v>
          </cell>
          <cell r="AS2216" t="str">
            <v/>
          </cell>
          <cell r="AT2216" t="str">
            <v>AC</v>
          </cell>
          <cell r="AU2216" t="str">
            <v>Airconditioner</v>
          </cell>
          <cell r="AV2216" t="str">
            <v>ACSR</v>
          </cell>
          <cell r="AW2216" t="str">
            <v>SRAC</v>
          </cell>
          <cell r="AX2216" t="str">
            <v>ACSRIV</v>
          </cell>
          <cell r="AY2216" t="str">
            <v>Inverter</v>
          </cell>
          <cell r="AZ2216" t="str">
            <v>ACSRIVSN</v>
          </cell>
          <cell r="BA2216" t="str">
            <v>Inverter Single Split Wall_I/D</v>
          </cell>
        </row>
        <row r="2217">
          <cell r="E2217" t="str">
            <v>IEC18M2U.ATYGEVH</v>
          </cell>
          <cell r="F2217">
            <v>0</v>
          </cell>
          <cell r="G2217">
            <v>0</v>
          </cell>
          <cell r="H2217">
            <v>0</v>
          </cell>
          <cell r="I2217">
            <v>8</v>
          </cell>
          <cell r="J2217">
            <v>0</v>
          </cell>
          <cell r="K2217">
            <v>69</v>
          </cell>
          <cell r="L2217">
            <v>0</v>
          </cell>
          <cell r="M2217">
            <v>8</v>
          </cell>
          <cell r="N2217">
            <v>0</v>
          </cell>
          <cell r="O2217">
            <v>0</v>
          </cell>
          <cell r="P2217">
            <v>8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 t="str">
            <v>RACPREMIUM</v>
          </cell>
          <cell r="AH2217" t="str">
            <v>RAC_Premium</v>
          </cell>
          <cell r="AI2217" t="str">
            <v/>
          </cell>
          <cell r="AJ2217" t="str">
            <v/>
          </cell>
          <cell r="AK2217" t="str">
            <v>0.142216</v>
          </cell>
          <cell r="AL2217" t="str">
            <v>0</v>
          </cell>
          <cell r="AM2217" t="str">
            <v>Q</v>
          </cell>
          <cell r="AN2217" t="str">
            <v>M0</v>
          </cell>
          <cell r="AO2217" t="str">
            <v>Active(Model)</v>
          </cell>
          <cell r="AP2217" t="str">
            <v/>
          </cell>
          <cell r="AQ2217" t="str">
            <v/>
          </cell>
          <cell r="AR2217" t="str">
            <v>Y</v>
          </cell>
          <cell r="AS2217" t="str">
            <v/>
          </cell>
          <cell r="AT2217" t="str">
            <v>AC</v>
          </cell>
          <cell r="AU2217" t="str">
            <v>Airconditioner</v>
          </cell>
          <cell r="AV2217" t="str">
            <v>ACSR</v>
          </cell>
          <cell r="AW2217" t="str">
            <v>SRAC</v>
          </cell>
          <cell r="AX2217" t="str">
            <v>ACSRIV</v>
          </cell>
          <cell r="AY2217" t="str">
            <v>Inverter</v>
          </cell>
          <cell r="AZ2217" t="str">
            <v>ACSRIVSU</v>
          </cell>
          <cell r="BA2217" t="str">
            <v>Inverter Single Split Wall_O/D</v>
          </cell>
        </row>
        <row r="2218">
          <cell r="E2218" t="str">
            <v>IEC24M2N.ATYGEVH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58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  <cell r="AF2218">
            <v>0</v>
          </cell>
          <cell r="AG2218" t="str">
            <v>RACPREMIUM</v>
          </cell>
          <cell r="AH2218" t="str">
            <v>RAC_Premium</v>
          </cell>
          <cell r="AI2218" t="str">
            <v/>
          </cell>
          <cell r="AJ2218" t="str">
            <v/>
          </cell>
          <cell r="AK2218" t="str">
            <v>0.126638</v>
          </cell>
          <cell r="AL2218" t="str">
            <v>0</v>
          </cell>
          <cell r="AM2218" t="str">
            <v>Q</v>
          </cell>
          <cell r="AN2218" t="str">
            <v>M0</v>
          </cell>
          <cell r="AO2218" t="str">
            <v>Active(Model)</v>
          </cell>
          <cell r="AP2218" t="str">
            <v/>
          </cell>
          <cell r="AQ2218" t="str">
            <v/>
          </cell>
          <cell r="AR2218" t="str">
            <v>Y</v>
          </cell>
          <cell r="AS2218" t="str">
            <v/>
          </cell>
          <cell r="AT2218" t="str">
            <v>AC</v>
          </cell>
          <cell r="AU2218" t="str">
            <v>Airconditioner</v>
          </cell>
          <cell r="AV2218" t="str">
            <v>ACSR</v>
          </cell>
          <cell r="AW2218" t="str">
            <v>SRAC</v>
          </cell>
          <cell r="AX2218" t="str">
            <v>ACSRIV</v>
          </cell>
          <cell r="AY2218" t="str">
            <v>Inverter</v>
          </cell>
          <cell r="AZ2218" t="str">
            <v>ACSRIVSN</v>
          </cell>
          <cell r="BA2218" t="str">
            <v>Inverter Single Split Wall_I/D</v>
          </cell>
        </row>
        <row r="2219">
          <cell r="E2219" t="str">
            <v>IEC24M2U.ATYGEVH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58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 t="str">
            <v>RACPREMIUM</v>
          </cell>
          <cell r="AH2219" t="str">
            <v>RAC_Premium</v>
          </cell>
          <cell r="AI2219" t="str">
            <v/>
          </cell>
          <cell r="AJ2219" t="str">
            <v/>
          </cell>
          <cell r="AK2219" t="str">
            <v>0.211677</v>
          </cell>
          <cell r="AL2219" t="str">
            <v>0</v>
          </cell>
          <cell r="AM2219" t="str">
            <v>Q</v>
          </cell>
          <cell r="AN2219" t="str">
            <v>M0</v>
          </cell>
          <cell r="AO2219" t="str">
            <v>Active(Model)</v>
          </cell>
          <cell r="AP2219" t="str">
            <v/>
          </cell>
          <cell r="AQ2219" t="str">
            <v/>
          </cell>
          <cell r="AR2219" t="str">
            <v>Y</v>
          </cell>
          <cell r="AS2219" t="str">
            <v/>
          </cell>
          <cell r="AT2219" t="str">
            <v>AC</v>
          </cell>
          <cell r="AU2219" t="str">
            <v>Airconditioner</v>
          </cell>
          <cell r="AV2219" t="str">
            <v>ACSR</v>
          </cell>
          <cell r="AW2219" t="str">
            <v>SRAC</v>
          </cell>
          <cell r="AX2219" t="str">
            <v>ACSRIV</v>
          </cell>
          <cell r="AY2219" t="str">
            <v>Inverter</v>
          </cell>
          <cell r="AZ2219" t="str">
            <v>ACSRIVSU</v>
          </cell>
          <cell r="BA2219" t="str">
            <v>Inverter Single Split Wall_O/D</v>
          </cell>
        </row>
        <row r="2220">
          <cell r="E2220" t="str">
            <v>IFC09M1M.DXWAEVH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1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 t="str">
            <v>RACPREMIUM</v>
          </cell>
          <cell r="AH2220" t="str">
            <v>RAC_Premium</v>
          </cell>
          <cell r="AI2220" t="str">
            <v/>
          </cell>
          <cell r="AJ2220" t="str">
            <v/>
          </cell>
          <cell r="AK2220" t="str">
            <v>0.063813</v>
          </cell>
          <cell r="AL2220" t="str">
            <v>0</v>
          </cell>
          <cell r="AM2220" t="str">
            <v>Q</v>
          </cell>
          <cell r="AN2220" t="str">
            <v>M0</v>
          </cell>
          <cell r="AO2220" t="str">
            <v>Active(Model)</v>
          </cell>
          <cell r="AP2220" t="str">
            <v/>
          </cell>
          <cell r="AQ2220" t="str">
            <v/>
          </cell>
          <cell r="AR2220" t="str">
            <v>Y</v>
          </cell>
          <cell r="AS2220" t="str">
            <v/>
          </cell>
          <cell r="AT2220" t="str">
            <v>AC</v>
          </cell>
          <cell r="AU2220" t="str">
            <v>Airconditioner</v>
          </cell>
          <cell r="AV2220" t="str">
            <v>ACMU</v>
          </cell>
          <cell r="AW2220" t="str">
            <v>A/C Mock-up</v>
          </cell>
          <cell r="AX2220" t="str">
            <v>ACMUAM</v>
          </cell>
          <cell r="AY2220" t="str">
            <v>A/C Mock-up</v>
          </cell>
          <cell r="AZ2220" t="str">
            <v>ACMUAMMJ</v>
          </cell>
          <cell r="BA2220" t="str">
            <v>A/C Mock-up_Prod_RAC</v>
          </cell>
        </row>
        <row r="2221">
          <cell r="E2221" t="str">
            <v>IFC09M1N.DXWAEVH</v>
          </cell>
          <cell r="F2221">
            <v>8</v>
          </cell>
          <cell r="G2221">
            <v>0</v>
          </cell>
          <cell r="H2221">
            <v>0</v>
          </cell>
          <cell r="I2221">
            <v>73</v>
          </cell>
          <cell r="J2221">
            <v>0</v>
          </cell>
          <cell r="K2221">
            <v>363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0</v>
          </cell>
          <cell r="AG2221" t="str">
            <v>RACPREMIUM</v>
          </cell>
          <cell r="AH2221" t="str">
            <v>RAC_Premium</v>
          </cell>
          <cell r="AI2221" t="str">
            <v/>
          </cell>
          <cell r="AJ2221" t="str">
            <v/>
          </cell>
          <cell r="AK2221" t="str">
            <v>0.063813</v>
          </cell>
          <cell r="AL2221" t="str">
            <v>0</v>
          </cell>
          <cell r="AM2221" t="str">
            <v>Q</v>
          </cell>
          <cell r="AN2221" t="str">
            <v>M0</v>
          </cell>
          <cell r="AO2221" t="str">
            <v>Active(Model)</v>
          </cell>
          <cell r="AP2221" t="str">
            <v/>
          </cell>
          <cell r="AQ2221" t="str">
            <v/>
          </cell>
          <cell r="AR2221" t="str">
            <v>Y</v>
          </cell>
          <cell r="AS2221" t="str">
            <v/>
          </cell>
          <cell r="AT2221" t="str">
            <v>AC</v>
          </cell>
          <cell r="AU2221" t="str">
            <v>Airconditioner</v>
          </cell>
          <cell r="AV2221" t="str">
            <v>ACSR</v>
          </cell>
          <cell r="AW2221" t="str">
            <v>SRAC</v>
          </cell>
          <cell r="AX2221" t="str">
            <v>ACSRIV</v>
          </cell>
          <cell r="AY2221" t="str">
            <v>Inverter</v>
          </cell>
          <cell r="AZ2221" t="str">
            <v>ACSRIVSN</v>
          </cell>
          <cell r="BA2221" t="str">
            <v>Inverter Single Split Wall_I/D</v>
          </cell>
        </row>
        <row r="2222">
          <cell r="E2222" t="str">
            <v>IFC09M1U.DXWAEVH</v>
          </cell>
          <cell r="F2222">
            <v>2</v>
          </cell>
          <cell r="G2222">
            <v>0</v>
          </cell>
          <cell r="H2222">
            <v>0</v>
          </cell>
          <cell r="I2222">
            <v>67</v>
          </cell>
          <cell r="J2222">
            <v>0</v>
          </cell>
          <cell r="K2222">
            <v>363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0</v>
          </cell>
          <cell r="AG2222" t="str">
            <v>RACPREMIUM</v>
          </cell>
          <cell r="AH2222" t="str">
            <v>RAC_Premium</v>
          </cell>
          <cell r="AI2222" t="str">
            <v/>
          </cell>
          <cell r="AJ2222" t="str">
            <v/>
          </cell>
          <cell r="AK2222" t="str">
            <v>0.114069</v>
          </cell>
          <cell r="AL2222" t="str">
            <v>0</v>
          </cell>
          <cell r="AM2222" t="str">
            <v>Q</v>
          </cell>
          <cell r="AN2222" t="str">
            <v>M0</v>
          </cell>
          <cell r="AO2222" t="str">
            <v>Active(Model)</v>
          </cell>
          <cell r="AP2222" t="str">
            <v/>
          </cell>
          <cell r="AQ2222" t="str">
            <v/>
          </cell>
          <cell r="AR2222" t="str">
            <v>Y</v>
          </cell>
          <cell r="AS2222" t="str">
            <v/>
          </cell>
          <cell r="AT2222" t="str">
            <v>AC</v>
          </cell>
          <cell r="AU2222" t="str">
            <v>Airconditioner</v>
          </cell>
          <cell r="AV2222" t="str">
            <v>ACSR</v>
          </cell>
          <cell r="AW2222" t="str">
            <v>SRAC</v>
          </cell>
          <cell r="AX2222" t="str">
            <v>ACSRIV</v>
          </cell>
          <cell r="AY2222" t="str">
            <v>Inverter</v>
          </cell>
          <cell r="AZ2222" t="str">
            <v>ACSRIVSU</v>
          </cell>
          <cell r="BA2222" t="str">
            <v>Inverter Single Split Wall_O/D</v>
          </cell>
        </row>
        <row r="2223">
          <cell r="E2223" t="str">
            <v>IFC12M1N.DXWAEVH</v>
          </cell>
          <cell r="F2223">
            <v>4</v>
          </cell>
          <cell r="G2223">
            <v>0</v>
          </cell>
          <cell r="H2223">
            <v>0</v>
          </cell>
          <cell r="I2223">
            <v>4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 t="str">
            <v>RACPREMIUM</v>
          </cell>
          <cell r="AH2223" t="str">
            <v>RAC_Premium</v>
          </cell>
          <cell r="AI2223" t="str">
            <v/>
          </cell>
          <cell r="AJ2223" t="str">
            <v/>
          </cell>
          <cell r="AK2223" t="str">
            <v>0.068796</v>
          </cell>
          <cell r="AL2223" t="str">
            <v>0</v>
          </cell>
          <cell r="AM2223" t="str">
            <v>Q</v>
          </cell>
          <cell r="AN2223" t="str">
            <v>M0</v>
          </cell>
          <cell r="AO2223" t="str">
            <v>Active(Model)</v>
          </cell>
          <cell r="AP2223" t="str">
            <v/>
          </cell>
          <cell r="AQ2223" t="str">
            <v/>
          </cell>
          <cell r="AR2223" t="str">
            <v>Y</v>
          </cell>
          <cell r="AS2223" t="str">
            <v/>
          </cell>
          <cell r="AT2223" t="str">
            <v>AC</v>
          </cell>
          <cell r="AU2223" t="str">
            <v>Airconditioner</v>
          </cell>
          <cell r="AV2223" t="str">
            <v>ACSR</v>
          </cell>
          <cell r="AW2223" t="str">
            <v>SRAC</v>
          </cell>
          <cell r="AX2223" t="str">
            <v>ACSRIV</v>
          </cell>
          <cell r="AY2223" t="str">
            <v>Inverter</v>
          </cell>
          <cell r="AZ2223" t="str">
            <v>ACSRIVSN</v>
          </cell>
          <cell r="BA2223" t="str">
            <v>Inverter Single Split Wall_I/D</v>
          </cell>
        </row>
        <row r="2224">
          <cell r="E2224" t="str">
            <v>IFC12M1U.DXWAEVH</v>
          </cell>
          <cell r="F2224">
            <v>5</v>
          </cell>
          <cell r="G2224">
            <v>0</v>
          </cell>
          <cell r="H2224">
            <v>0</v>
          </cell>
          <cell r="I2224">
            <v>5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 t="str">
            <v>RACPREMIUM</v>
          </cell>
          <cell r="AH2224" t="str">
            <v>RAC_Premium</v>
          </cell>
          <cell r="AI2224" t="str">
            <v/>
          </cell>
          <cell r="AJ2224" t="str">
            <v/>
          </cell>
          <cell r="AK2224" t="str">
            <v>0.114069</v>
          </cell>
          <cell r="AL2224" t="str">
            <v>0</v>
          </cell>
          <cell r="AM2224" t="str">
            <v>Q</v>
          </cell>
          <cell r="AN2224" t="str">
            <v>M0</v>
          </cell>
          <cell r="AO2224" t="str">
            <v>Active(Model)</v>
          </cell>
          <cell r="AP2224" t="str">
            <v/>
          </cell>
          <cell r="AQ2224" t="str">
            <v/>
          </cell>
          <cell r="AR2224" t="str">
            <v>Y</v>
          </cell>
          <cell r="AS2224" t="str">
            <v/>
          </cell>
          <cell r="AT2224" t="str">
            <v>AC</v>
          </cell>
          <cell r="AU2224" t="str">
            <v>Airconditioner</v>
          </cell>
          <cell r="AV2224" t="str">
            <v>ACSR</v>
          </cell>
          <cell r="AW2224" t="str">
            <v>SRAC</v>
          </cell>
          <cell r="AX2224" t="str">
            <v>ACSRIV</v>
          </cell>
          <cell r="AY2224" t="str">
            <v>Inverter</v>
          </cell>
          <cell r="AZ2224" t="str">
            <v>ACSRIVSU</v>
          </cell>
          <cell r="BA2224" t="str">
            <v>Inverter Single Split Wall_O/D</v>
          </cell>
        </row>
        <row r="2225">
          <cell r="E2225" t="str">
            <v>IFC18M1N.DXWAEVH</v>
          </cell>
          <cell r="F2225">
            <v>4</v>
          </cell>
          <cell r="G2225">
            <v>0</v>
          </cell>
          <cell r="H2225">
            <v>0</v>
          </cell>
          <cell r="I2225">
            <v>4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 t="str">
            <v>RACPREMIUM</v>
          </cell>
          <cell r="AH2225" t="str">
            <v>RAC_Premium</v>
          </cell>
          <cell r="AI2225" t="str">
            <v/>
          </cell>
          <cell r="AJ2225" t="str">
            <v/>
          </cell>
          <cell r="AK2225" t="str">
            <v>0.100880</v>
          </cell>
          <cell r="AL2225" t="str">
            <v>0</v>
          </cell>
          <cell r="AM2225" t="str">
            <v>Q</v>
          </cell>
          <cell r="AN2225" t="str">
            <v>M0</v>
          </cell>
          <cell r="AO2225" t="str">
            <v>Active(Model)</v>
          </cell>
          <cell r="AP2225" t="str">
            <v/>
          </cell>
          <cell r="AQ2225" t="str">
            <v/>
          </cell>
          <cell r="AR2225" t="str">
            <v>Y</v>
          </cell>
          <cell r="AS2225" t="str">
            <v/>
          </cell>
          <cell r="AT2225" t="str">
            <v>AC</v>
          </cell>
          <cell r="AU2225" t="str">
            <v>Airconditioner</v>
          </cell>
          <cell r="AV2225" t="str">
            <v>ACSR</v>
          </cell>
          <cell r="AW2225" t="str">
            <v>SRAC</v>
          </cell>
          <cell r="AX2225" t="str">
            <v>ACSRIV</v>
          </cell>
          <cell r="AY2225" t="str">
            <v>Inverter</v>
          </cell>
          <cell r="AZ2225" t="str">
            <v>ACSRIVSN</v>
          </cell>
          <cell r="BA2225" t="str">
            <v>Inverter Single Split Wall_I/D</v>
          </cell>
        </row>
        <row r="2226">
          <cell r="E2226" t="str">
            <v>IFC24M1N.DXWAEVH</v>
          </cell>
          <cell r="F2226">
            <v>0</v>
          </cell>
          <cell r="G2226">
            <v>0</v>
          </cell>
          <cell r="H2226">
            <v>0</v>
          </cell>
          <cell r="I2226">
            <v>1</v>
          </cell>
          <cell r="J2226">
            <v>0</v>
          </cell>
          <cell r="K2226">
            <v>4</v>
          </cell>
          <cell r="L2226">
            <v>0</v>
          </cell>
          <cell r="M2226">
            <v>0</v>
          </cell>
          <cell r="N2226">
            <v>1</v>
          </cell>
          <cell r="O2226">
            <v>0</v>
          </cell>
          <cell r="P2226">
            <v>1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0</v>
          </cell>
          <cell r="AG2226" t="str">
            <v>RACPREMIUM</v>
          </cell>
          <cell r="AH2226" t="str">
            <v>RAC_Premium</v>
          </cell>
          <cell r="AI2226" t="str">
            <v/>
          </cell>
          <cell r="AJ2226" t="str">
            <v/>
          </cell>
          <cell r="AK2226" t="str">
            <v>0.126950</v>
          </cell>
          <cell r="AL2226" t="str">
            <v>0</v>
          </cell>
          <cell r="AM2226" t="str">
            <v>Q</v>
          </cell>
          <cell r="AN2226" t="str">
            <v>M0</v>
          </cell>
          <cell r="AO2226" t="str">
            <v>Active(Model)</v>
          </cell>
          <cell r="AP2226" t="str">
            <v/>
          </cell>
          <cell r="AQ2226" t="str">
            <v/>
          </cell>
          <cell r="AR2226" t="str">
            <v>Y</v>
          </cell>
          <cell r="AS2226" t="str">
            <v/>
          </cell>
          <cell r="AT2226" t="str">
            <v>AC</v>
          </cell>
          <cell r="AU2226" t="str">
            <v>Airconditioner</v>
          </cell>
          <cell r="AV2226" t="str">
            <v>ACSR</v>
          </cell>
          <cell r="AW2226" t="str">
            <v>SRAC</v>
          </cell>
          <cell r="AX2226" t="str">
            <v>ACSRIV</v>
          </cell>
          <cell r="AY2226" t="str">
            <v>Inverter</v>
          </cell>
          <cell r="AZ2226" t="str">
            <v>ACSRIVSN</v>
          </cell>
          <cell r="BA2226" t="str">
            <v>Inverter Single Split Wall_I/D</v>
          </cell>
        </row>
        <row r="2227">
          <cell r="E2227" t="str">
            <v>IFC24M1U.DXWAEVH</v>
          </cell>
          <cell r="F2227">
            <v>3</v>
          </cell>
          <cell r="G2227">
            <v>0</v>
          </cell>
          <cell r="H2227">
            <v>0</v>
          </cell>
          <cell r="I2227">
            <v>4</v>
          </cell>
          <cell r="J2227">
            <v>0</v>
          </cell>
          <cell r="K2227">
            <v>4</v>
          </cell>
          <cell r="L2227">
            <v>0</v>
          </cell>
          <cell r="M2227">
            <v>0</v>
          </cell>
          <cell r="N2227">
            <v>1</v>
          </cell>
          <cell r="O2227">
            <v>0</v>
          </cell>
          <cell r="P2227">
            <v>1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 t="str">
            <v>RACPREMIUM</v>
          </cell>
          <cell r="AH2227" t="str">
            <v>RAC_Premium</v>
          </cell>
          <cell r="AI2227" t="str">
            <v/>
          </cell>
          <cell r="AJ2227" t="str">
            <v/>
          </cell>
          <cell r="AK2227" t="str">
            <v>0.215184</v>
          </cell>
          <cell r="AL2227" t="str">
            <v>0</v>
          </cell>
          <cell r="AM2227" t="str">
            <v>Q</v>
          </cell>
          <cell r="AN2227" t="str">
            <v>M0</v>
          </cell>
          <cell r="AO2227" t="str">
            <v>Active(Model)</v>
          </cell>
          <cell r="AP2227" t="str">
            <v/>
          </cell>
          <cell r="AQ2227" t="str">
            <v/>
          </cell>
          <cell r="AR2227" t="str">
            <v>Y</v>
          </cell>
          <cell r="AS2227" t="str">
            <v/>
          </cell>
          <cell r="AT2227" t="str">
            <v>AC</v>
          </cell>
          <cell r="AU2227" t="str">
            <v>Airconditioner</v>
          </cell>
          <cell r="AV2227" t="str">
            <v>ACSR</v>
          </cell>
          <cell r="AW2227" t="str">
            <v>SRAC</v>
          </cell>
          <cell r="AX2227" t="str">
            <v>ACSRIV</v>
          </cell>
          <cell r="AY2227" t="str">
            <v>Inverter</v>
          </cell>
          <cell r="AZ2227" t="str">
            <v>ACSRIVSU</v>
          </cell>
          <cell r="BA2227" t="str">
            <v>Inverter Single Split Wall_O/D</v>
          </cell>
        </row>
        <row r="2228">
          <cell r="E2228" t="str">
            <v>IOC09S1N.ATYGEVH</v>
          </cell>
          <cell r="F2228">
            <v>0</v>
          </cell>
          <cell r="G2228">
            <v>0</v>
          </cell>
          <cell r="H2228">
            <v>0</v>
          </cell>
          <cell r="I2228">
            <v>4</v>
          </cell>
          <cell r="J2228">
            <v>2</v>
          </cell>
          <cell r="K2228">
            <v>3</v>
          </cell>
          <cell r="L2228">
            <v>0</v>
          </cell>
          <cell r="M2228">
            <v>4</v>
          </cell>
          <cell r="N2228">
            <v>0</v>
          </cell>
          <cell r="O2228">
            <v>1</v>
          </cell>
          <cell r="P2228">
            <v>4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0</v>
          </cell>
          <cell r="AG2228" t="str">
            <v>RACPREMIUM</v>
          </cell>
          <cell r="AH2228" t="str">
            <v>RAC_Premium</v>
          </cell>
          <cell r="AI2228" t="str">
            <v/>
          </cell>
          <cell r="AJ2228" t="str">
            <v/>
          </cell>
          <cell r="AK2228" t="str">
            <v>0.088857</v>
          </cell>
          <cell r="AL2228" t="str">
            <v>0</v>
          </cell>
          <cell r="AM2228" t="str">
            <v>Q</v>
          </cell>
          <cell r="AN2228" t="str">
            <v>M0</v>
          </cell>
          <cell r="AO2228" t="str">
            <v>Active(Model)</v>
          </cell>
          <cell r="AP2228" t="str">
            <v/>
          </cell>
          <cell r="AQ2228" t="str">
            <v/>
          </cell>
          <cell r="AR2228" t="str">
            <v>Y</v>
          </cell>
          <cell r="AS2228" t="str">
            <v/>
          </cell>
          <cell r="AT2228" t="str">
            <v>AC</v>
          </cell>
          <cell r="AU2228" t="str">
            <v>Airconditioner</v>
          </cell>
          <cell r="AV2228" t="str">
            <v>ACSR</v>
          </cell>
          <cell r="AW2228" t="str">
            <v>SRAC</v>
          </cell>
          <cell r="AX2228" t="str">
            <v>ACSRIV</v>
          </cell>
          <cell r="AY2228" t="str">
            <v>Inverter</v>
          </cell>
          <cell r="AZ2228" t="str">
            <v>ACSRIVSN</v>
          </cell>
          <cell r="BA2228" t="str">
            <v>Inverter Single Split Wall_I/D</v>
          </cell>
        </row>
        <row r="2229">
          <cell r="E2229" t="str">
            <v>IOC09S1U.ATYGEVH</v>
          </cell>
          <cell r="F2229">
            <v>0</v>
          </cell>
          <cell r="G2229">
            <v>0</v>
          </cell>
          <cell r="H2229">
            <v>0</v>
          </cell>
          <cell r="I2229">
            <v>3</v>
          </cell>
          <cell r="J2229">
            <v>2</v>
          </cell>
          <cell r="K2229">
            <v>4</v>
          </cell>
          <cell r="L2229">
            <v>0</v>
          </cell>
          <cell r="M2229">
            <v>3</v>
          </cell>
          <cell r="N2229">
            <v>0</v>
          </cell>
          <cell r="O2229">
            <v>1</v>
          </cell>
          <cell r="P2229">
            <v>3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 t="str">
            <v>RACPREMIUM</v>
          </cell>
          <cell r="AH2229" t="str">
            <v>RAC_Premium</v>
          </cell>
          <cell r="AI2229" t="str">
            <v/>
          </cell>
          <cell r="AJ2229" t="str">
            <v/>
          </cell>
          <cell r="AK2229" t="str">
            <v>0.142216</v>
          </cell>
          <cell r="AL2229" t="str">
            <v>0</v>
          </cell>
          <cell r="AM2229" t="str">
            <v>Q</v>
          </cell>
          <cell r="AN2229" t="str">
            <v>M0</v>
          </cell>
          <cell r="AO2229" t="str">
            <v>Active(Model)</v>
          </cell>
          <cell r="AP2229" t="str">
            <v/>
          </cell>
          <cell r="AQ2229" t="str">
            <v/>
          </cell>
          <cell r="AR2229" t="str">
            <v>Y</v>
          </cell>
          <cell r="AS2229" t="str">
            <v/>
          </cell>
          <cell r="AT2229" t="str">
            <v>AC</v>
          </cell>
          <cell r="AU2229" t="str">
            <v>Airconditioner</v>
          </cell>
          <cell r="AV2229" t="str">
            <v>ACSR</v>
          </cell>
          <cell r="AW2229" t="str">
            <v>SRAC</v>
          </cell>
          <cell r="AX2229" t="str">
            <v>ACSRIV</v>
          </cell>
          <cell r="AY2229" t="str">
            <v>Inverter</v>
          </cell>
          <cell r="AZ2229" t="str">
            <v>ACSRIVSU</v>
          </cell>
          <cell r="BA2229" t="str">
            <v>Inverter Single Split Wall_O/D</v>
          </cell>
        </row>
        <row r="2230">
          <cell r="E2230" t="str">
            <v>IOC12S1N.ATYGEVH</v>
          </cell>
          <cell r="F2230">
            <v>0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1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 t="str">
            <v>RACPREMIUM</v>
          </cell>
          <cell r="AH2230" t="str">
            <v>RAC_Premium</v>
          </cell>
          <cell r="AI2230" t="str">
            <v/>
          </cell>
          <cell r="AJ2230" t="str">
            <v/>
          </cell>
          <cell r="AK2230" t="str">
            <v>0.088857</v>
          </cell>
          <cell r="AL2230" t="str">
            <v>0</v>
          </cell>
          <cell r="AM2230" t="str">
            <v>Q</v>
          </cell>
          <cell r="AN2230" t="str">
            <v>M0</v>
          </cell>
          <cell r="AO2230" t="str">
            <v>Active(Model)</v>
          </cell>
          <cell r="AP2230" t="str">
            <v/>
          </cell>
          <cell r="AQ2230" t="str">
            <v/>
          </cell>
          <cell r="AR2230" t="str">
            <v>Y</v>
          </cell>
          <cell r="AS2230" t="str">
            <v/>
          </cell>
          <cell r="AT2230" t="str">
            <v>AC</v>
          </cell>
          <cell r="AU2230" t="str">
            <v>Airconditioner</v>
          </cell>
          <cell r="AV2230" t="str">
            <v>ACSR</v>
          </cell>
          <cell r="AW2230" t="str">
            <v>SRAC</v>
          </cell>
          <cell r="AX2230" t="str">
            <v>ACSRIV</v>
          </cell>
          <cell r="AY2230" t="str">
            <v>Inverter</v>
          </cell>
          <cell r="AZ2230" t="str">
            <v>ACSRIVSN</v>
          </cell>
          <cell r="BA2230" t="str">
            <v>Inverter Single Split Wall_I/D</v>
          </cell>
        </row>
        <row r="2231">
          <cell r="E2231" t="str">
            <v>IOC12S1U.ATYGEVH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1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 t="str">
            <v>RACPREMIUM</v>
          </cell>
          <cell r="AH2231" t="str">
            <v>RAC_Premium</v>
          </cell>
          <cell r="AI2231" t="str">
            <v/>
          </cell>
          <cell r="AJ2231" t="str">
            <v/>
          </cell>
          <cell r="AK2231" t="str">
            <v>0.142216</v>
          </cell>
          <cell r="AL2231" t="str">
            <v>0</v>
          </cell>
          <cell r="AM2231" t="str">
            <v>Q</v>
          </cell>
          <cell r="AN2231" t="str">
            <v>M0</v>
          </cell>
          <cell r="AO2231" t="str">
            <v>Active(Model)</v>
          </cell>
          <cell r="AP2231" t="str">
            <v/>
          </cell>
          <cell r="AQ2231" t="str">
            <v/>
          </cell>
          <cell r="AR2231" t="str">
            <v>Y</v>
          </cell>
          <cell r="AS2231" t="str">
            <v/>
          </cell>
          <cell r="AT2231" t="str">
            <v>AC</v>
          </cell>
          <cell r="AU2231" t="str">
            <v>Airconditioner</v>
          </cell>
          <cell r="AV2231" t="str">
            <v>ACSR</v>
          </cell>
          <cell r="AW2231" t="str">
            <v>SRAC</v>
          </cell>
          <cell r="AX2231" t="str">
            <v>ACSRIV</v>
          </cell>
          <cell r="AY2231" t="str">
            <v>Inverter</v>
          </cell>
          <cell r="AZ2231" t="str">
            <v>ACSRIVSU</v>
          </cell>
          <cell r="BA2231" t="str">
            <v>Inverter Single Split Wall_O/D</v>
          </cell>
        </row>
        <row r="2232">
          <cell r="E2232" t="str">
            <v>IPC09M1N.ATYGEVH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1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 t="str">
            <v>RACPREMIUM</v>
          </cell>
          <cell r="AH2232" t="str">
            <v>RAC_Premium</v>
          </cell>
          <cell r="AI2232" t="str">
            <v/>
          </cell>
          <cell r="AJ2232" t="str">
            <v/>
          </cell>
          <cell r="AK2232" t="str">
            <v>0.108516</v>
          </cell>
          <cell r="AL2232" t="str">
            <v>0</v>
          </cell>
          <cell r="AM2232" t="str">
            <v>Q</v>
          </cell>
          <cell r="AN2232" t="str">
            <v>M0</v>
          </cell>
          <cell r="AO2232" t="str">
            <v>Active(Model)</v>
          </cell>
          <cell r="AP2232" t="str">
            <v/>
          </cell>
          <cell r="AQ2232" t="str">
            <v/>
          </cell>
          <cell r="AR2232" t="str">
            <v>Y</v>
          </cell>
          <cell r="AS2232" t="str">
            <v/>
          </cell>
          <cell r="AT2232" t="str">
            <v>AC</v>
          </cell>
          <cell r="AU2232" t="str">
            <v>Airconditioner</v>
          </cell>
          <cell r="AV2232" t="str">
            <v>ACSR</v>
          </cell>
          <cell r="AW2232" t="str">
            <v>SRAC</v>
          </cell>
          <cell r="AX2232" t="str">
            <v>ACSRIV</v>
          </cell>
          <cell r="AY2232" t="str">
            <v>Inverter</v>
          </cell>
          <cell r="AZ2232" t="str">
            <v>ACSRIVSN</v>
          </cell>
          <cell r="BA2232" t="str">
            <v>Inverter Single Split Wall_I/D</v>
          </cell>
        </row>
        <row r="2233">
          <cell r="E2233" t="str">
            <v>IPC09M1U.ATYGEVH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1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 t="str">
            <v>RACPREMIUM</v>
          </cell>
          <cell r="AH2233" t="str">
            <v>RAC_Premium</v>
          </cell>
          <cell r="AI2233" t="str">
            <v/>
          </cell>
          <cell r="AJ2233" t="str">
            <v/>
          </cell>
          <cell r="AK2233" t="str">
            <v>0.211677</v>
          </cell>
          <cell r="AL2233" t="str">
            <v>0</v>
          </cell>
          <cell r="AM2233" t="str">
            <v>Q</v>
          </cell>
          <cell r="AN2233" t="str">
            <v>M0</v>
          </cell>
          <cell r="AO2233" t="str">
            <v>Active(Model)</v>
          </cell>
          <cell r="AP2233" t="str">
            <v/>
          </cell>
          <cell r="AQ2233" t="str">
            <v/>
          </cell>
          <cell r="AR2233" t="str">
            <v>Y</v>
          </cell>
          <cell r="AS2233" t="str">
            <v/>
          </cell>
          <cell r="AT2233" t="str">
            <v>AC</v>
          </cell>
          <cell r="AU2233" t="str">
            <v>Airconditioner</v>
          </cell>
          <cell r="AV2233" t="str">
            <v>ACSR</v>
          </cell>
          <cell r="AW2233" t="str">
            <v>SRAC</v>
          </cell>
          <cell r="AX2233" t="str">
            <v>ACSRIV</v>
          </cell>
          <cell r="AY2233" t="str">
            <v>Inverter</v>
          </cell>
          <cell r="AZ2233" t="str">
            <v>ACSRIVSU</v>
          </cell>
          <cell r="BA2233" t="str">
            <v>Inverter Single Split Wall_O/D</v>
          </cell>
        </row>
        <row r="2234">
          <cell r="E2234" t="str">
            <v>IPC12M1N.ATYGEVH</v>
          </cell>
          <cell r="F2234">
            <v>0</v>
          </cell>
          <cell r="G2234">
            <v>0</v>
          </cell>
          <cell r="H2234">
            <v>0</v>
          </cell>
          <cell r="I2234">
            <v>2</v>
          </cell>
          <cell r="J2234">
            <v>0</v>
          </cell>
          <cell r="K2234">
            <v>9</v>
          </cell>
          <cell r="L2234">
            <v>0</v>
          </cell>
          <cell r="M2234">
            <v>0</v>
          </cell>
          <cell r="N2234">
            <v>0</v>
          </cell>
          <cell r="O2234">
            <v>6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 t="str">
            <v>RACPREMIUM</v>
          </cell>
          <cell r="AH2234" t="str">
            <v>RAC_Premium</v>
          </cell>
          <cell r="AI2234" t="str">
            <v/>
          </cell>
          <cell r="AJ2234" t="str">
            <v/>
          </cell>
          <cell r="AK2234" t="str">
            <v>0.108516</v>
          </cell>
          <cell r="AL2234" t="str">
            <v>0</v>
          </cell>
          <cell r="AM2234" t="str">
            <v>Q</v>
          </cell>
          <cell r="AN2234" t="str">
            <v>M0</v>
          </cell>
          <cell r="AO2234" t="str">
            <v>Active(Model)</v>
          </cell>
          <cell r="AP2234" t="str">
            <v/>
          </cell>
          <cell r="AQ2234" t="str">
            <v/>
          </cell>
          <cell r="AR2234" t="str">
            <v>Y</v>
          </cell>
          <cell r="AS2234" t="str">
            <v/>
          </cell>
          <cell r="AT2234" t="str">
            <v>AC</v>
          </cell>
          <cell r="AU2234" t="str">
            <v>Airconditioner</v>
          </cell>
          <cell r="AV2234" t="str">
            <v>ACSR</v>
          </cell>
          <cell r="AW2234" t="str">
            <v>SRAC</v>
          </cell>
          <cell r="AX2234" t="str">
            <v>ACSRIV</v>
          </cell>
          <cell r="AY2234" t="str">
            <v>Inverter</v>
          </cell>
          <cell r="AZ2234" t="str">
            <v>ACSRIVSN</v>
          </cell>
          <cell r="BA2234" t="str">
            <v>Inverter Single Split Wall_I/D</v>
          </cell>
        </row>
        <row r="2235">
          <cell r="E2235" t="str">
            <v>IPC12M1U.ATYGEVH</v>
          </cell>
          <cell r="F2235">
            <v>0</v>
          </cell>
          <cell r="G2235">
            <v>0</v>
          </cell>
          <cell r="H2235">
            <v>0</v>
          </cell>
          <cell r="I2235">
            <v>1</v>
          </cell>
          <cell r="J2235">
            <v>0</v>
          </cell>
          <cell r="K2235">
            <v>9</v>
          </cell>
          <cell r="L2235">
            <v>0</v>
          </cell>
          <cell r="M2235">
            <v>0</v>
          </cell>
          <cell r="N2235">
            <v>0</v>
          </cell>
          <cell r="O2235">
            <v>6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 t="str">
            <v>RACPREMIUM</v>
          </cell>
          <cell r="AH2235" t="str">
            <v>RAC_Premium</v>
          </cell>
          <cell r="AI2235" t="str">
            <v/>
          </cell>
          <cell r="AJ2235" t="str">
            <v/>
          </cell>
          <cell r="AK2235" t="str">
            <v>0.211677</v>
          </cell>
          <cell r="AL2235" t="str">
            <v>0</v>
          </cell>
          <cell r="AM2235" t="str">
            <v>Q</v>
          </cell>
          <cell r="AN2235" t="str">
            <v>M0</v>
          </cell>
          <cell r="AO2235" t="str">
            <v>Active(Model)</v>
          </cell>
          <cell r="AP2235" t="str">
            <v/>
          </cell>
          <cell r="AQ2235" t="str">
            <v/>
          </cell>
          <cell r="AR2235" t="str">
            <v>Y</v>
          </cell>
          <cell r="AS2235" t="str">
            <v/>
          </cell>
          <cell r="AT2235" t="str">
            <v>AC</v>
          </cell>
          <cell r="AU2235" t="str">
            <v>Airconditioner</v>
          </cell>
          <cell r="AV2235" t="str">
            <v>ACSR</v>
          </cell>
          <cell r="AW2235" t="str">
            <v>SRAC</v>
          </cell>
          <cell r="AX2235" t="str">
            <v>ACSRIV</v>
          </cell>
          <cell r="AY2235" t="str">
            <v>Inverter</v>
          </cell>
          <cell r="AZ2235" t="str">
            <v>ACSRIVSU</v>
          </cell>
          <cell r="BA2235" t="str">
            <v>Inverter Single Split Wall_O/D</v>
          </cell>
        </row>
        <row r="2236">
          <cell r="E2236" t="str">
            <v>LBB33BGMAI.ABEPEVN</v>
          </cell>
          <cell r="F2236">
            <v>1</v>
          </cell>
          <cell r="G2236">
            <v>0</v>
          </cell>
          <cell r="H2236">
            <v>0</v>
          </cell>
          <cell r="I2236">
            <v>4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 t="str">
            <v>REFPREMIUM</v>
          </cell>
          <cell r="AH2236" t="str">
            <v>REF_Premium</v>
          </cell>
          <cell r="AI2236" t="str">
            <v/>
          </cell>
          <cell r="AJ2236" t="str">
            <v/>
          </cell>
          <cell r="AK2236" t="str">
            <v>0.872636</v>
          </cell>
          <cell r="AL2236" t="str">
            <v>2</v>
          </cell>
          <cell r="AM2236" t="str">
            <v>Q</v>
          </cell>
          <cell r="AN2236" t="str">
            <v>M0</v>
          </cell>
          <cell r="AO2236" t="str">
            <v>Active(Model)</v>
          </cell>
          <cell r="AP2236" t="str">
            <v/>
          </cell>
          <cell r="AQ2236" t="str">
            <v/>
          </cell>
          <cell r="AR2236" t="str">
            <v>Y</v>
          </cell>
          <cell r="AS2236" t="str">
            <v/>
          </cell>
          <cell r="AT2236" t="str">
            <v>RF</v>
          </cell>
          <cell r="AU2236" t="str">
            <v>Refrigerator</v>
          </cell>
          <cell r="AV2236" t="str">
            <v>RFBF</v>
          </cell>
          <cell r="AW2236" t="str">
            <v>Bottom Freezer</v>
          </cell>
          <cell r="AX2236" t="str">
            <v>RFBFBF</v>
          </cell>
          <cell r="AY2236" t="str">
            <v>Bottom Freezer</v>
          </cell>
          <cell r="AZ2236" t="str">
            <v>RFBFBF2D</v>
          </cell>
          <cell r="BA2236" t="str">
            <v>2D Bottom Freezer</v>
          </cell>
        </row>
        <row r="2237">
          <cell r="E2237" t="str">
            <v>LBB33BLGA.ABMPEVN</v>
          </cell>
          <cell r="F2237">
            <v>1</v>
          </cell>
          <cell r="G2237">
            <v>0</v>
          </cell>
          <cell r="H2237">
            <v>0</v>
          </cell>
          <cell r="I2237">
            <v>4</v>
          </cell>
          <cell r="J2237">
            <v>1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 t="str">
            <v>REFPREMIUM</v>
          </cell>
          <cell r="AH2237" t="str">
            <v>REF_Premium</v>
          </cell>
          <cell r="AI2237" t="str">
            <v/>
          </cell>
          <cell r="AJ2237" t="str">
            <v/>
          </cell>
          <cell r="AK2237" t="str">
            <v>0.837040</v>
          </cell>
          <cell r="AL2237" t="str">
            <v>2</v>
          </cell>
          <cell r="AM2237" t="str">
            <v>Q</v>
          </cell>
          <cell r="AN2237" t="str">
            <v>M0</v>
          </cell>
          <cell r="AO2237" t="str">
            <v>Active(Model)</v>
          </cell>
          <cell r="AP2237" t="str">
            <v/>
          </cell>
          <cell r="AQ2237" t="str">
            <v/>
          </cell>
          <cell r="AR2237" t="str">
            <v>Y</v>
          </cell>
          <cell r="AS2237" t="str">
            <v/>
          </cell>
          <cell r="AT2237" t="str">
            <v>RF</v>
          </cell>
          <cell r="AU2237" t="str">
            <v>Refrigerator</v>
          </cell>
          <cell r="AV2237" t="str">
            <v>RFBF</v>
          </cell>
          <cell r="AW2237" t="str">
            <v>Bottom Freezer</v>
          </cell>
          <cell r="AX2237" t="str">
            <v>RFBFBF</v>
          </cell>
          <cell r="AY2237" t="str">
            <v>Bottom Freezer</v>
          </cell>
          <cell r="AZ2237" t="str">
            <v>RFBFBF2D</v>
          </cell>
          <cell r="BA2237" t="str">
            <v>2D Bottom Freezer</v>
          </cell>
        </row>
        <row r="2238">
          <cell r="E2238" t="str">
            <v>LBB33BLM.AEPPEVN</v>
          </cell>
          <cell r="F2238">
            <v>0</v>
          </cell>
          <cell r="G2238">
            <v>0</v>
          </cell>
          <cell r="H2238">
            <v>0</v>
          </cell>
          <cell r="I2238">
            <v>7</v>
          </cell>
          <cell r="J2238">
            <v>1</v>
          </cell>
          <cell r="K2238">
            <v>25</v>
          </cell>
          <cell r="L2238">
            <v>0</v>
          </cell>
          <cell r="M2238">
            <v>0</v>
          </cell>
          <cell r="N2238">
            <v>0</v>
          </cell>
          <cell r="O2238">
            <v>5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0</v>
          </cell>
          <cell r="AG2238" t="str">
            <v>REFPREMIUM</v>
          </cell>
          <cell r="AH2238" t="str">
            <v>REF_Premium</v>
          </cell>
          <cell r="AI2238" t="str">
            <v/>
          </cell>
          <cell r="AJ2238" t="str">
            <v/>
          </cell>
          <cell r="AK2238" t="str">
            <v>0.872636</v>
          </cell>
          <cell r="AL2238" t="str">
            <v>2</v>
          </cell>
          <cell r="AM2238" t="str">
            <v>Q</v>
          </cell>
          <cell r="AN2238" t="str">
            <v>M0</v>
          </cell>
          <cell r="AO2238" t="str">
            <v>Active(Model)</v>
          </cell>
          <cell r="AP2238" t="str">
            <v/>
          </cell>
          <cell r="AQ2238" t="str">
            <v/>
          </cell>
          <cell r="AR2238" t="str">
            <v>Y</v>
          </cell>
          <cell r="AS2238" t="str">
            <v/>
          </cell>
          <cell r="AT2238" t="str">
            <v>RF</v>
          </cell>
          <cell r="AU2238" t="str">
            <v>Refrigerator</v>
          </cell>
          <cell r="AV2238" t="str">
            <v>RFBF</v>
          </cell>
          <cell r="AW2238" t="str">
            <v>Bottom Freezer</v>
          </cell>
          <cell r="AX2238" t="str">
            <v>RFBFBF</v>
          </cell>
          <cell r="AY2238" t="str">
            <v>Bottom Freezer</v>
          </cell>
          <cell r="AZ2238" t="str">
            <v>RFBFBF2D</v>
          </cell>
          <cell r="BA2238" t="str">
            <v>2D Bottom Freezer</v>
          </cell>
        </row>
        <row r="2239">
          <cell r="E2239" t="str">
            <v>LBB33BLMAI.AEPPEVN</v>
          </cell>
          <cell r="F2239">
            <v>3</v>
          </cell>
          <cell r="G2239">
            <v>0</v>
          </cell>
          <cell r="H2239">
            <v>0</v>
          </cell>
          <cell r="I2239">
            <v>6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 t="str">
            <v>REFPREMIUM</v>
          </cell>
          <cell r="AH2239" t="str">
            <v>REF_Premium</v>
          </cell>
          <cell r="AI2239" t="str">
            <v/>
          </cell>
          <cell r="AJ2239" t="str">
            <v/>
          </cell>
          <cell r="AK2239" t="str">
            <v>0.872636</v>
          </cell>
          <cell r="AL2239" t="str">
            <v>2</v>
          </cell>
          <cell r="AM2239" t="str">
            <v>Q</v>
          </cell>
          <cell r="AN2239" t="str">
            <v>M0</v>
          </cell>
          <cell r="AO2239" t="str">
            <v>Active(Model)</v>
          </cell>
          <cell r="AP2239" t="str">
            <v/>
          </cell>
          <cell r="AQ2239" t="str">
            <v/>
          </cell>
          <cell r="AR2239" t="str">
            <v>Y</v>
          </cell>
          <cell r="AS2239" t="str">
            <v/>
          </cell>
          <cell r="AT2239" t="str">
            <v>RF</v>
          </cell>
          <cell r="AU2239" t="str">
            <v>Refrigerator</v>
          </cell>
          <cell r="AV2239" t="str">
            <v>RFBF</v>
          </cell>
          <cell r="AW2239" t="str">
            <v>Bottom Freezer</v>
          </cell>
          <cell r="AX2239" t="str">
            <v>RFBFBF</v>
          </cell>
          <cell r="AY2239" t="str">
            <v>Bottom Freezer</v>
          </cell>
          <cell r="AZ2239" t="str">
            <v>RFBFBF2D</v>
          </cell>
          <cell r="BA2239" t="str">
            <v>2D Bottom Freezer</v>
          </cell>
        </row>
        <row r="2240">
          <cell r="E2240" t="str">
            <v>LBD33BLM.AEPPEVN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  <cell r="K2240">
            <v>20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1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 t="str">
            <v>REFPREMIUM</v>
          </cell>
          <cell r="AH2240" t="str">
            <v>REF_Premium</v>
          </cell>
          <cell r="AI2240" t="str">
            <v/>
          </cell>
          <cell r="AJ2240" t="str">
            <v/>
          </cell>
          <cell r="AK2240" t="str">
            <v>0.872636</v>
          </cell>
          <cell r="AL2240" t="str">
            <v>2</v>
          </cell>
          <cell r="AM2240" t="str">
            <v>Q</v>
          </cell>
          <cell r="AN2240" t="str">
            <v>M0</v>
          </cell>
          <cell r="AO2240" t="str">
            <v>Active(Model)</v>
          </cell>
          <cell r="AP2240" t="str">
            <v/>
          </cell>
          <cell r="AQ2240" t="str">
            <v/>
          </cell>
          <cell r="AR2240" t="str">
            <v>Y</v>
          </cell>
          <cell r="AS2240" t="str">
            <v/>
          </cell>
          <cell r="AT2240" t="str">
            <v>RF</v>
          </cell>
          <cell r="AU2240" t="str">
            <v>Refrigerator</v>
          </cell>
          <cell r="AV2240" t="str">
            <v>RFBF</v>
          </cell>
          <cell r="AW2240" t="str">
            <v>Bottom Freezer</v>
          </cell>
          <cell r="AX2240" t="str">
            <v>RFBFBF</v>
          </cell>
          <cell r="AY2240" t="str">
            <v>Bottom Freezer</v>
          </cell>
          <cell r="AZ2240" t="str">
            <v>RFBFBF2D</v>
          </cell>
          <cell r="BA2240" t="str">
            <v>2D Bottom Freezer</v>
          </cell>
        </row>
        <row r="2241">
          <cell r="E2241" t="str">
            <v>LBD33BLMA.AEPPEVN</v>
          </cell>
          <cell r="F2241">
            <v>32</v>
          </cell>
          <cell r="G2241">
            <v>0</v>
          </cell>
          <cell r="H2241">
            <v>0</v>
          </cell>
          <cell r="I2241">
            <v>44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0</v>
          </cell>
          <cell r="AG2241" t="str">
            <v>REFPREMIUM</v>
          </cell>
          <cell r="AH2241" t="str">
            <v>REF_Premium</v>
          </cell>
          <cell r="AI2241" t="str">
            <v/>
          </cell>
          <cell r="AJ2241" t="str">
            <v/>
          </cell>
          <cell r="AK2241" t="str">
            <v>0.872636</v>
          </cell>
          <cell r="AL2241" t="str">
            <v>2</v>
          </cell>
          <cell r="AM2241" t="str">
            <v>Q</v>
          </cell>
          <cell r="AN2241" t="str">
            <v>M0</v>
          </cell>
          <cell r="AO2241" t="str">
            <v>Active(Model)</v>
          </cell>
          <cell r="AP2241" t="str">
            <v/>
          </cell>
          <cell r="AQ2241" t="str">
            <v/>
          </cell>
          <cell r="AR2241" t="str">
            <v>Y</v>
          </cell>
          <cell r="AS2241" t="str">
            <v/>
          </cell>
          <cell r="AT2241" t="str">
            <v>RF</v>
          </cell>
          <cell r="AU2241" t="str">
            <v>Refrigerator</v>
          </cell>
          <cell r="AV2241" t="str">
            <v>RFBF</v>
          </cell>
          <cell r="AW2241" t="str">
            <v>Bottom Freezer</v>
          </cell>
          <cell r="AX2241" t="str">
            <v>RFBFBF</v>
          </cell>
          <cell r="AY2241" t="str">
            <v>Bottom Freezer</v>
          </cell>
          <cell r="AZ2241" t="str">
            <v>RFBFBF2D</v>
          </cell>
          <cell r="BA2241" t="str">
            <v>2D Bottom Freezer</v>
          </cell>
        </row>
        <row r="2242">
          <cell r="E2242" t="str">
            <v>LDN14BLA5.ABMPEVN</v>
          </cell>
          <cell r="F2242">
            <v>4</v>
          </cell>
          <cell r="G2242">
            <v>0</v>
          </cell>
          <cell r="H2242">
            <v>0</v>
          </cell>
          <cell r="I2242">
            <v>35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22</v>
          </cell>
          <cell r="O2242">
            <v>0</v>
          </cell>
          <cell r="P2242">
            <v>22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7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 t="str">
            <v>WM</v>
          </cell>
          <cell r="AH2242" t="str">
            <v>WASHING MACHINE</v>
          </cell>
          <cell r="AI2242" t="str">
            <v/>
          </cell>
          <cell r="AJ2242" t="str">
            <v/>
          </cell>
          <cell r="AK2242" t="str">
            <v>0.402458</v>
          </cell>
          <cell r="AL2242" t="str">
            <v>2</v>
          </cell>
          <cell r="AM2242" t="str">
            <v>Q</v>
          </cell>
          <cell r="AN2242" t="str">
            <v>M0</v>
          </cell>
          <cell r="AO2242" t="str">
            <v>Active(Model)</v>
          </cell>
          <cell r="AP2242" t="str">
            <v/>
          </cell>
          <cell r="AQ2242" t="str">
            <v/>
          </cell>
          <cell r="AR2242" t="str">
            <v>Y</v>
          </cell>
          <cell r="AS2242" t="str">
            <v/>
          </cell>
          <cell r="AT2242" t="str">
            <v>WM</v>
          </cell>
          <cell r="AU2242" t="str">
            <v>Washing Machine</v>
          </cell>
          <cell r="AV2242" t="str">
            <v>WMWK</v>
          </cell>
          <cell r="AW2242" t="str">
            <v>Dishwasher</v>
          </cell>
          <cell r="AX2242" t="str">
            <v>WMWKWK</v>
          </cell>
          <cell r="AY2242" t="str">
            <v>Dishwasher</v>
          </cell>
          <cell r="AZ2242" t="str">
            <v>WMWKWKDA</v>
          </cell>
          <cell r="BA2242" t="str">
            <v>Dishwasher</v>
          </cell>
        </row>
        <row r="2243">
          <cell r="E2243" t="str">
            <v>LDT14BGA3.ANBPEVN</v>
          </cell>
          <cell r="F2243">
            <v>0</v>
          </cell>
          <cell r="G2243">
            <v>0</v>
          </cell>
          <cell r="H2243">
            <v>0</v>
          </cell>
          <cell r="I2243">
            <v>9</v>
          </cell>
          <cell r="J2243">
            <v>2</v>
          </cell>
          <cell r="K2243">
            <v>1</v>
          </cell>
          <cell r="L2243">
            <v>0</v>
          </cell>
          <cell r="M2243">
            <v>2</v>
          </cell>
          <cell r="N2243">
            <v>4</v>
          </cell>
          <cell r="O2243">
            <v>28</v>
          </cell>
          <cell r="P2243">
            <v>6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 t="str">
            <v/>
          </cell>
          <cell r="AH2243" t="str">
            <v/>
          </cell>
          <cell r="AI2243" t="str">
            <v/>
          </cell>
          <cell r="AJ2243" t="str">
            <v/>
          </cell>
          <cell r="AK2243" t="str">
            <v>0.402458</v>
          </cell>
          <cell r="AL2243" t="str">
            <v>2</v>
          </cell>
          <cell r="AM2243" t="str">
            <v>Q</v>
          </cell>
          <cell r="AN2243" t="str">
            <v>M0</v>
          </cell>
          <cell r="AO2243" t="str">
            <v>Active(Model)</v>
          </cell>
          <cell r="AP2243" t="str">
            <v/>
          </cell>
          <cell r="AQ2243" t="str">
            <v/>
          </cell>
          <cell r="AR2243" t="str">
            <v>Y</v>
          </cell>
          <cell r="AS2243" t="str">
            <v/>
          </cell>
          <cell r="AT2243" t="str">
            <v>WM</v>
          </cell>
          <cell r="AU2243" t="str">
            <v>Washing Machine</v>
          </cell>
          <cell r="AV2243" t="str">
            <v>WMWK</v>
          </cell>
          <cell r="AW2243" t="str">
            <v>Dishwasher</v>
          </cell>
          <cell r="AX2243" t="str">
            <v>WMWKWK</v>
          </cell>
          <cell r="AY2243" t="str">
            <v>Dishwasher</v>
          </cell>
          <cell r="AZ2243" t="str">
            <v>WMWKWKDA</v>
          </cell>
          <cell r="BA2243" t="str">
            <v>Dishwasher</v>
          </cell>
        </row>
        <row r="2244">
          <cell r="E2244" t="str">
            <v>LDT14BLA4.ABMPEVN</v>
          </cell>
          <cell r="F2244">
            <v>83</v>
          </cell>
          <cell r="G2244">
            <v>0</v>
          </cell>
          <cell r="H2244">
            <v>0</v>
          </cell>
          <cell r="I2244">
            <v>192</v>
          </cell>
          <cell r="J2244">
            <v>0</v>
          </cell>
          <cell r="K2244">
            <v>0</v>
          </cell>
          <cell r="L2244">
            <v>0</v>
          </cell>
          <cell r="M2244">
            <v>9</v>
          </cell>
          <cell r="N2244">
            <v>12</v>
          </cell>
          <cell r="O2244">
            <v>34</v>
          </cell>
          <cell r="P2244">
            <v>21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82</v>
          </cell>
          <cell r="AE2244">
            <v>20</v>
          </cell>
          <cell r="AF2244">
            <v>82</v>
          </cell>
          <cell r="AG2244" t="str">
            <v/>
          </cell>
          <cell r="AH2244" t="str">
            <v/>
          </cell>
          <cell r="AI2244" t="str">
            <v/>
          </cell>
          <cell r="AJ2244" t="str">
            <v/>
          </cell>
          <cell r="AK2244" t="str">
            <v>0.402458</v>
          </cell>
          <cell r="AL2244" t="str">
            <v>2</v>
          </cell>
          <cell r="AM2244" t="str">
            <v>Q</v>
          </cell>
          <cell r="AN2244" t="str">
            <v>M0</v>
          </cell>
          <cell r="AO2244" t="str">
            <v>Active(Model)</v>
          </cell>
          <cell r="AP2244" t="str">
            <v/>
          </cell>
          <cell r="AQ2244" t="str">
            <v/>
          </cell>
          <cell r="AR2244" t="str">
            <v>Y</v>
          </cell>
          <cell r="AS2244" t="str">
            <v/>
          </cell>
          <cell r="AT2244" t="str">
            <v>WM</v>
          </cell>
          <cell r="AU2244" t="str">
            <v>Washing Machine</v>
          </cell>
          <cell r="AV2244" t="str">
            <v>WMWK</v>
          </cell>
          <cell r="AW2244" t="str">
            <v>Dishwasher</v>
          </cell>
          <cell r="AX2244" t="str">
            <v>WMWKWK</v>
          </cell>
          <cell r="AY2244" t="str">
            <v>Dishwasher</v>
          </cell>
          <cell r="AZ2244" t="str">
            <v>WMWKWKDA</v>
          </cell>
          <cell r="BA2244" t="str">
            <v>Dishwasher</v>
          </cell>
        </row>
        <row r="2245">
          <cell r="E2245" t="str">
            <v>LDT14BSA4.ABDPEVN</v>
          </cell>
          <cell r="F2245">
            <v>15</v>
          </cell>
          <cell r="G2245">
            <v>0</v>
          </cell>
          <cell r="H2245">
            <v>0</v>
          </cell>
          <cell r="I2245">
            <v>33</v>
          </cell>
          <cell r="J2245">
            <v>0</v>
          </cell>
          <cell r="K2245">
            <v>0</v>
          </cell>
          <cell r="L2245">
            <v>0</v>
          </cell>
          <cell r="M2245">
            <v>3</v>
          </cell>
          <cell r="N2245">
            <v>0</v>
          </cell>
          <cell r="O2245">
            <v>0</v>
          </cell>
          <cell r="P2245">
            <v>3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 t="str">
            <v/>
          </cell>
          <cell r="AH2245" t="str">
            <v/>
          </cell>
          <cell r="AI2245" t="str">
            <v/>
          </cell>
          <cell r="AJ2245" t="str">
            <v/>
          </cell>
          <cell r="AK2245" t="str">
            <v>0.402458</v>
          </cell>
          <cell r="AL2245" t="str">
            <v>2</v>
          </cell>
          <cell r="AM2245" t="str">
            <v>Q</v>
          </cell>
          <cell r="AN2245" t="str">
            <v>M0</v>
          </cell>
          <cell r="AO2245" t="str">
            <v>Active(Model)</v>
          </cell>
          <cell r="AP2245" t="str">
            <v/>
          </cell>
          <cell r="AQ2245" t="str">
            <v/>
          </cell>
          <cell r="AR2245" t="str">
            <v>Y</v>
          </cell>
          <cell r="AS2245" t="str">
            <v/>
          </cell>
          <cell r="AT2245" t="str">
            <v>WM</v>
          </cell>
          <cell r="AU2245" t="str">
            <v>Washing Machine</v>
          </cell>
          <cell r="AV2245" t="str">
            <v>WMWK</v>
          </cell>
          <cell r="AW2245" t="str">
            <v>Dishwasher</v>
          </cell>
          <cell r="AX2245" t="str">
            <v>WMWKWK</v>
          </cell>
          <cell r="AY2245" t="str">
            <v>Dishwasher</v>
          </cell>
          <cell r="AZ2245" t="str">
            <v>WMWKWKDA</v>
          </cell>
          <cell r="BA2245" t="str">
            <v>Dishwasher</v>
          </cell>
        </row>
        <row r="2246">
          <cell r="E2246" t="str">
            <v>LDT14SVA4.APYPEVN</v>
          </cell>
          <cell r="F2246">
            <v>0</v>
          </cell>
          <cell r="G2246">
            <v>0</v>
          </cell>
          <cell r="H2246">
            <v>0</v>
          </cell>
          <cell r="I2246">
            <v>21</v>
          </cell>
          <cell r="J2246">
            <v>0</v>
          </cell>
          <cell r="K2246">
            <v>26</v>
          </cell>
          <cell r="L2246">
            <v>20</v>
          </cell>
          <cell r="M2246">
            <v>0</v>
          </cell>
          <cell r="N2246">
            <v>0</v>
          </cell>
          <cell r="O2246">
            <v>24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2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5</v>
          </cell>
          <cell r="AF2246">
            <v>0</v>
          </cell>
          <cell r="AG2246" t="str">
            <v/>
          </cell>
          <cell r="AH2246" t="str">
            <v/>
          </cell>
          <cell r="AI2246" t="str">
            <v/>
          </cell>
          <cell r="AJ2246" t="str">
            <v/>
          </cell>
          <cell r="AK2246" t="str">
            <v>0.402458</v>
          </cell>
          <cell r="AL2246" t="str">
            <v>2</v>
          </cell>
          <cell r="AM2246" t="str">
            <v>Q</v>
          </cell>
          <cell r="AN2246" t="str">
            <v>M0</v>
          </cell>
          <cell r="AO2246" t="str">
            <v>Active(Model)</v>
          </cell>
          <cell r="AP2246" t="str">
            <v/>
          </cell>
          <cell r="AQ2246" t="str">
            <v/>
          </cell>
          <cell r="AR2246" t="str">
            <v>Y</v>
          </cell>
          <cell r="AS2246" t="str">
            <v/>
          </cell>
          <cell r="AT2246" t="str">
            <v>WM</v>
          </cell>
          <cell r="AU2246" t="str">
            <v>Washing Machine</v>
          </cell>
          <cell r="AV2246" t="str">
            <v>WMWK</v>
          </cell>
          <cell r="AW2246" t="str">
            <v>Dishwasher</v>
          </cell>
          <cell r="AX2246" t="str">
            <v>WMWKWK</v>
          </cell>
          <cell r="AY2246" t="str">
            <v>Dishwasher</v>
          </cell>
          <cell r="AZ2246" t="str">
            <v>WMWKWKDA</v>
          </cell>
          <cell r="BA2246" t="str">
            <v>Dishwasher</v>
          </cell>
        </row>
        <row r="2247">
          <cell r="E2247" t="str">
            <v>LFB47SVM.AMEPEVN</v>
          </cell>
          <cell r="F2247">
            <v>0</v>
          </cell>
          <cell r="G2247">
            <v>0</v>
          </cell>
          <cell r="H2247">
            <v>0</v>
          </cell>
          <cell r="I2247">
            <v>1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2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 t="str">
            <v>REFPREMIUM</v>
          </cell>
          <cell r="AH2247" t="str">
            <v>REF_Premium</v>
          </cell>
          <cell r="AI2247" t="str">
            <v/>
          </cell>
          <cell r="AJ2247" t="str">
            <v/>
          </cell>
          <cell r="AK2247" t="str">
            <v>1.180987</v>
          </cell>
          <cell r="AL2247" t="str">
            <v>2</v>
          </cell>
          <cell r="AM2247" t="str">
            <v>Q</v>
          </cell>
          <cell r="AN2247" t="str">
            <v>M5</v>
          </cell>
          <cell r="AO2247" t="str">
            <v>To Be Obsolete(Model)</v>
          </cell>
          <cell r="AP2247" t="str">
            <v/>
          </cell>
          <cell r="AQ2247" t="str">
            <v/>
          </cell>
          <cell r="AR2247" t="str">
            <v>Y</v>
          </cell>
          <cell r="AS2247" t="str">
            <v/>
          </cell>
          <cell r="AT2247" t="str">
            <v>RF</v>
          </cell>
          <cell r="AU2247" t="str">
            <v>Refrigerator</v>
          </cell>
          <cell r="AV2247" t="str">
            <v>RFBF</v>
          </cell>
          <cell r="AW2247" t="str">
            <v>Bottom Freezer</v>
          </cell>
          <cell r="AX2247" t="str">
            <v>RFBFMD</v>
          </cell>
          <cell r="AY2247" t="str">
            <v>French Door Swing</v>
          </cell>
          <cell r="AZ2247" t="str">
            <v>RFBFMD4D</v>
          </cell>
          <cell r="BA2247" t="str">
            <v>4D F/D Swing</v>
          </cell>
        </row>
        <row r="2248">
          <cell r="E2248" t="str">
            <v>LFB58BLMA.AEPPEVN</v>
          </cell>
          <cell r="F2248">
            <v>15</v>
          </cell>
          <cell r="G2248">
            <v>0</v>
          </cell>
          <cell r="H2248">
            <v>0</v>
          </cell>
          <cell r="I2248">
            <v>32</v>
          </cell>
          <cell r="J2248">
            <v>1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 t="str">
            <v>REFPREPLUS</v>
          </cell>
          <cell r="AH2248" t="str">
            <v>REF_Premium_Plus</v>
          </cell>
          <cell r="AI2248" t="str">
            <v/>
          </cell>
          <cell r="AJ2248" t="str">
            <v/>
          </cell>
          <cell r="AK2248" t="str">
            <v>1.289601</v>
          </cell>
          <cell r="AL2248" t="str">
            <v>2</v>
          </cell>
          <cell r="AM2248" t="str">
            <v>F</v>
          </cell>
          <cell r="AN2248" t="str">
            <v>M0</v>
          </cell>
          <cell r="AO2248" t="str">
            <v>Active(Model)</v>
          </cell>
          <cell r="AP2248" t="str">
            <v/>
          </cell>
          <cell r="AQ2248" t="str">
            <v/>
          </cell>
          <cell r="AR2248" t="str">
            <v>Y</v>
          </cell>
          <cell r="AS2248" t="str">
            <v/>
          </cell>
          <cell r="AT2248" t="str">
            <v>RF</v>
          </cell>
          <cell r="AU2248" t="str">
            <v>Refrigerator</v>
          </cell>
          <cell r="AV2248" t="str">
            <v>RFBF</v>
          </cell>
          <cell r="AW2248" t="str">
            <v>Bottom Freezer</v>
          </cell>
          <cell r="AX2248" t="str">
            <v>RFBFMD</v>
          </cell>
          <cell r="AY2248" t="str">
            <v>French Door Swing</v>
          </cell>
          <cell r="AZ2248" t="str">
            <v>RFBFMD4D</v>
          </cell>
          <cell r="BA2248" t="str">
            <v>4D F/D Swing</v>
          </cell>
        </row>
        <row r="2249">
          <cell r="E2249" t="str">
            <v>LFB61BLGAI.ABMPEVN</v>
          </cell>
          <cell r="F2249">
            <v>2</v>
          </cell>
          <cell r="G2249">
            <v>0</v>
          </cell>
          <cell r="H2249">
            <v>0</v>
          </cell>
          <cell r="I2249">
            <v>11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2</v>
          </cell>
          <cell r="O2249">
            <v>3</v>
          </cell>
          <cell r="P2249">
            <v>2</v>
          </cell>
          <cell r="Q2249">
            <v>0</v>
          </cell>
          <cell r="R2249">
            <v>7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1</v>
          </cell>
          <cell r="AF2249">
            <v>0</v>
          </cell>
          <cell r="AG2249" t="str">
            <v>REFPREPLUS</v>
          </cell>
          <cell r="AH2249" t="str">
            <v>REF_Premium_Plus</v>
          </cell>
          <cell r="AI2249" t="str">
            <v/>
          </cell>
          <cell r="AJ2249" t="str">
            <v/>
          </cell>
          <cell r="AK2249" t="str">
            <v>1.347179</v>
          </cell>
          <cell r="AL2249" t="str">
            <v>2</v>
          </cell>
          <cell r="AM2249" t="str">
            <v>F</v>
          </cell>
          <cell r="AN2249" t="str">
            <v>M0</v>
          </cell>
          <cell r="AO2249" t="str">
            <v>Active(Model)</v>
          </cell>
          <cell r="AP2249" t="str">
            <v/>
          </cell>
          <cell r="AQ2249" t="str">
            <v/>
          </cell>
          <cell r="AR2249" t="str">
            <v>Y</v>
          </cell>
          <cell r="AS2249" t="str">
            <v/>
          </cell>
          <cell r="AT2249" t="str">
            <v>RF</v>
          </cell>
          <cell r="AU2249" t="str">
            <v>Refrigerator</v>
          </cell>
          <cell r="AV2249" t="str">
            <v>RFBF</v>
          </cell>
          <cell r="AW2249" t="str">
            <v>Bottom Freezer</v>
          </cell>
          <cell r="AX2249" t="str">
            <v>RFBFMD</v>
          </cell>
          <cell r="AY2249" t="str">
            <v>French Door Swing</v>
          </cell>
          <cell r="AZ2249" t="str">
            <v>RFBFMD4D</v>
          </cell>
          <cell r="BA2249" t="str">
            <v>4D F/D Swing</v>
          </cell>
        </row>
        <row r="2250">
          <cell r="E2250" t="str">
            <v>LFD58BLMA.AEPPEVN</v>
          </cell>
          <cell r="F2250">
            <v>61</v>
          </cell>
          <cell r="G2250">
            <v>0</v>
          </cell>
          <cell r="H2250">
            <v>0</v>
          </cell>
          <cell r="I2250">
            <v>78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5</v>
          </cell>
          <cell r="O2250">
            <v>0</v>
          </cell>
          <cell r="P2250">
            <v>5</v>
          </cell>
          <cell r="Q2250">
            <v>0</v>
          </cell>
          <cell r="R2250">
            <v>28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0</v>
          </cell>
          <cell r="AD2250">
            <v>2</v>
          </cell>
          <cell r="AE2250">
            <v>1</v>
          </cell>
          <cell r="AF2250">
            <v>2</v>
          </cell>
          <cell r="AG2250" t="str">
            <v>REFPREPLUS</v>
          </cell>
          <cell r="AH2250" t="str">
            <v>REF_Premium_Plus</v>
          </cell>
          <cell r="AI2250" t="str">
            <v/>
          </cell>
          <cell r="AJ2250" t="str">
            <v/>
          </cell>
          <cell r="AK2250" t="str">
            <v>1.289601</v>
          </cell>
          <cell r="AL2250" t="str">
            <v>2</v>
          </cell>
          <cell r="AM2250" t="str">
            <v>F</v>
          </cell>
          <cell r="AN2250" t="str">
            <v>M0</v>
          </cell>
          <cell r="AO2250" t="str">
            <v>Active(Model)</v>
          </cell>
          <cell r="AP2250" t="str">
            <v/>
          </cell>
          <cell r="AQ2250" t="str">
            <v/>
          </cell>
          <cell r="AR2250" t="str">
            <v>Y</v>
          </cell>
          <cell r="AS2250" t="str">
            <v/>
          </cell>
          <cell r="AT2250" t="str">
            <v>RF</v>
          </cell>
          <cell r="AU2250" t="str">
            <v>Refrigerator</v>
          </cell>
          <cell r="AV2250" t="str">
            <v>RFBF</v>
          </cell>
          <cell r="AW2250" t="str">
            <v>Bottom Freezer</v>
          </cell>
          <cell r="AX2250" t="str">
            <v>RFBFMD</v>
          </cell>
          <cell r="AY2250" t="str">
            <v>French Door Swing</v>
          </cell>
          <cell r="AZ2250" t="str">
            <v>RFBFMD4D</v>
          </cell>
          <cell r="BA2250" t="str">
            <v>4D F/D Swing</v>
          </cell>
        </row>
        <row r="2251">
          <cell r="E2251" t="str">
            <v>LFD58BLMAI.AEPPEVN</v>
          </cell>
          <cell r="F2251">
            <v>35</v>
          </cell>
          <cell r="G2251">
            <v>0</v>
          </cell>
          <cell r="H2251">
            <v>0</v>
          </cell>
          <cell r="I2251">
            <v>49</v>
          </cell>
          <cell r="J2251">
            <v>0</v>
          </cell>
          <cell r="K2251">
            <v>0</v>
          </cell>
          <cell r="L2251">
            <v>0</v>
          </cell>
          <cell r="M2251">
            <v>1</v>
          </cell>
          <cell r="N2251">
            <v>0</v>
          </cell>
          <cell r="O2251">
            <v>0</v>
          </cell>
          <cell r="P2251">
            <v>1</v>
          </cell>
          <cell r="Q2251">
            <v>0</v>
          </cell>
          <cell r="R2251">
            <v>13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 t="str">
            <v>REFPREPLUS</v>
          </cell>
          <cell r="AH2251" t="str">
            <v>REF_Premium_Plus</v>
          </cell>
          <cell r="AI2251" t="str">
            <v/>
          </cell>
          <cell r="AJ2251" t="str">
            <v/>
          </cell>
          <cell r="AK2251" t="str">
            <v>1.289601</v>
          </cell>
          <cell r="AL2251" t="str">
            <v>2</v>
          </cell>
          <cell r="AM2251" t="str">
            <v>F</v>
          </cell>
          <cell r="AN2251" t="str">
            <v>M0</v>
          </cell>
          <cell r="AO2251" t="str">
            <v>Active(Model)</v>
          </cell>
          <cell r="AP2251" t="str">
            <v/>
          </cell>
          <cell r="AQ2251" t="str">
            <v/>
          </cell>
          <cell r="AR2251" t="str">
            <v>Y</v>
          </cell>
          <cell r="AS2251" t="str">
            <v/>
          </cell>
          <cell r="AT2251" t="str">
            <v>RF</v>
          </cell>
          <cell r="AU2251" t="str">
            <v>Refrigerator</v>
          </cell>
          <cell r="AV2251" t="str">
            <v>RFBF</v>
          </cell>
          <cell r="AW2251" t="str">
            <v>Bottom Freezer</v>
          </cell>
          <cell r="AX2251" t="str">
            <v>RFBFMD</v>
          </cell>
          <cell r="AY2251" t="str">
            <v>French Door Swing</v>
          </cell>
          <cell r="AZ2251" t="str">
            <v>RFBFMD4D</v>
          </cell>
          <cell r="BA2251" t="str">
            <v>4D F/D Swing</v>
          </cell>
        </row>
        <row r="2252">
          <cell r="E2252" t="str">
            <v>LFD61BLGA.ABMPEVN</v>
          </cell>
          <cell r="F2252">
            <v>36</v>
          </cell>
          <cell r="G2252">
            <v>0</v>
          </cell>
          <cell r="H2252">
            <v>0</v>
          </cell>
          <cell r="I2252">
            <v>43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20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  <cell r="AF2252">
            <v>0</v>
          </cell>
          <cell r="AG2252" t="str">
            <v>REFPREPLUS</v>
          </cell>
          <cell r="AH2252" t="str">
            <v>REF_Premium_Plus</v>
          </cell>
          <cell r="AI2252" t="str">
            <v/>
          </cell>
          <cell r="AJ2252" t="str">
            <v/>
          </cell>
          <cell r="AK2252" t="str">
            <v>1.347179</v>
          </cell>
          <cell r="AL2252" t="str">
            <v>2</v>
          </cell>
          <cell r="AM2252" t="str">
            <v>F</v>
          </cell>
          <cell r="AN2252" t="str">
            <v>M0</v>
          </cell>
          <cell r="AO2252" t="str">
            <v>Active(Model)</v>
          </cell>
          <cell r="AP2252" t="str">
            <v/>
          </cell>
          <cell r="AQ2252" t="str">
            <v/>
          </cell>
          <cell r="AR2252" t="str">
            <v>Y</v>
          </cell>
          <cell r="AS2252" t="str">
            <v/>
          </cell>
          <cell r="AT2252" t="str">
            <v>RF</v>
          </cell>
          <cell r="AU2252" t="str">
            <v>Refrigerator</v>
          </cell>
          <cell r="AV2252" t="str">
            <v>RFBF</v>
          </cell>
          <cell r="AW2252" t="str">
            <v>Bottom Freezer</v>
          </cell>
          <cell r="AX2252" t="str">
            <v>RFBFMD</v>
          </cell>
          <cell r="AY2252" t="str">
            <v>French Door Swing</v>
          </cell>
          <cell r="AZ2252" t="str">
            <v>RFBFMD4D</v>
          </cell>
          <cell r="BA2252" t="str">
            <v>4D F/D Swing</v>
          </cell>
        </row>
        <row r="2253">
          <cell r="E2253" t="str">
            <v>LFD61BLGAI.ABMPEVN</v>
          </cell>
          <cell r="F2253">
            <v>2</v>
          </cell>
          <cell r="G2253">
            <v>0</v>
          </cell>
          <cell r="H2253">
            <v>0</v>
          </cell>
          <cell r="I2253">
            <v>11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 t="str">
            <v>REFPREPLUS</v>
          </cell>
          <cell r="AH2253" t="str">
            <v>REF_Premium_Plus</v>
          </cell>
          <cell r="AI2253" t="str">
            <v/>
          </cell>
          <cell r="AJ2253" t="str">
            <v/>
          </cell>
          <cell r="AK2253" t="str">
            <v>1.347179</v>
          </cell>
          <cell r="AL2253" t="str">
            <v>2</v>
          </cell>
          <cell r="AM2253" t="str">
            <v>F</v>
          </cell>
          <cell r="AN2253" t="str">
            <v>M0</v>
          </cell>
          <cell r="AO2253" t="str">
            <v>Active(Model)</v>
          </cell>
          <cell r="AP2253" t="str">
            <v/>
          </cell>
          <cell r="AQ2253" t="str">
            <v/>
          </cell>
          <cell r="AR2253" t="str">
            <v>Y</v>
          </cell>
          <cell r="AS2253" t="str">
            <v/>
          </cell>
          <cell r="AT2253" t="str">
            <v>RF</v>
          </cell>
          <cell r="AU2253" t="str">
            <v>Refrigerator</v>
          </cell>
          <cell r="AV2253" t="str">
            <v>RFBF</v>
          </cell>
          <cell r="AW2253" t="str">
            <v>Bottom Freezer</v>
          </cell>
          <cell r="AX2253" t="str">
            <v>RFBFMD</v>
          </cell>
          <cell r="AY2253" t="str">
            <v>French Door Swing</v>
          </cell>
          <cell r="AZ2253" t="str">
            <v>RFBFMD4D</v>
          </cell>
          <cell r="BA2253" t="str">
            <v>4D F/D Swing</v>
          </cell>
        </row>
        <row r="2254">
          <cell r="E2254" t="str">
            <v>LMEA012BANH.ATVQ</v>
          </cell>
          <cell r="F2254">
            <v>0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0</v>
          </cell>
          <cell r="AG2254" t="str">
            <v/>
          </cell>
          <cell r="AH2254" t="str">
            <v/>
          </cell>
          <cell r="AI2254" t="str">
            <v/>
          </cell>
          <cell r="AJ2254" t="str">
            <v/>
          </cell>
          <cell r="AK2254" t="str">
            <v>0.207631</v>
          </cell>
          <cell r="AL2254" t="str">
            <v>2</v>
          </cell>
          <cell r="AM2254" t="str">
            <v>Q</v>
          </cell>
          <cell r="AN2254" t="str">
            <v>M0</v>
          </cell>
          <cell r="AO2254" t="str">
            <v>Active(Model)</v>
          </cell>
          <cell r="AP2254" t="str">
            <v/>
          </cell>
          <cell r="AQ2254" t="str">
            <v/>
          </cell>
          <cell r="AR2254" t="str">
            <v>Y</v>
          </cell>
          <cell r="AS2254" t="str">
            <v/>
          </cell>
          <cell r="AT2254" t="str">
            <v>CS</v>
          </cell>
          <cell r="AU2254" t="str">
            <v>Commercial Display_Signage</v>
          </cell>
          <cell r="AV2254" t="str">
            <v>CSLS</v>
          </cell>
          <cell r="AW2254" t="str">
            <v>Commercial_LED Signage</v>
          </cell>
          <cell r="AX2254" t="str">
            <v>CSLSIN</v>
          </cell>
          <cell r="AY2254" t="str">
            <v>Commercial_LED Signage Indoor</v>
          </cell>
          <cell r="AZ2254" t="str">
            <v>CSLSINBF</v>
          </cell>
          <cell r="BA2254" t="str">
            <v>Commercial_LED Signage Indoor Below Fine Pitch</v>
          </cell>
        </row>
        <row r="2255">
          <cell r="E2255" t="str">
            <v>LOF16BGM.ABNPEVN</v>
          </cell>
          <cell r="F2255">
            <v>0</v>
          </cell>
          <cell r="G2255">
            <v>0</v>
          </cell>
          <cell r="H2255">
            <v>0</v>
          </cell>
          <cell r="I2255">
            <v>11</v>
          </cell>
          <cell r="J2255">
            <v>1</v>
          </cell>
          <cell r="K2255">
            <v>60</v>
          </cell>
          <cell r="L2255">
            <v>0</v>
          </cell>
          <cell r="M2255">
            <v>5</v>
          </cell>
          <cell r="N2255">
            <v>2</v>
          </cell>
          <cell r="O2255">
            <v>3</v>
          </cell>
          <cell r="P2255">
            <v>7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 t="str">
            <v>REFBASIC</v>
          </cell>
          <cell r="AH2255" t="str">
            <v>REF_Basic</v>
          </cell>
          <cell r="AI2255" t="str">
            <v/>
          </cell>
          <cell r="AJ2255" t="str">
            <v/>
          </cell>
          <cell r="AK2255" t="str">
            <v>0.508097</v>
          </cell>
          <cell r="AL2255" t="str">
            <v>2</v>
          </cell>
          <cell r="AM2255" t="str">
            <v>Q</v>
          </cell>
          <cell r="AN2255" t="str">
            <v>M0</v>
          </cell>
          <cell r="AO2255" t="str">
            <v>Active(Model)</v>
          </cell>
          <cell r="AP2255" t="str">
            <v/>
          </cell>
          <cell r="AQ2255" t="str">
            <v/>
          </cell>
          <cell r="AR2255" t="str">
            <v>Y</v>
          </cell>
          <cell r="AS2255" t="str">
            <v/>
          </cell>
          <cell r="AT2255" t="str">
            <v>RF</v>
          </cell>
          <cell r="AU2255" t="str">
            <v>Refrigerator</v>
          </cell>
          <cell r="AV2255" t="str">
            <v>RFOT</v>
          </cell>
          <cell r="AW2255" t="str">
            <v>Specific REF</v>
          </cell>
          <cell r="AX2255" t="str">
            <v>RFOTFR</v>
          </cell>
          <cell r="AY2255" t="str">
            <v>Freezer</v>
          </cell>
          <cell r="AZ2255" t="str">
            <v>RFOTFRFA</v>
          </cell>
          <cell r="BA2255" t="str">
            <v>Refrigerator_Freezer</v>
          </cell>
        </row>
        <row r="2256">
          <cell r="E2256" t="str">
            <v>LSBE015-GDG.ATVQE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112</v>
          </cell>
          <cell r="P2256">
            <v>0</v>
          </cell>
          <cell r="Q2256">
            <v>112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 t="str">
            <v/>
          </cell>
          <cell r="AH2256" t="str">
            <v/>
          </cell>
          <cell r="AI2256" t="str">
            <v/>
          </cell>
          <cell r="AJ2256" t="str">
            <v/>
          </cell>
          <cell r="AK2256" t="str">
            <v>0.065813</v>
          </cell>
          <cell r="AL2256" t="str">
            <v>2</v>
          </cell>
          <cell r="AM2256" t="str">
            <v>Q</v>
          </cell>
          <cell r="AN2256" t="str">
            <v>M0</v>
          </cell>
          <cell r="AO2256" t="str">
            <v>Active(Model)</v>
          </cell>
          <cell r="AP2256" t="str">
            <v/>
          </cell>
          <cell r="AQ2256" t="str">
            <v/>
          </cell>
          <cell r="AR2256" t="str">
            <v>Y</v>
          </cell>
          <cell r="AS2256" t="str">
            <v/>
          </cell>
          <cell r="AT2256" t="str">
            <v>CS</v>
          </cell>
          <cell r="AU2256" t="str">
            <v>Commercial Display_Signage</v>
          </cell>
          <cell r="AV2256" t="str">
            <v>CSLS</v>
          </cell>
          <cell r="AW2256" t="str">
            <v>Commercial_LED Signage</v>
          </cell>
          <cell r="AX2256" t="str">
            <v>CSLSIN</v>
          </cell>
          <cell r="AY2256" t="str">
            <v>Commercial_LED Signage Indoor</v>
          </cell>
          <cell r="AZ2256" t="str">
            <v>CSLSINBF</v>
          </cell>
          <cell r="BA2256" t="str">
            <v>Commercial_LED Signage Indoor Below Fine Pitch</v>
          </cell>
        </row>
        <row r="2257">
          <cell r="E2257" t="str">
            <v>LSI63BLMA.AEPPEVN</v>
          </cell>
          <cell r="F2257">
            <v>98</v>
          </cell>
          <cell r="G2257">
            <v>0</v>
          </cell>
          <cell r="H2257">
            <v>0</v>
          </cell>
          <cell r="I2257">
            <v>178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71</v>
          </cell>
          <cell r="O2257">
            <v>13</v>
          </cell>
          <cell r="P2257">
            <v>71</v>
          </cell>
          <cell r="Q2257">
            <v>34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 t="str">
            <v>REFPREMIUM</v>
          </cell>
          <cell r="AH2257" t="str">
            <v>REF_Premium</v>
          </cell>
          <cell r="AI2257" t="str">
            <v/>
          </cell>
          <cell r="AJ2257" t="str">
            <v/>
          </cell>
          <cell r="AK2257" t="str">
            <v>1.415300</v>
          </cell>
          <cell r="AL2257" t="str">
            <v>2</v>
          </cell>
          <cell r="AM2257" t="str">
            <v>Q</v>
          </cell>
          <cell r="AN2257" t="str">
            <v>M0</v>
          </cell>
          <cell r="AO2257" t="str">
            <v>Active(Model)</v>
          </cell>
          <cell r="AP2257" t="str">
            <v/>
          </cell>
          <cell r="AQ2257" t="str">
            <v/>
          </cell>
          <cell r="AR2257" t="str">
            <v>Y</v>
          </cell>
          <cell r="AS2257" t="str">
            <v/>
          </cell>
          <cell r="AT2257" t="str">
            <v>RF</v>
          </cell>
          <cell r="AU2257" t="str">
            <v>Refrigerator</v>
          </cell>
          <cell r="AV2257" t="str">
            <v>RFSS</v>
          </cell>
          <cell r="AW2257" t="str">
            <v>SxS</v>
          </cell>
          <cell r="AX2257" t="str">
            <v>RFSSSS</v>
          </cell>
          <cell r="AY2257" t="str">
            <v>SxS</v>
          </cell>
          <cell r="AZ2257" t="str">
            <v>RFSSSS25</v>
          </cell>
          <cell r="BA2257" t="str">
            <v>SxS 25CU</v>
          </cell>
        </row>
        <row r="2258">
          <cell r="E2258" t="str">
            <v>LTB21BLMI.AEPPEVN</v>
          </cell>
          <cell r="F2258">
            <v>0</v>
          </cell>
          <cell r="G2258">
            <v>0</v>
          </cell>
          <cell r="H2258">
            <v>0</v>
          </cell>
          <cell r="I2258">
            <v>9</v>
          </cell>
          <cell r="J2258">
            <v>0</v>
          </cell>
          <cell r="K2258">
            <v>341</v>
          </cell>
          <cell r="L2258">
            <v>0</v>
          </cell>
          <cell r="M2258">
            <v>1</v>
          </cell>
          <cell r="N2258">
            <v>0</v>
          </cell>
          <cell r="O2258">
            <v>1</v>
          </cell>
          <cell r="P2258">
            <v>1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 t="str">
            <v>REFBASIC</v>
          </cell>
          <cell r="AH2258" t="str">
            <v>REF_Basic</v>
          </cell>
          <cell r="AI2258" t="str">
            <v/>
          </cell>
          <cell r="AJ2258" t="str">
            <v/>
          </cell>
          <cell r="AK2258" t="str">
            <v>0.586264</v>
          </cell>
          <cell r="AL2258" t="str">
            <v>2</v>
          </cell>
          <cell r="AM2258" t="str">
            <v>Q</v>
          </cell>
          <cell r="AN2258" t="str">
            <v>M0</v>
          </cell>
          <cell r="AO2258" t="str">
            <v>Active(Model)</v>
          </cell>
          <cell r="AP2258" t="str">
            <v/>
          </cell>
          <cell r="AQ2258" t="str">
            <v/>
          </cell>
          <cell r="AR2258" t="str">
            <v>Y</v>
          </cell>
          <cell r="AS2258" t="str">
            <v/>
          </cell>
          <cell r="AT2258" t="str">
            <v>RF</v>
          </cell>
          <cell r="AU2258" t="str">
            <v>Refrigerator</v>
          </cell>
          <cell r="AV2258" t="str">
            <v>RFTM</v>
          </cell>
          <cell r="AW2258" t="str">
            <v>TMNF</v>
          </cell>
          <cell r="AX2258" t="str">
            <v>RFTMTM</v>
          </cell>
          <cell r="AY2258" t="str">
            <v>TMNF</v>
          </cell>
          <cell r="AZ2258" t="str">
            <v>RFTMTMMA</v>
          </cell>
          <cell r="BA2258" t="str">
            <v>Medium REF</v>
          </cell>
        </row>
        <row r="2259">
          <cell r="E2259" t="str">
            <v>LTB26BLM.AEPPEVN</v>
          </cell>
          <cell r="F2259">
            <v>62</v>
          </cell>
          <cell r="G2259">
            <v>0</v>
          </cell>
          <cell r="H2259">
            <v>0</v>
          </cell>
          <cell r="I2259">
            <v>134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68</v>
          </cell>
          <cell r="O2259">
            <v>106</v>
          </cell>
          <cell r="P2259">
            <v>68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0</v>
          </cell>
          <cell r="AG2259" t="str">
            <v>REFBASIC</v>
          </cell>
          <cell r="AH2259" t="str">
            <v>REF_Basic</v>
          </cell>
          <cell r="AI2259" t="str">
            <v/>
          </cell>
          <cell r="AJ2259" t="str">
            <v/>
          </cell>
          <cell r="AK2259" t="str">
            <v>0.672945</v>
          </cell>
          <cell r="AL2259" t="str">
            <v>2</v>
          </cell>
          <cell r="AM2259" t="str">
            <v>Q</v>
          </cell>
          <cell r="AN2259" t="str">
            <v>M0</v>
          </cell>
          <cell r="AO2259" t="str">
            <v>Active(Model)</v>
          </cell>
          <cell r="AP2259" t="str">
            <v/>
          </cell>
          <cell r="AQ2259" t="str">
            <v/>
          </cell>
          <cell r="AR2259" t="str">
            <v>Y</v>
          </cell>
          <cell r="AS2259" t="str">
            <v/>
          </cell>
          <cell r="AT2259" t="str">
            <v>RF</v>
          </cell>
          <cell r="AU2259" t="str">
            <v>Refrigerator</v>
          </cell>
          <cell r="AV2259" t="str">
            <v>RFTM</v>
          </cell>
          <cell r="AW2259" t="str">
            <v>TMNF</v>
          </cell>
          <cell r="AX2259" t="str">
            <v>RFTMTM</v>
          </cell>
          <cell r="AY2259" t="str">
            <v>TMNF</v>
          </cell>
          <cell r="AZ2259" t="str">
            <v>RFTMTMMA</v>
          </cell>
          <cell r="BA2259" t="str">
            <v>Medium REF</v>
          </cell>
        </row>
        <row r="2260">
          <cell r="E2260" t="str">
            <v>LTB26SVM.APYPEVN</v>
          </cell>
          <cell r="F2260">
            <v>0</v>
          </cell>
          <cell r="G2260">
            <v>0</v>
          </cell>
          <cell r="H2260">
            <v>0</v>
          </cell>
          <cell r="I2260">
            <v>8</v>
          </cell>
          <cell r="J2260">
            <v>0</v>
          </cell>
          <cell r="K2260">
            <v>50</v>
          </cell>
          <cell r="L2260">
            <v>0</v>
          </cell>
          <cell r="M2260">
            <v>1</v>
          </cell>
          <cell r="N2260">
            <v>0</v>
          </cell>
          <cell r="O2260">
            <v>0</v>
          </cell>
          <cell r="P2260">
            <v>1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 t="str">
            <v>REFBASIC</v>
          </cell>
          <cell r="AH2260" t="str">
            <v>REF_Basic</v>
          </cell>
          <cell r="AI2260" t="str">
            <v/>
          </cell>
          <cell r="AJ2260" t="str">
            <v/>
          </cell>
          <cell r="AK2260" t="str">
            <v>0.672945</v>
          </cell>
          <cell r="AL2260" t="str">
            <v>2</v>
          </cell>
          <cell r="AM2260" t="str">
            <v>Q</v>
          </cell>
          <cell r="AN2260" t="str">
            <v>M0</v>
          </cell>
          <cell r="AO2260" t="str">
            <v>Active(Model)</v>
          </cell>
          <cell r="AP2260" t="str">
            <v/>
          </cell>
          <cell r="AQ2260" t="str">
            <v/>
          </cell>
          <cell r="AR2260" t="str">
            <v>Y</v>
          </cell>
          <cell r="AS2260" t="str">
            <v/>
          </cell>
          <cell r="AT2260" t="str">
            <v>RF</v>
          </cell>
          <cell r="AU2260" t="str">
            <v>Refrigerator</v>
          </cell>
          <cell r="AV2260" t="str">
            <v>RFTM</v>
          </cell>
          <cell r="AW2260" t="str">
            <v>TMNF</v>
          </cell>
          <cell r="AX2260" t="str">
            <v>RFTMTM</v>
          </cell>
          <cell r="AY2260" t="str">
            <v>TMNF</v>
          </cell>
          <cell r="AZ2260" t="str">
            <v>RFTMTMMA</v>
          </cell>
          <cell r="BA2260" t="str">
            <v>Medium REF</v>
          </cell>
        </row>
        <row r="2261">
          <cell r="E2261" t="str">
            <v>LTB31BLM.AEPPEVN</v>
          </cell>
          <cell r="F2261">
            <v>812</v>
          </cell>
          <cell r="G2261">
            <v>0</v>
          </cell>
          <cell r="H2261">
            <v>0</v>
          </cell>
          <cell r="I2261">
            <v>1024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200</v>
          </cell>
          <cell r="O2261">
            <v>0</v>
          </cell>
          <cell r="P2261">
            <v>200</v>
          </cell>
          <cell r="Q2261">
            <v>222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 t="str">
            <v>REFBASIC</v>
          </cell>
          <cell r="AH2261" t="str">
            <v>REF_Basic</v>
          </cell>
          <cell r="AI2261" t="str">
            <v/>
          </cell>
          <cell r="AJ2261" t="str">
            <v/>
          </cell>
          <cell r="AK2261" t="str">
            <v>0.832004</v>
          </cell>
          <cell r="AL2261" t="str">
            <v>2</v>
          </cell>
          <cell r="AM2261" t="str">
            <v>Q</v>
          </cell>
          <cell r="AN2261" t="str">
            <v>M0</v>
          </cell>
          <cell r="AO2261" t="str">
            <v>Active(Model)</v>
          </cell>
          <cell r="AP2261" t="str">
            <v/>
          </cell>
          <cell r="AQ2261" t="str">
            <v/>
          </cell>
          <cell r="AR2261" t="str">
            <v>Y</v>
          </cell>
          <cell r="AS2261" t="str">
            <v/>
          </cell>
          <cell r="AT2261" t="str">
            <v>RF</v>
          </cell>
          <cell r="AU2261" t="str">
            <v>Refrigerator</v>
          </cell>
          <cell r="AV2261" t="str">
            <v>RFTM</v>
          </cell>
          <cell r="AW2261" t="str">
            <v>TMNF</v>
          </cell>
          <cell r="AX2261" t="str">
            <v>RFTMTM</v>
          </cell>
          <cell r="AY2261" t="str">
            <v>TMNF</v>
          </cell>
          <cell r="AZ2261" t="str">
            <v>RFTMTMMA</v>
          </cell>
          <cell r="BA2261" t="str">
            <v>Medium REF</v>
          </cell>
        </row>
        <row r="2262">
          <cell r="E2262" t="str">
            <v>LTB31BLMA.AEPPEVN</v>
          </cell>
          <cell r="F2262">
            <v>2</v>
          </cell>
          <cell r="G2262">
            <v>0</v>
          </cell>
          <cell r="H2262">
            <v>0</v>
          </cell>
          <cell r="I2262">
            <v>5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 t="str">
            <v>REFBASIC</v>
          </cell>
          <cell r="AH2262" t="str">
            <v>REF_Basic</v>
          </cell>
          <cell r="AI2262" t="str">
            <v/>
          </cell>
          <cell r="AJ2262" t="str">
            <v/>
          </cell>
          <cell r="AK2262" t="str">
            <v>0.832004</v>
          </cell>
          <cell r="AL2262" t="str">
            <v>2</v>
          </cell>
          <cell r="AM2262" t="str">
            <v>Q</v>
          </cell>
          <cell r="AN2262" t="str">
            <v>M0</v>
          </cell>
          <cell r="AO2262" t="str">
            <v>Active(Model)</v>
          </cell>
          <cell r="AP2262" t="str">
            <v/>
          </cell>
          <cell r="AQ2262" t="str">
            <v/>
          </cell>
          <cell r="AR2262" t="str">
            <v>Y</v>
          </cell>
          <cell r="AS2262" t="str">
            <v/>
          </cell>
          <cell r="AT2262" t="str">
            <v>RF</v>
          </cell>
          <cell r="AU2262" t="str">
            <v>Refrigerator</v>
          </cell>
          <cell r="AV2262" t="str">
            <v>RFTM</v>
          </cell>
          <cell r="AW2262" t="str">
            <v>TMNF</v>
          </cell>
          <cell r="AX2262" t="str">
            <v>RFTMTM</v>
          </cell>
          <cell r="AY2262" t="str">
            <v>TMNF</v>
          </cell>
          <cell r="AZ2262" t="str">
            <v>RFTMTMMA</v>
          </cell>
          <cell r="BA2262" t="str">
            <v>Medium REF</v>
          </cell>
        </row>
        <row r="2263">
          <cell r="E2263" t="str">
            <v>LTB33BLG.ABMPEVN</v>
          </cell>
          <cell r="F2263">
            <v>101</v>
          </cell>
          <cell r="G2263">
            <v>0</v>
          </cell>
          <cell r="H2263">
            <v>0</v>
          </cell>
          <cell r="I2263">
            <v>109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5</v>
          </cell>
          <cell r="O2263">
            <v>0</v>
          </cell>
          <cell r="P2263">
            <v>5</v>
          </cell>
          <cell r="Q2263">
            <v>73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 t="str">
            <v>REFBASIC</v>
          </cell>
          <cell r="AH2263" t="str">
            <v>REF_Basic</v>
          </cell>
          <cell r="AI2263" t="str">
            <v/>
          </cell>
          <cell r="AJ2263" t="str">
            <v/>
          </cell>
          <cell r="AK2263" t="str">
            <v>0.872636</v>
          </cell>
          <cell r="AL2263" t="str">
            <v>2</v>
          </cell>
          <cell r="AM2263" t="str">
            <v>Q</v>
          </cell>
          <cell r="AN2263" t="str">
            <v>M0</v>
          </cell>
          <cell r="AO2263" t="str">
            <v>Active(Model)</v>
          </cell>
          <cell r="AP2263" t="str">
            <v/>
          </cell>
          <cell r="AQ2263" t="str">
            <v/>
          </cell>
          <cell r="AR2263" t="str">
            <v>Y</v>
          </cell>
          <cell r="AS2263" t="str">
            <v/>
          </cell>
          <cell r="AT2263" t="str">
            <v>RF</v>
          </cell>
          <cell r="AU2263" t="str">
            <v>Refrigerator</v>
          </cell>
          <cell r="AV2263" t="str">
            <v>RFTM</v>
          </cell>
          <cell r="AW2263" t="str">
            <v>TMNF</v>
          </cell>
          <cell r="AX2263" t="str">
            <v>RFTMTM</v>
          </cell>
          <cell r="AY2263" t="str">
            <v>TMNF</v>
          </cell>
          <cell r="AZ2263" t="str">
            <v>RFTMTMMA</v>
          </cell>
          <cell r="BA2263" t="str">
            <v>Medium REF</v>
          </cell>
        </row>
        <row r="2264">
          <cell r="E2264" t="str">
            <v>LTB33BLMA.AEPPEVN</v>
          </cell>
          <cell r="F2264">
            <v>129</v>
          </cell>
          <cell r="G2264">
            <v>0</v>
          </cell>
          <cell r="H2264">
            <v>0</v>
          </cell>
          <cell r="I2264">
            <v>132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8</v>
          </cell>
          <cell r="AF2264">
            <v>0</v>
          </cell>
          <cell r="AG2264" t="str">
            <v>REFBASIC</v>
          </cell>
          <cell r="AH2264" t="str">
            <v>REF_Basic</v>
          </cell>
          <cell r="AI2264" t="str">
            <v/>
          </cell>
          <cell r="AJ2264" t="str">
            <v/>
          </cell>
          <cell r="AK2264" t="str">
            <v>0.872636</v>
          </cell>
          <cell r="AL2264" t="str">
            <v>2</v>
          </cell>
          <cell r="AM2264" t="str">
            <v>Q</v>
          </cell>
          <cell r="AN2264" t="str">
            <v>M0</v>
          </cell>
          <cell r="AO2264" t="str">
            <v>Active(Model)</v>
          </cell>
          <cell r="AP2264" t="str">
            <v/>
          </cell>
          <cell r="AQ2264" t="str">
            <v/>
          </cell>
          <cell r="AR2264" t="str">
            <v>Y</v>
          </cell>
          <cell r="AS2264" t="str">
            <v/>
          </cell>
          <cell r="AT2264" t="str">
            <v>RF</v>
          </cell>
          <cell r="AU2264" t="str">
            <v>Refrigerator</v>
          </cell>
          <cell r="AV2264" t="str">
            <v>RFTM</v>
          </cell>
          <cell r="AW2264" t="str">
            <v>TMNF</v>
          </cell>
          <cell r="AX2264" t="str">
            <v>RFTMTM</v>
          </cell>
          <cell r="AY2264" t="str">
            <v>TMNF</v>
          </cell>
          <cell r="AZ2264" t="str">
            <v>RFTMTMMA</v>
          </cell>
          <cell r="BA2264" t="str">
            <v>Medium REF</v>
          </cell>
        </row>
        <row r="2265">
          <cell r="E2265" t="str">
            <v>LTB46BLG.ABMPEVN</v>
          </cell>
          <cell r="F2265">
            <v>70</v>
          </cell>
          <cell r="G2265">
            <v>0</v>
          </cell>
          <cell r="H2265">
            <v>0</v>
          </cell>
          <cell r="I2265">
            <v>84</v>
          </cell>
          <cell r="J2265">
            <v>2</v>
          </cell>
          <cell r="K2265">
            <v>0</v>
          </cell>
          <cell r="L2265">
            <v>0</v>
          </cell>
          <cell r="M2265">
            <v>0</v>
          </cell>
          <cell r="N2265">
            <v>9</v>
          </cell>
          <cell r="O2265">
            <v>48</v>
          </cell>
          <cell r="P2265">
            <v>9</v>
          </cell>
          <cell r="Q2265">
            <v>63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1</v>
          </cell>
          <cell r="AE2265">
            <v>0</v>
          </cell>
          <cell r="AF2265">
            <v>1</v>
          </cell>
          <cell r="AG2265" t="str">
            <v>REFPREMIUM</v>
          </cell>
          <cell r="AH2265" t="str">
            <v>REF_Premium</v>
          </cell>
          <cell r="AI2265" t="str">
            <v/>
          </cell>
          <cell r="AJ2265" t="str">
            <v/>
          </cell>
          <cell r="AK2265" t="str">
            <v>1.102563</v>
          </cell>
          <cell r="AL2265" t="str">
            <v>2</v>
          </cell>
          <cell r="AM2265" t="str">
            <v>Q</v>
          </cell>
          <cell r="AN2265" t="str">
            <v>M0</v>
          </cell>
          <cell r="AO2265" t="str">
            <v>Active(Model)</v>
          </cell>
          <cell r="AP2265" t="str">
            <v/>
          </cell>
          <cell r="AQ2265" t="str">
            <v/>
          </cell>
          <cell r="AR2265" t="str">
            <v>Y</v>
          </cell>
          <cell r="AS2265" t="str">
            <v/>
          </cell>
          <cell r="AT2265" t="str">
            <v>RF</v>
          </cell>
          <cell r="AU2265" t="str">
            <v>Refrigerator</v>
          </cell>
          <cell r="AV2265" t="str">
            <v>RFTM</v>
          </cell>
          <cell r="AW2265" t="str">
            <v>TMNF</v>
          </cell>
          <cell r="AX2265" t="str">
            <v>RFTMTM</v>
          </cell>
          <cell r="AY2265" t="str">
            <v>TMNF</v>
          </cell>
          <cell r="AZ2265" t="str">
            <v>RFTMTMXA</v>
          </cell>
          <cell r="BA2265" t="str">
            <v>X Large REF</v>
          </cell>
        </row>
        <row r="2266">
          <cell r="E2266" t="str">
            <v>LTD31BLM.AEPPEVN</v>
          </cell>
          <cell r="F2266">
            <v>79</v>
          </cell>
          <cell r="G2266">
            <v>0</v>
          </cell>
          <cell r="H2266">
            <v>0</v>
          </cell>
          <cell r="I2266">
            <v>82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0</v>
          </cell>
          <cell r="AE2266">
            <v>0</v>
          </cell>
          <cell r="AF2266">
            <v>0</v>
          </cell>
          <cell r="AG2266" t="str">
            <v>REFBASIC</v>
          </cell>
          <cell r="AH2266" t="str">
            <v>REF_Basic</v>
          </cell>
          <cell r="AI2266" t="str">
            <v/>
          </cell>
          <cell r="AJ2266" t="str">
            <v/>
          </cell>
          <cell r="AK2266" t="str">
            <v>0.832004</v>
          </cell>
          <cell r="AL2266" t="str">
            <v>2</v>
          </cell>
          <cell r="AM2266" t="str">
            <v>Q</v>
          </cell>
          <cell r="AN2266" t="str">
            <v>M0</v>
          </cell>
          <cell r="AO2266" t="str">
            <v>Active(Model)</v>
          </cell>
          <cell r="AP2266" t="str">
            <v/>
          </cell>
          <cell r="AQ2266" t="str">
            <v/>
          </cell>
          <cell r="AR2266" t="str">
            <v>Y</v>
          </cell>
          <cell r="AS2266" t="str">
            <v/>
          </cell>
          <cell r="AT2266" t="str">
            <v>RF</v>
          </cell>
          <cell r="AU2266" t="str">
            <v>Refrigerator</v>
          </cell>
          <cell r="AV2266" t="str">
            <v>RFTM</v>
          </cell>
          <cell r="AW2266" t="str">
            <v>TMNF</v>
          </cell>
          <cell r="AX2266" t="str">
            <v>RFTMTM</v>
          </cell>
          <cell r="AY2266" t="str">
            <v>TMNF</v>
          </cell>
          <cell r="AZ2266" t="str">
            <v>RFTMTMMA</v>
          </cell>
          <cell r="BA2266" t="str">
            <v>Medium REF</v>
          </cell>
        </row>
        <row r="2267">
          <cell r="E2267" t="str">
            <v>LTD37BLM.AEPPEVN</v>
          </cell>
          <cell r="F2267">
            <v>494</v>
          </cell>
          <cell r="G2267">
            <v>0</v>
          </cell>
          <cell r="H2267">
            <v>0</v>
          </cell>
          <cell r="I2267">
            <v>849</v>
          </cell>
          <cell r="J2267">
            <v>0</v>
          </cell>
          <cell r="K2267">
            <v>0</v>
          </cell>
          <cell r="L2267">
            <v>0</v>
          </cell>
          <cell r="M2267">
            <v>16</v>
          </cell>
          <cell r="N2267">
            <v>324</v>
          </cell>
          <cell r="O2267">
            <v>0</v>
          </cell>
          <cell r="P2267">
            <v>340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1</v>
          </cell>
          <cell r="AE2267">
            <v>0</v>
          </cell>
          <cell r="AF2267">
            <v>1</v>
          </cell>
          <cell r="AG2267" t="str">
            <v>REFPREMIUM</v>
          </cell>
          <cell r="AH2267" t="str">
            <v>REF_Premium</v>
          </cell>
          <cell r="AI2267" t="str">
            <v/>
          </cell>
          <cell r="AJ2267" t="str">
            <v/>
          </cell>
          <cell r="AK2267" t="str">
            <v>0.963295</v>
          </cell>
          <cell r="AL2267" t="str">
            <v>2</v>
          </cell>
          <cell r="AM2267" t="str">
            <v>Q</v>
          </cell>
          <cell r="AN2267" t="str">
            <v>M0</v>
          </cell>
          <cell r="AO2267" t="str">
            <v>Active(Model)</v>
          </cell>
          <cell r="AP2267" t="str">
            <v/>
          </cell>
          <cell r="AQ2267" t="str">
            <v/>
          </cell>
          <cell r="AR2267" t="str">
            <v>Y</v>
          </cell>
          <cell r="AS2267" t="str">
            <v/>
          </cell>
          <cell r="AT2267" t="str">
            <v>RF</v>
          </cell>
          <cell r="AU2267" t="str">
            <v>Refrigerator</v>
          </cell>
          <cell r="AV2267" t="str">
            <v>RFTM</v>
          </cell>
          <cell r="AW2267" t="str">
            <v>TMNF</v>
          </cell>
          <cell r="AX2267" t="str">
            <v>RFTMTM</v>
          </cell>
          <cell r="AY2267" t="str">
            <v>TMNF</v>
          </cell>
          <cell r="AZ2267" t="str">
            <v>RFTMTMLA</v>
          </cell>
          <cell r="BA2267" t="str">
            <v>Large REF</v>
          </cell>
        </row>
        <row r="2268">
          <cell r="E2268" t="str">
            <v>LTD46BLM.AEPPEVN</v>
          </cell>
          <cell r="F2268">
            <v>0</v>
          </cell>
          <cell r="G2268">
            <v>0</v>
          </cell>
          <cell r="H2268">
            <v>0</v>
          </cell>
          <cell r="I2268">
            <v>5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 t="str">
            <v>REFPREMIUM</v>
          </cell>
          <cell r="AH2268" t="str">
            <v>REF_Premium</v>
          </cell>
          <cell r="AI2268" t="str">
            <v/>
          </cell>
          <cell r="AJ2268" t="str">
            <v/>
          </cell>
          <cell r="AK2268" t="str">
            <v>1.102563</v>
          </cell>
          <cell r="AL2268" t="str">
            <v>2</v>
          </cell>
          <cell r="AM2268" t="str">
            <v>Q</v>
          </cell>
          <cell r="AN2268" t="str">
            <v>M0</v>
          </cell>
          <cell r="AO2268" t="str">
            <v>Active(Model)</v>
          </cell>
          <cell r="AP2268" t="str">
            <v/>
          </cell>
          <cell r="AQ2268" t="str">
            <v/>
          </cell>
          <cell r="AR2268" t="str">
            <v>Y</v>
          </cell>
          <cell r="AS2268" t="str">
            <v/>
          </cell>
          <cell r="AT2268" t="str">
            <v>RF</v>
          </cell>
          <cell r="AU2268" t="str">
            <v>Refrigerator</v>
          </cell>
          <cell r="AV2268" t="str">
            <v>RFTM</v>
          </cell>
          <cell r="AW2268" t="str">
            <v>TMNF</v>
          </cell>
          <cell r="AX2268" t="str">
            <v>RFTMTM</v>
          </cell>
          <cell r="AY2268" t="str">
            <v>TMNF</v>
          </cell>
          <cell r="AZ2268" t="str">
            <v>RFTMTMXA</v>
          </cell>
          <cell r="BA2268" t="str">
            <v>X Large REF</v>
          </cell>
        </row>
        <row r="2269">
          <cell r="E2269" t="str">
            <v>LTD46BLMA.AEPPEVN</v>
          </cell>
          <cell r="F2269">
            <v>0</v>
          </cell>
          <cell r="G2269">
            <v>0</v>
          </cell>
          <cell r="H2269">
            <v>0</v>
          </cell>
          <cell r="I2269">
            <v>6</v>
          </cell>
          <cell r="J2269">
            <v>0</v>
          </cell>
          <cell r="K2269">
            <v>87</v>
          </cell>
          <cell r="L2269">
            <v>0</v>
          </cell>
          <cell r="M2269">
            <v>0</v>
          </cell>
          <cell r="N2269">
            <v>2</v>
          </cell>
          <cell r="O2269">
            <v>3</v>
          </cell>
          <cell r="P2269">
            <v>2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 t="str">
            <v>REFPREMIUM</v>
          </cell>
          <cell r="AH2269" t="str">
            <v>REF_Premium</v>
          </cell>
          <cell r="AI2269" t="str">
            <v/>
          </cell>
          <cell r="AJ2269" t="str">
            <v/>
          </cell>
          <cell r="AK2269" t="str">
            <v>1.102563</v>
          </cell>
          <cell r="AL2269" t="str">
            <v>2</v>
          </cell>
          <cell r="AM2269" t="str">
            <v>Q</v>
          </cell>
          <cell r="AN2269" t="str">
            <v>M0</v>
          </cell>
          <cell r="AO2269" t="str">
            <v>Active(Model)</v>
          </cell>
          <cell r="AP2269" t="str">
            <v/>
          </cell>
          <cell r="AQ2269" t="str">
            <v/>
          </cell>
          <cell r="AR2269" t="str">
            <v>Y</v>
          </cell>
          <cell r="AS2269" t="str">
            <v/>
          </cell>
          <cell r="AT2269" t="str">
            <v>RF</v>
          </cell>
          <cell r="AU2269" t="str">
            <v>Refrigerator</v>
          </cell>
          <cell r="AV2269" t="str">
            <v>RFTM</v>
          </cell>
          <cell r="AW2269" t="str">
            <v>TMNF</v>
          </cell>
          <cell r="AX2269" t="str">
            <v>RFTMTM</v>
          </cell>
          <cell r="AY2269" t="str">
            <v>TMNF</v>
          </cell>
          <cell r="AZ2269" t="str">
            <v>RFTMTMXA</v>
          </cell>
          <cell r="BA2269" t="str">
            <v>X Large REF</v>
          </cell>
        </row>
        <row r="2270">
          <cell r="E2270" t="str">
            <v>LTD46SVMA.APYPEVN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20</v>
          </cell>
          <cell r="L2270">
            <v>0</v>
          </cell>
          <cell r="M2270">
            <v>0</v>
          </cell>
          <cell r="N2270">
            <v>0</v>
          </cell>
          <cell r="O2270">
            <v>1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4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 t="str">
            <v>REFPREMIUM</v>
          </cell>
          <cell r="AH2270" t="str">
            <v>REF_Premium</v>
          </cell>
          <cell r="AI2270" t="str">
            <v/>
          </cell>
          <cell r="AJ2270" t="str">
            <v/>
          </cell>
          <cell r="AK2270" t="str">
            <v>1.102563</v>
          </cell>
          <cell r="AL2270" t="str">
            <v>2</v>
          </cell>
          <cell r="AM2270" t="str">
            <v>Q</v>
          </cell>
          <cell r="AN2270" t="str">
            <v>M0</v>
          </cell>
          <cell r="AO2270" t="str">
            <v>Active(Model)</v>
          </cell>
          <cell r="AP2270" t="str">
            <v/>
          </cell>
          <cell r="AQ2270" t="str">
            <v/>
          </cell>
          <cell r="AR2270" t="str">
            <v>Y</v>
          </cell>
          <cell r="AS2270" t="str">
            <v/>
          </cell>
          <cell r="AT2270" t="str">
            <v>RF</v>
          </cell>
          <cell r="AU2270" t="str">
            <v>Refrigerator</v>
          </cell>
          <cell r="AV2270" t="str">
            <v>RFTM</v>
          </cell>
          <cell r="AW2270" t="str">
            <v>TMNF</v>
          </cell>
          <cell r="AX2270" t="str">
            <v>RFTMTM</v>
          </cell>
          <cell r="AY2270" t="str">
            <v>TMNF</v>
          </cell>
          <cell r="AZ2270" t="str">
            <v>RFTMTMXA</v>
          </cell>
          <cell r="BA2270" t="str">
            <v>X Large REF</v>
          </cell>
        </row>
        <row r="2271">
          <cell r="E2271" t="str">
            <v>LZ-H035GBA5.ENWSLEU</v>
          </cell>
          <cell r="F2271">
            <v>1</v>
          </cell>
          <cell r="G2271">
            <v>0</v>
          </cell>
          <cell r="H2271">
            <v>0</v>
          </cell>
          <cell r="I2271">
            <v>1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0</v>
          </cell>
          <cell r="AG2271" t="str">
            <v/>
          </cell>
          <cell r="AH2271" t="str">
            <v/>
          </cell>
          <cell r="AI2271" t="str">
            <v/>
          </cell>
          <cell r="AJ2271" t="str">
            <v/>
          </cell>
          <cell r="AK2271" t="str">
            <v>0.548960</v>
          </cell>
          <cell r="AL2271" t="str">
            <v>0</v>
          </cell>
          <cell r="AM2271" t="str">
            <v>Q</v>
          </cell>
          <cell r="AN2271" t="str">
            <v>M0</v>
          </cell>
          <cell r="AO2271" t="str">
            <v>Active(Model)</v>
          </cell>
          <cell r="AP2271" t="str">
            <v/>
          </cell>
          <cell r="AQ2271" t="str">
            <v/>
          </cell>
          <cell r="AR2271" t="str">
            <v>Y</v>
          </cell>
          <cell r="AS2271" t="str">
            <v/>
          </cell>
          <cell r="AT2271" t="str">
            <v>AC</v>
          </cell>
          <cell r="AU2271" t="str">
            <v>Airconditioner</v>
          </cell>
          <cell r="AV2271" t="str">
            <v>ACVT</v>
          </cell>
          <cell r="AW2271" t="str">
            <v>Ventilation</v>
          </cell>
          <cell r="AX2271" t="str">
            <v>ACVTVT</v>
          </cell>
          <cell r="AY2271" t="str">
            <v>Ventilation</v>
          </cell>
          <cell r="AZ2271" t="str">
            <v>ACVTVTZJ</v>
          </cell>
          <cell r="BA2271" t="str">
            <v>Ventilation</v>
          </cell>
        </row>
        <row r="2272">
          <cell r="E2272" t="str">
            <v>LZ-H050GBA5.ENWSLEU</v>
          </cell>
          <cell r="F2272">
            <v>0</v>
          </cell>
          <cell r="G2272">
            <v>0</v>
          </cell>
          <cell r="H2272">
            <v>0</v>
          </cell>
          <cell r="I2272">
            <v>1</v>
          </cell>
          <cell r="J2272">
            <v>0</v>
          </cell>
          <cell r="K2272">
            <v>0</v>
          </cell>
          <cell r="L2272">
            <v>1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 t="str">
            <v/>
          </cell>
          <cell r="AH2272" t="str">
            <v/>
          </cell>
          <cell r="AI2272" t="str">
            <v/>
          </cell>
          <cell r="AJ2272" t="str">
            <v/>
          </cell>
          <cell r="AK2272" t="str">
            <v>0.548960</v>
          </cell>
          <cell r="AL2272" t="str">
            <v>0</v>
          </cell>
          <cell r="AM2272" t="str">
            <v>Q</v>
          </cell>
          <cell r="AN2272" t="str">
            <v>M0</v>
          </cell>
          <cell r="AO2272" t="str">
            <v>Active(Model)</v>
          </cell>
          <cell r="AP2272" t="str">
            <v/>
          </cell>
          <cell r="AQ2272" t="str">
            <v/>
          </cell>
          <cell r="AR2272" t="str">
            <v>Y</v>
          </cell>
          <cell r="AS2272" t="str">
            <v/>
          </cell>
          <cell r="AT2272" t="str">
            <v>AC</v>
          </cell>
          <cell r="AU2272" t="str">
            <v>Airconditioner</v>
          </cell>
          <cell r="AV2272" t="str">
            <v>ACVT</v>
          </cell>
          <cell r="AW2272" t="str">
            <v>Ventilation</v>
          </cell>
          <cell r="AX2272" t="str">
            <v>ACVTVT</v>
          </cell>
          <cell r="AY2272" t="str">
            <v>Ventilation</v>
          </cell>
          <cell r="AZ2272" t="str">
            <v>ACVTVTZJ</v>
          </cell>
          <cell r="BA2272" t="str">
            <v>Ventilation</v>
          </cell>
        </row>
        <row r="2273">
          <cell r="E2273" t="str">
            <v>LZ-H200GBA5.ENWALEU</v>
          </cell>
          <cell r="F2273">
            <v>0</v>
          </cell>
          <cell r="G2273">
            <v>0</v>
          </cell>
          <cell r="H2273">
            <v>0</v>
          </cell>
          <cell r="I2273">
            <v>4</v>
          </cell>
          <cell r="J2273">
            <v>0</v>
          </cell>
          <cell r="K2273">
            <v>0</v>
          </cell>
          <cell r="L2273">
            <v>4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 t="str">
            <v/>
          </cell>
          <cell r="AH2273" t="str">
            <v/>
          </cell>
          <cell r="AI2273" t="str">
            <v/>
          </cell>
          <cell r="AJ2273" t="str">
            <v/>
          </cell>
          <cell r="AK2273" t="str">
            <v>2.378917</v>
          </cell>
          <cell r="AL2273" t="str">
            <v>0</v>
          </cell>
          <cell r="AM2273" t="str">
            <v>Q</v>
          </cell>
          <cell r="AN2273" t="str">
            <v>M0</v>
          </cell>
          <cell r="AO2273" t="str">
            <v>Active(Model)</v>
          </cell>
          <cell r="AP2273" t="str">
            <v/>
          </cell>
          <cell r="AQ2273" t="str">
            <v/>
          </cell>
          <cell r="AR2273" t="str">
            <v>Y</v>
          </cell>
          <cell r="AS2273" t="str">
            <v/>
          </cell>
          <cell r="AT2273" t="str">
            <v>AC</v>
          </cell>
          <cell r="AU2273" t="str">
            <v>Airconditioner</v>
          </cell>
          <cell r="AV2273" t="str">
            <v>ACVT</v>
          </cell>
          <cell r="AW2273" t="str">
            <v>Ventilation</v>
          </cell>
          <cell r="AX2273" t="str">
            <v>ACVTVT</v>
          </cell>
          <cell r="AY2273" t="str">
            <v>Ventilation</v>
          </cell>
          <cell r="AZ2273" t="str">
            <v>ACVTVTZJ</v>
          </cell>
          <cell r="BA2273" t="str">
            <v>Ventilation</v>
          </cell>
        </row>
        <row r="2274">
          <cell r="E2274" t="str">
            <v>MINI.AASALBK</v>
          </cell>
          <cell r="F2274">
            <v>10</v>
          </cell>
          <cell r="G2274">
            <v>0</v>
          </cell>
          <cell r="H2274">
            <v>0</v>
          </cell>
          <cell r="I2274">
            <v>37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0</v>
          </cell>
          <cell r="AG2274" t="str">
            <v/>
          </cell>
          <cell r="AH2274" t="str">
            <v/>
          </cell>
          <cell r="AI2274" t="str">
            <v/>
          </cell>
          <cell r="AJ2274" t="str">
            <v/>
          </cell>
          <cell r="AK2274" t="str">
            <v>0.000793</v>
          </cell>
          <cell r="AL2274" t="str">
            <v>0</v>
          </cell>
          <cell r="AM2274" t="str">
            <v>Q</v>
          </cell>
          <cell r="AN2274" t="str">
            <v>M0</v>
          </cell>
          <cell r="AO2274" t="str">
            <v>Active(Model)</v>
          </cell>
          <cell r="AP2274" t="str">
            <v/>
          </cell>
          <cell r="AQ2274" t="str">
            <v/>
          </cell>
          <cell r="AR2274" t="str">
            <v>Y</v>
          </cell>
          <cell r="AS2274" t="str">
            <v/>
          </cell>
          <cell r="AT2274" t="str">
            <v>AO</v>
          </cell>
          <cell r="AU2274" t="str">
            <v>AO</v>
          </cell>
          <cell r="AV2274" t="str">
            <v>AOAA</v>
          </cell>
          <cell r="AW2274" t="str">
            <v>Home Audio_OS</v>
          </cell>
          <cell r="AX2274" t="str">
            <v>AOAADS</v>
          </cell>
          <cell r="AY2274" t="str">
            <v>Wireless Speaker_OS</v>
          </cell>
          <cell r="AZ2274" t="str">
            <v>AOAADSPS</v>
          </cell>
          <cell r="BA2274" t="str">
            <v>Bluetooth Speaker_OS</v>
          </cell>
        </row>
        <row r="2275">
          <cell r="E2275" t="str">
            <v>MR26GC.ATV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 t="str">
            <v/>
          </cell>
          <cell r="AH2275" t="str">
            <v/>
          </cell>
          <cell r="AI2275" t="str">
            <v/>
          </cell>
          <cell r="AJ2275" t="str">
            <v/>
          </cell>
          <cell r="AK2275" t="str">
            <v>0.000000</v>
          </cell>
          <cell r="AL2275" t="str">
            <v>2</v>
          </cell>
          <cell r="AM2275" t="str">
            <v>Q</v>
          </cell>
          <cell r="AN2275" t="str">
            <v>M0</v>
          </cell>
          <cell r="AO2275" t="str">
            <v>Active(Model)</v>
          </cell>
          <cell r="AP2275" t="str">
            <v/>
          </cell>
          <cell r="AQ2275" t="str">
            <v/>
          </cell>
          <cell r="AR2275" t="str">
            <v>Y</v>
          </cell>
          <cell r="AS2275" t="str">
            <v/>
          </cell>
          <cell r="AT2275" t="str">
            <v>TV</v>
          </cell>
          <cell r="AU2275" t="str">
            <v>TV</v>
          </cell>
          <cell r="AV2275" t="str">
            <v>TVAC</v>
          </cell>
          <cell r="AW2275" t="str">
            <v>TV Accessory</v>
          </cell>
          <cell r="AX2275" t="str">
            <v>TVACEA</v>
          </cell>
          <cell r="AY2275" t="str">
            <v>TV etc.(Except for PDP TV)</v>
          </cell>
          <cell r="AZ2275" t="str">
            <v>TVACEANN</v>
          </cell>
          <cell r="BA2275" t="str">
            <v>TV etc.(Except for PDP TV)</v>
          </cell>
        </row>
        <row r="2276">
          <cell r="E2276" t="str">
            <v>MS2032GAS.BBKPLVN</v>
          </cell>
          <cell r="F2276">
            <v>40</v>
          </cell>
          <cell r="G2276">
            <v>0</v>
          </cell>
          <cell r="H2276">
            <v>0</v>
          </cell>
          <cell r="I2276">
            <v>159</v>
          </cell>
          <cell r="J2276">
            <v>6</v>
          </cell>
          <cell r="K2276">
            <v>0</v>
          </cell>
          <cell r="L2276">
            <v>0</v>
          </cell>
          <cell r="M2276">
            <v>0</v>
          </cell>
          <cell r="N2276">
            <v>21</v>
          </cell>
          <cell r="O2276">
            <v>42</v>
          </cell>
          <cell r="P2276">
            <v>21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6</v>
          </cell>
          <cell r="AD2276">
            <v>32</v>
          </cell>
          <cell r="AE2276">
            <v>5</v>
          </cell>
          <cell r="AF2276">
            <v>38</v>
          </cell>
          <cell r="AG2276" t="str">
            <v>MWOPREMIUM</v>
          </cell>
          <cell r="AH2276" t="str">
            <v>MWO_Premium</v>
          </cell>
          <cell r="AI2276" t="str">
            <v/>
          </cell>
          <cell r="AJ2276" t="str">
            <v/>
          </cell>
          <cell r="AK2276" t="str">
            <v>0.060864</v>
          </cell>
          <cell r="AL2276" t="str">
            <v>2</v>
          </cell>
          <cell r="AM2276" t="str">
            <v>Q</v>
          </cell>
          <cell r="AN2276" t="str">
            <v>M0</v>
          </cell>
          <cell r="AO2276" t="str">
            <v>Active(Model)</v>
          </cell>
          <cell r="AP2276" t="str">
            <v/>
          </cell>
          <cell r="AQ2276" t="str">
            <v/>
          </cell>
          <cell r="AR2276" t="str">
            <v>Y</v>
          </cell>
          <cell r="AS2276" t="str">
            <v/>
          </cell>
          <cell r="AT2276" t="str">
            <v>CA</v>
          </cell>
          <cell r="AU2276" t="str">
            <v>Cooking Appliance</v>
          </cell>
          <cell r="AV2276" t="str">
            <v>CAMW</v>
          </cell>
          <cell r="AW2276" t="str">
            <v>MWO</v>
          </cell>
          <cell r="AX2276" t="str">
            <v>CAMWCT</v>
          </cell>
          <cell r="AY2276" t="str">
            <v>C/Top_MWO</v>
          </cell>
          <cell r="AZ2276" t="str">
            <v>CAMWCTSF</v>
          </cell>
          <cell r="BA2276" t="str">
            <v>Solo(C/Top)</v>
          </cell>
        </row>
        <row r="2277">
          <cell r="E2277" t="str">
            <v>MS2032GIK.BSEPLVN</v>
          </cell>
          <cell r="F2277">
            <v>0</v>
          </cell>
          <cell r="G2277">
            <v>0</v>
          </cell>
          <cell r="H2277">
            <v>0</v>
          </cell>
          <cell r="I2277">
            <v>12</v>
          </cell>
          <cell r="J2277">
            <v>0</v>
          </cell>
          <cell r="K2277">
            <v>0</v>
          </cell>
          <cell r="L2277">
            <v>0</v>
          </cell>
          <cell r="M2277">
            <v>1</v>
          </cell>
          <cell r="N2277">
            <v>0</v>
          </cell>
          <cell r="O2277">
            <v>1</v>
          </cell>
          <cell r="P2277">
            <v>1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161</v>
          </cell>
          <cell r="AB2277">
            <v>0</v>
          </cell>
          <cell r="AC2277">
            <v>4</v>
          </cell>
          <cell r="AD2277">
            <v>2</v>
          </cell>
          <cell r="AE2277">
            <v>2</v>
          </cell>
          <cell r="AF2277">
            <v>6</v>
          </cell>
          <cell r="AG2277" t="str">
            <v>MWOPREMIUM</v>
          </cell>
          <cell r="AH2277" t="str">
            <v>MWO_Premium</v>
          </cell>
          <cell r="AI2277" t="str">
            <v/>
          </cell>
          <cell r="AJ2277" t="str">
            <v/>
          </cell>
          <cell r="AK2277" t="str">
            <v>0.060864</v>
          </cell>
          <cell r="AL2277" t="str">
            <v>2</v>
          </cell>
          <cell r="AM2277" t="str">
            <v>Q</v>
          </cell>
          <cell r="AN2277" t="str">
            <v>M0</v>
          </cell>
          <cell r="AO2277" t="str">
            <v>Active(Model)</v>
          </cell>
          <cell r="AP2277" t="str">
            <v/>
          </cell>
          <cell r="AQ2277" t="str">
            <v/>
          </cell>
          <cell r="AR2277" t="str">
            <v>Y</v>
          </cell>
          <cell r="AS2277" t="str">
            <v/>
          </cell>
          <cell r="AT2277" t="str">
            <v>CA</v>
          </cell>
          <cell r="AU2277" t="str">
            <v>Cooking Appliance</v>
          </cell>
          <cell r="AV2277" t="str">
            <v>CAMW</v>
          </cell>
          <cell r="AW2277" t="str">
            <v>MWO</v>
          </cell>
          <cell r="AX2277" t="str">
            <v>CAMWCT</v>
          </cell>
          <cell r="AY2277" t="str">
            <v>C/Top_MWO</v>
          </cell>
          <cell r="AZ2277" t="str">
            <v>CAMWCTSF</v>
          </cell>
          <cell r="BA2277" t="str">
            <v>Solo(C/Top)</v>
          </cell>
        </row>
        <row r="2278">
          <cell r="E2278" t="str">
            <v>MS2535GIK.BSEPLVN</v>
          </cell>
          <cell r="F2278">
            <v>0</v>
          </cell>
          <cell r="G2278">
            <v>0</v>
          </cell>
          <cell r="H2278">
            <v>0</v>
          </cell>
          <cell r="I2278">
            <v>1</v>
          </cell>
          <cell r="J2278">
            <v>1</v>
          </cell>
          <cell r="K2278">
            <v>0</v>
          </cell>
          <cell r="L2278">
            <v>0</v>
          </cell>
          <cell r="M2278">
            <v>0</v>
          </cell>
          <cell r="N2278">
            <v>1</v>
          </cell>
          <cell r="O2278">
            <v>0</v>
          </cell>
          <cell r="P2278">
            <v>1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0</v>
          </cell>
          <cell r="AG2278" t="str">
            <v>MWOPREMIUM</v>
          </cell>
          <cell r="AH2278" t="str">
            <v>MWO_Premium</v>
          </cell>
          <cell r="AI2278" t="str">
            <v/>
          </cell>
          <cell r="AJ2278" t="str">
            <v/>
          </cell>
          <cell r="AK2278" t="str">
            <v>0.066203</v>
          </cell>
          <cell r="AL2278" t="str">
            <v>2</v>
          </cell>
          <cell r="AM2278" t="str">
            <v>Q</v>
          </cell>
          <cell r="AN2278" t="str">
            <v>M0</v>
          </cell>
          <cell r="AO2278" t="str">
            <v>Active(Model)</v>
          </cell>
          <cell r="AP2278" t="str">
            <v/>
          </cell>
          <cell r="AQ2278" t="str">
            <v/>
          </cell>
          <cell r="AR2278" t="str">
            <v>Y</v>
          </cell>
          <cell r="AS2278" t="str">
            <v/>
          </cell>
          <cell r="AT2278" t="str">
            <v>CA</v>
          </cell>
          <cell r="AU2278" t="str">
            <v>Cooking Appliance</v>
          </cell>
          <cell r="AV2278" t="str">
            <v>CAMW</v>
          </cell>
          <cell r="AW2278" t="str">
            <v>MWO</v>
          </cell>
          <cell r="AX2278" t="str">
            <v>CAMWCT</v>
          </cell>
          <cell r="AY2278" t="str">
            <v>C/Top_MWO</v>
          </cell>
          <cell r="AZ2278" t="str">
            <v>CAMWCTSF</v>
          </cell>
          <cell r="BA2278" t="str">
            <v>Solo(C/Top)</v>
          </cell>
        </row>
        <row r="2279">
          <cell r="E2279" t="str">
            <v>MS3032JAS.BBKPLVN</v>
          </cell>
          <cell r="F2279">
            <v>79</v>
          </cell>
          <cell r="G2279">
            <v>0</v>
          </cell>
          <cell r="H2279">
            <v>0</v>
          </cell>
          <cell r="I2279">
            <v>101</v>
          </cell>
          <cell r="J2279">
            <v>1</v>
          </cell>
          <cell r="K2279">
            <v>0</v>
          </cell>
          <cell r="L2279">
            <v>0</v>
          </cell>
          <cell r="M2279">
            <v>0</v>
          </cell>
          <cell r="N2279">
            <v>10</v>
          </cell>
          <cell r="O2279">
            <v>17</v>
          </cell>
          <cell r="P2279">
            <v>10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 t="str">
            <v>MWOPREMIUM</v>
          </cell>
          <cell r="AH2279" t="str">
            <v>MWO_Premium</v>
          </cell>
          <cell r="AI2279" t="str">
            <v/>
          </cell>
          <cell r="AJ2279" t="str">
            <v/>
          </cell>
          <cell r="AK2279" t="str">
            <v>0.091295</v>
          </cell>
          <cell r="AL2279" t="str">
            <v>2</v>
          </cell>
          <cell r="AM2279" t="str">
            <v>Q</v>
          </cell>
          <cell r="AN2279" t="str">
            <v>M0</v>
          </cell>
          <cell r="AO2279" t="str">
            <v>Active(Model)</v>
          </cell>
          <cell r="AP2279" t="str">
            <v/>
          </cell>
          <cell r="AQ2279" t="str">
            <v/>
          </cell>
          <cell r="AR2279" t="str">
            <v>Y</v>
          </cell>
          <cell r="AS2279" t="str">
            <v/>
          </cell>
          <cell r="AT2279" t="str">
            <v>CA</v>
          </cell>
          <cell r="AU2279" t="str">
            <v>Cooking Appliance</v>
          </cell>
          <cell r="AV2279" t="str">
            <v>CAMW</v>
          </cell>
          <cell r="AW2279" t="str">
            <v>MWO</v>
          </cell>
          <cell r="AX2279" t="str">
            <v>CAMWCT</v>
          </cell>
          <cell r="AY2279" t="str">
            <v>C/Top_MWO</v>
          </cell>
          <cell r="AZ2279" t="str">
            <v>CAMWCTSF</v>
          </cell>
          <cell r="BA2279" t="str">
            <v>Solo(C/Top)</v>
          </cell>
        </row>
        <row r="2280">
          <cell r="E2280" t="str">
            <v>OLED48B6PSA.ATV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2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 t="str">
            <v>LCDPREPLUS</v>
          </cell>
          <cell r="AH2280" t="str">
            <v>LCD_Premium Plus</v>
          </cell>
          <cell r="AI2280" t="str">
            <v/>
          </cell>
          <cell r="AJ2280" t="str">
            <v/>
          </cell>
          <cell r="AK2280" t="str">
            <v>0.136484</v>
          </cell>
          <cell r="AL2280" t="str">
            <v>2</v>
          </cell>
          <cell r="AM2280" t="str">
            <v>Q</v>
          </cell>
          <cell r="AN2280" t="str">
            <v>M0</v>
          </cell>
          <cell r="AO2280" t="str">
            <v>Active(Model)</v>
          </cell>
          <cell r="AP2280" t="str">
            <v/>
          </cell>
          <cell r="AQ2280" t="str">
            <v/>
          </cell>
          <cell r="AR2280" t="str">
            <v>Y</v>
          </cell>
          <cell r="AS2280" t="str">
            <v/>
          </cell>
          <cell r="AT2280" t="str">
            <v>TV</v>
          </cell>
          <cell r="AU2280" t="str">
            <v>TV</v>
          </cell>
          <cell r="AV2280" t="str">
            <v>TVLO</v>
          </cell>
          <cell r="AW2280" t="str">
            <v>OLED TV</v>
          </cell>
          <cell r="AX2280" t="str">
            <v>TVLO48</v>
          </cell>
          <cell r="AY2280" t="str">
            <v>OLED TV 48</v>
          </cell>
          <cell r="AZ2280" t="str">
            <v>TVLO48NU</v>
          </cell>
          <cell r="BA2280" t="str">
            <v>OLED TV 48 (UD)</v>
          </cell>
        </row>
        <row r="2281">
          <cell r="E2281" t="str">
            <v>OLED55B6ESA.ATV</v>
          </cell>
          <cell r="F2281">
            <v>53</v>
          </cell>
          <cell r="G2281">
            <v>0</v>
          </cell>
          <cell r="H2281">
            <v>0</v>
          </cell>
          <cell r="I2281">
            <v>53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45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 t="str">
            <v/>
          </cell>
          <cell r="AH2281" t="str">
            <v/>
          </cell>
          <cell r="AI2281" t="str">
            <v/>
          </cell>
          <cell r="AJ2281" t="str">
            <v/>
          </cell>
          <cell r="AK2281" t="str">
            <v>0.189475</v>
          </cell>
          <cell r="AL2281" t="str">
            <v>2</v>
          </cell>
          <cell r="AM2281" t="str">
            <v>Q</v>
          </cell>
          <cell r="AN2281" t="str">
            <v>M0</v>
          </cell>
          <cell r="AO2281" t="str">
            <v>Active(Model)</v>
          </cell>
          <cell r="AP2281" t="str">
            <v/>
          </cell>
          <cell r="AQ2281" t="str">
            <v/>
          </cell>
          <cell r="AR2281" t="str">
            <v>Y</v>
          </cell>
          <cell r="AS2281" t="str">
            <v/>
          </cell>
          <cell r="AT2281" t="str">
            <v>TV</v>
          </cell>
          <cell r="AU2281" t="str">
            <v>TV</v>
          </cell>
          <cell r="AV2281" t="str">
            <v>TVLO</v>
          </cell>
          <cell r="AW2281" t="str">
            <v>OLED TV</v>
          </cell>
          <cell r="AX2281" t="str">
            <v>TVLO55</v>
          </cell>
          <cell r="AY2281" t="str">
            <v>OLED TV 55</v>
          </cell>
          <cell r="AZ2281" t="str">
            <v>TVLO55NU</v>
          </cell>
          <cell r="BA2281" t="str">
            <v>OLED TV 55 (UD)</v>
          </cell>
        </row>
        <row r="2282">
          <cell r="E2282" t="str">
            <v>OLED55B6PSA.ATV</v>
          </cell>
          <cell r="F2282">
            <v>78</v>
          </cell>
          <cell r="G2282">
            <v>0</v>
          </cell>
          <cell r="H2282">
            <v>0</v>
          </cell>
          <cell r="I2282">
            <v>91</v>
          </cell>
          <cell r="J2282">
            <v>2</v>
          </cell>
          <cell r="K2282">
            <v>0</v>
          </cell>
          <cell r="L2282">
            <v>0</v>
          </cell>
          <cell r="M2282">
            <v>1</v>
          </cell>
          <cell r="N2282">
            <v>7</v>
          </cell>
          <cell r="O2282">
            <v>11</v>
          </cell>
          <cell r="P2282">
            <v>8</v>
          </cell>
          <cell r="Q2282">
            <v>96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8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 t="str">
            <v>LCDPREPLUS</v>
          </cell>
          <cell r="AH2282" t="str">
            <v>LCD_Premium Plus</v>
          </cell>
          <cell r="AI2282" t="str">
            <v/>
          </cell>
          <cell r="AJ2282" t="str">
            <v/>
          </cell>
          <cell r="AK2282" t="str">
            <v>0.189475</v>
          </cell>
          <cell r="AL2282" t="str">
            <v>2</v>
          </cell>
          <cell r="AM2282" t="str">
            <v>Q</v>
          </cell>
          <cell r="AN2282" t="str">
            <v>M0</v>
          </cell>
          <cell r="AO2282" t="str">
            <v>Active(Model)</v>
          </cell>
          <cell r="AP2282" t="str">
            <v/>
          </cell>
          <cell r="AQ2282" t="str">
            <v/>
          </cell>
          <cell r="AR2282" t="str">
            <v>Y</v>
          </cell>
          <cell r="AS2282" t="str">
            <v/>
          </cell>
          <cell r="AT2282" t="str">
            <v>TV</v>
          </cell>
          <cell r="AU2282" t="str">
            <v>TV</v>
          </cell>
          <cell r="AV2282" t="str">
            <v>TVLO</v>
          </cell>
          <cell r="AW2282" t="str">
            <v>OLED TV</v>
          </cell>
          <cell r="AX2282" t="str">
            <v>TVLO55</v>
          </cell>
          <cell r="AY2282" t="str">
            <v>OLED TV 55</v>
          </cell>
          <cell r="AZ2282" t="str">
            <v>TVLO55NU</v>
          </cell>
          <cell r="BA2282" t="str">
            <v>OLED TV 55 (UD)</v>
          </cell>
        </row>
        <row r="2283">
          <cell r="E2283" t="str">
            <v>OLED55C6PSA.ATV</v>
          </cell>
          <cell r="F2283">
            <v>143</v>
          </cell>
          <cell r="G2283">
            <v>0</v>
          </cell>
          <cell r="H2283">
            <v>0</v>
          </cell>
          <cell r="I2283">
            <v>160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7</v>
          </cell>
          <cell r="O2283">
            <v>27</v>
          </cell>
          <cell r="P2283">
            <v>7</v>
          </cell>
          <cell r="Q2283">
            <v>2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1</v>
          </cell>
          <cell r="AD2283">
            <v>0</v>
          </cell>
          <cell r="AE2283">
            <v>0</v>
          </cell>
          <cell r="AF2283">
            <v>1</v>
          </cell>
          <cell r="AG2283" t="str">
            <v>LCDPREPLUS</v>
          </cell>
          <cell r="AH2283" t="str">
            <v>LCD_Premium Plus</v>
          </cell>
          <cell r="AI2283" t="str">
            <v/>
          </cell>
          <cell r="AJ2283" t="str">
            <v/>
          </cell>
          <cell r="AK2283" t="str">
            <v>0.205999</v>
          </cell>
          <cell r="AL2283" t="str">
            <v>2</v>
          </cell>
          <cell r="AM2283" t="str">
            <v>Q</v>
          </cell>
          <cell r="AN2283" t="str">
            <v>M0</v>
          </cell>
          <cell r="AO2283" t="str">
            <v>Active(Model)</v>
          </cell>
          <cell r="AP2283" t="str">
            <v/>
          </cell>
          <cell r="AQ2283" t="str">
            <v/>
          </cell>
          <cell r="AR2283" t="str">
            <v>Y</v>
          </cell>
          <cell r="AS2283" t="str">
            <v/>
          </cell>
          <cell r="AT2283" t="str">
            <v>TV</v>
          </cell>
          <cell r="AU2283" t="str">
            <v>TV</v>
          </cell>
          <cell r="AV2283" t="str">
            <v>TVLO</v>
          </cell>
          <cell r="AW2283" t="str">
            <v>OLED TV</v>
          </cell>
          <cell r="AX2283" t="str">
            <v>TVLO55</v>
          </cell>
          <cell r="AY2283" t="str">
            <v>OLED TV 55</v>
          </cell>
          <cell r="AZ2283" t="str">
            <v>TVLO55NU</v>
          </cell>
          <cell r="BA2283" t="str">
            <v>OLED TV 55 (UD)</v>
          </cell>
        </row>
        <row r="2284">
          <cell r="E2284" t="str">
            <v>OLED55G6PSA.ATV</v>
          </cell>
          <cell r="F2284">
            <v>25</v>
          </cell>
          <cell r="G2284">
            <v>0</v>
          </cell>
          <cell r="H2284">
            <v>0</v>
          </cell>
          <cell r="I2284">
            <v>37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7</v>
          </cell>
          <cell r="O2284">
            <v>8</v>
          </cell>
          <cell r="P2284">
            <v>7</v>
          </cell>
          <cell r="Q2284">
            <v>20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0</v>
          </cell>
          <cell r="AF2284">
            <v>0</v>
          </cell>
          <cell r="AG2284" t="str">
            <v>LCDPREPLUS</v>
          </cell>
          <cell r="AH2284" t="str">
            <v>LCD_Premium Plus</v>
          </cell>
          <cell r="AI2284" t="str">
            <v/>
          </cell>
          <cell r="AJ2284" t="str">
            <v/>
          </cell>
          <cell r="AK2284" t="str">
            <v>0.189475</v>
          </cell>
          <cell r="AL2284" t="str">
            <v>2</v>
          </cell>
          <cell r="AM2284" t="str">
            <v>Q</v>
          </cell>
          <cell r="AN2284" t="str">
            <v>M0</v>
          </cell>
          <cell r="AO2284" t="str">
            <v>Active(Model)</v>
          </cell>
          <cell r="AP2284" t="str">
            <v/>
          </cell>
          <cell r="AQ2284" t="str">
            <v/>
          </cell>
          <cell r="AR2284" t="str">
            <v>Y</v>
          </cell>
          <cell r="AS2284" t="str">
            <v/>
          </cell>
          <cell r="AT2284" t="str">
            <v>TV</v>
          </cell>
          <cell r="AU2284" t="str">
            <v>TV</v>
          </cell>
          <cell r="AV2284" t="str">
            <v>TVLV</v>
          </cell>
          <cell r="AW2284" t="str">
            <v>Premium OLED TV</v>
          </cell>
          <cell r="AX2284" t="str">
            <v>TVLV55</v>
          </cell>
          <cell r="AY2284" t="str">
            <v>Premium OLED TV 55</v>
          </cell>
          <cell r="AZ2284" t="str">
            <v>TVLV55NU</v>
          </cell>
          <cell r="BA2284" t="str">
            <v>Premium OLED TV 55 (UD)</v>
          </cell>
        </row>
        <row r="2285">
          <cell r="E2285" t="str">
            <v>OLED65B6ESA.ATV</v>
          </cell>
          <cell r="F2285">
            <v>39</v>
          </cell>
          <cell r="G2285">
            <v>0</v>
          </cell>
          <cell r="H2285">
            <v>0</v>
          </cell>
          <cell r="I2285">
            <v>39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33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 t="str">
            <v/>
          </cell>
          <cell r="AH2285" t="str">
            <v/>
          </cell>
          <cell r="AI2285" t="str">
            <v/>
          </cell>
          <cell r="AJ2285" t="str">
            <v/>
          </cell>
          <cell r="AK2285" t="str">
            <v>0.261440</v>
          </cell>
          <cell r="AL2285" t="str">
            <v>2</v>
          </cell>
          <cell r="AM2285" t="str">
            <v>Q</v>
          </cell>
          <cell r="AN2285" t="str">
            <v>M0</v>
          </cell>
          <cell r="AO2285" t="str">
            <v>Active(Model)</v>
          </cell>
          <cell r="AP2285" t="str">
            <v/>
          </cell>
          <cell r="AQ2285" t="str">
            <v/>
          </cell>
          <cell r="AR2285" t="str">
            <v>Y</v>
          </cell>
          <cell r="AS2285" t="str">
            <v/>
          </cell>
          <cell r="AT2285" t="str">
            <v>TV</v>
          </cell>
          <cell r="AU2285" t="str">
            <v>TV</v>
          </cell>
          <cell r="AV2285" t="str">
            <v>TVLO</v>
          </cell>
          <cell r="AW2285" t="str">
            <v>OLED TV</v>
          </cell>
          <cell r="AX2285" t="str">
            <v>TVLO65</v>
          </cell>
          <cell r="AY2285" t="str">
            <v>OLED TV 65</v>
          </cell>
          <cell r="AZ2285" t="str">
            <v>TVLO65NU</v>
          </cell>
          <cell r="BA2285" t="str">
            <v>OLED TV 65 (UD)</v>
          </cell>
        </row>
        <row r="2286">
          <cell r="E2286" t="str">
            <v>OLED65B6PSA.ATV</v>
          </cell>
          <cell r="F2286">
            <v>0</v>
          </cell>
          <cell r="G2286">
            <v>0</v>
          </cell>
          <cell r="H2286">
            <v>0</v>
          </cell>
          <cell r="I2286">
            <v>4</v>
          </cell>
          <cell r="J2286">
            <v>0</v>
          </cell>
          <cell r="K2286">
            <v>9</v>
          </cell>
          <cell r="L2286">
            <v>0</v>
          </cell>
          <cell r="M2286">
            <v>0</v>
          </cell>
          <cell r="N2286">
            <v>0</v>
          </cell>
          <cell r="O2286">
            <v>3</v>
          </cell>
          <cell r="P2286">
            <v>0</v>
          </cell>
          <cell r="Q2286">
            <v>51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11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 t="str">
            <v>LCDPREPLUS</v>
          </cell>
          <cell r="AH2286" t="str">
            <v>LCD_Premium Plus</v>
          </cell>
          <cell r="AI2286" t="str">
            <v/>
          </cell>
          <cell r="AJ2286" t="str">
            <v/>
          </cell>
          <cell r="AK2286" t="str">
            <v>0.261440</v>
          </cell>
          <cell r="AL2286" t="str">
            <v>2</v>
          </cell>
          <cell r="AM2286" t="str">
            <v>Q</v>
          </cell>
          <cell r="AN2286" t="str">
            <v>M0</v>
          </cell>
          <cell r="AO2286" t="str">
            <v>Active(Model)</v>
          </cell>
          <cell r="AP2286" t="str">
            <v/>
          </cell>
          <cell r="AQ2286" t="str">
            <v/>
          </cell>
          <cell r="AR2286" t="str">
            <v>Y</v>
          </cell>
          <cell r="AS2286" t="str">
            <v/>
          </cell>
          <cell r="AT2286" t="str">
            <v>TV</v>
          </cell>
          <cell r="AU2286" t="str">
            <v>TV</v>
          </cell>
          <cell r="AV2286" t="str">
            <v>TVLO</v>
          </cell>
          <cell r="AW2286" t="str">
            <v>OLED TV</v>
          </cell>
          <cell r="AX2286" t="str">
            <v>TVLO65</v>
          </cell>
          <cell r="AY2286" t="str">
            <v>OLED TV 65</v>
          </cell>
          <cell r="AZ2286" t="str">
            <v>TVLO65NU</v>
          </cell>
          <cell r="BA2286" t="str">
            <v>OLED TV 65 (UD)</v>
          </cell>
        </row>
        <row r="2287">
          <cell r="E2287" t="str">
            <v>OLED65C6PSA.ATV</v>
          </cell>
          <cell r="F2287">
            <v>84</v>
          </cell>
          <cell r="G2287">
            <v>0</v>
          </cell>
          <cell r="H2287">
            <v>0</v>
          </cell>
          <cell r="I2287">
            <v>128</v>
          </cell>
          <cell r="J2287">
            <v>3</v>
          </cell>
          <cell r="K2287">
            <v>0</v>
          </cell>
          <cell r="L2287">
            <v>0</v>
          </cell>
          <cell r="M2287">
            <v>1</v>
          </cell>
          <cell r="N2287">
            <v>13</v>
          </cell>
          <cell r="O2287">
            <v>32</v>
          </cell>
          <cell r="P2287">
            <v>14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1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20</v>
          </cell>
          <cell r="AE2287">
            <v>0</v>
          </cell>
          <cell r="AF2287">
            <v>20</v>
          </cell>
          <cell r="AG2287" t="str">
            <v>LCDPREPLUS</v>
          </cell>
          <cell r="AH2287" t="str">
            <v>LCD_Premium Plus</v>
          </cell>
          <cell r="AI2287" t="str">
            <v/>
          </cell>
          <cell r="AJ2287" t="str">
            <v/>
          </cell>
          <cell r="AK2287" t="str">
            <v>0.304000</v>
          </cell>
          <cell r="AL2287" t="str">
            <v>2</v>
          </cell>
          <cell r="AM2287" t="str">
            <v>Q</v>
          </cell>
          <cell r="AN2287" t="str">
            <v>M0</v>
          </cell>
          <cell r="AO2287" t="str">
            <v>Active(Model)</v>
          </cell>
          <cell r="AP2287" t="str">
            <v/>
          </cell>
          <cell r="AQ2287" t="str">
            <v/>
          </cell>
          <cell r="AR2287" t="str">
            <v>Y</v>
          </cell>
          <cell r="AS2287" t="str">
            <v/>
          </cell>
          <cell r="AT2287" t="str">
            <v>TV</v>
          </cell>
          <cell r="AU2287" t="str">
            <v>TV</v>
          </cell>
          <cell r="AV2287" t="str">
            <v>TVLO</v>
          </cell>
          <cell r="AW2287" t="str">
            <v>OLED TV</v>
          </cell>
          <cell r="AX2287" t="str">
            <v>TVLO65</v>
          </cell>
          <cell r="AY2287" t="str">
            <v>OLED TV 65</v>
          </cell>
          <cell r="AZ2287" t="str">
            <v>TVLO65NU</v>
          </cell>
          <cell r="BA2287" t="str">
            <v>OLED TV 65 (UD)</v>
          </cell>
        </row>
        <row r="2288">
          <cell r="E2288" t="str">
            <v>OLED65G6PSA.ATV</v>
          </cell>
          <cell r="F2288">
            <v>0</v>
          </cell>
          <cell r="G2288">
            <v>0</v>
          </cell>
          <cell r="H2288">
            <v>0</v>
          </cell>
          <cell r="I2288">
            <v>9</v>
          </cell>
          <cell r="J2288">
            <v>0</v>
          </cell>
          <cell r="K2288">
            <v>2</v>
          </cell>
          <cell r="L2288">
            <v>0</v>
          </cell>
          <cell r="M2288">
            <v>0</v>
          </cell>
          <cell r="N2288">
            <v>7</v>
          </cell>
          <cell r="O2288">
            <v>9</v>
          </cell>
          <cell r="P2288">
            <v>7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1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 t="str">
            <v>LCDPREPLUS</v>
          </cell>
          <cell r="AH2288" t="str">
            <v>LCD_Premium Plus</v>
          </cell>
          <cell r="AI2288" t="str">
            <v/>
          </cell>
          <cell r="AJ2288" t="str">
            <v/>
          </cell>
          <cell r="AK2288" t="str">
            <v>0.266944</v>
          </cell>
          <cell r="AL2288" t="str">
            <v>2</v>
          </cell>
          <cell r="AM2288" t="str">
            <v>Q</v>
          </cell>
          <cell r="AN2288" t="str">
            <v>M0</v>
          </cell>
          <cell r="AO2288" t="str">
            <v>Active(Model)</v>
          </cell>
          <cell r="AP2288" t="str">
            <v/>
          </cell>
          <cell r="AQ2288" t="str">
            <v/>
          </cell>
          <cell r="AR2288" t="str">
            <v>Y</v>
          </cell>
          <cell r="AS2288" t="str">
            <v/>
          </cell>
          <cell r="AT2288" t="str">
            <v>TV</v>
          </cell>
          <cell r="AU2288" t="str">
            <v>TV</v>
          </cell>
          <cell r="AV2288" t="str">
            <v>TVLV</v>
          </cell>
          <cell r="AW2288" t="str">
            <v>Premium OLED TV</v>
          </cell>
          <cell r="AX2288" t="str">
            <v>TVLV65</v>
          </cell>
          <cell r="AY2288" t="str">
            <v>Premium OLED TV 65</v>
          </cell>
          <cell r="AZ2288" t="str">
            <v>TVLV65NU</v>
          </cell>
          <cell r="BA2288" t="str">
            <v>Premium OLED TV 65 (UD)</v>
          </cell>
        </row>
        <row r="2289">
          <cell r="E2289" t="str">
            <v>OLED77B6PSA.ATV</v>
          </cell>
          <cell r="F2289">
            <v>16</v>
          </cell>
          <cell r="G2289">
            <v>0</v>
          </cell>
          <cell r="H2289">
            <v>0</v>
          </cell>
          <cell r="I2289">
            <v>35</v>
          </cell>
          <cell r="J2289">
            <v>1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1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5</v>
          </cell>
          <cell r="AE2289">
            <v>0</v>
          </cell>
          <cell r="AF2289">
            <v>5</v>
          </cell>
          <cell r="AG2289" t="str">
            <v>LCDPREPLUS</v>
          </cell>
          <cell r="AH2289" t="str">
            <v>LCD_Premium Plus</v>
          </cell>
          <cell r="AI2289" t="str">
            <v/>
          </cell>
          <cell r="AJ2289" t="str">
            <v/>
          </cell>
          <cell r="AK2289" t="str">
            <v>0.415614</v>
          </cell>
          <cell r="AL2289" t="str">
            <v>2</v>
          </cell>
          <cell r="AM2289" t="str">
            <v>Q</v>
          </cell>
          <cell r="AN2289" t="str">
            <v>M0</v>
          </cell>
          <cell r="AO2289" t="str">
            <v>Active(Model)</v>
          </cell>
          <cell r="AP2289" t="str">
            <v/>
          </cell>
          <cell r="AQ2289" t="str">
            <v/>
          </cell>
          <cell r="AR2289" t="str">
            <v>Y</v>
          </cell>
          <cell r="AS2289" t="str">
            <v/>
          </cell>
          <cell r="AT2289" t="str">
            <v>TV</v>
          </cell>
          <cell r="AU2289" t="str">
            <v>TV</v>
          </cell>
          <cell r="AV2289" t="str">
            <v>TVLO</v>
          </cell>
          <cell r="AW2289" t="str">
            <v>OLED TV</v>
          </cell>
          <cell r="AX2289" t="str">
            <v>TVLO77</v>
          </cell>
          <cell r="AY2289" t="str">
            <v>OLED TV 77</v>
          </cell>
          <cell r="AZ2289" t="str">
            <v>TVLO77NU</v>
          </cell>
          <cell r="BA2289" t="str">
            <v>OLED TV 77 (UD)</v>
          </cell>
        </row>
        <row r="2290">
          <cell r="E2290" t="str">
            <v>OLED77C6PSA.ATV</v>
          </cell>
          <cell r="F2290">
            <v>67</v>
          </cell>
          <cell r="G2290">
            <v>0</v>
          </cell>
          <cell r="H2290">
            <v>0</v>
          </cell>
          <cell r="I2290">
            <v>83</v>
          </cell>
          <cell r="J2290">
            <v>1</v>
          </cell>
          <cell r="K2290">
            <v>0</v>
          </cell>
          <cell r="L2290">
            <v>0</v>
          </cell>
          <cell r="M2290">
            <v>1</v>
          </cell>
          <cell r="N2290">
            <v>4</v>
          </cell>
          <cell r="O2290">
            <v>8</v>
          </cell>
          <cell r="P2290">
            <v>5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 t="str">
            <v>LCDPREPLUS</v>
          </cell>
          <cell r="AH2290" t="str">
            <v>LCD_Premium Plus</v>
          </cell>
          <cell r="AI2290" t="str">
            <v/>
          </cell>
          <cell r="AJ2290" t="str">
            <v/>
          </cell>
          <cell r="AK2290" t="str">
            <v>0.484106</v>
          </cell>
          <cell r="AL2290" t="str">
            <v>2</v>
          </cell>
          <cell r="AM2290" t="str">
            <v>Q</v>
          </cell>
          <cell r="AN2290" t="str">
            <v>M0</v>
          </cell>
          <cell r="AO2290" t="str">
            <v>Active(Model)</v>
          </cell>
          <cell r="AP2290" t="str">
            <v/>
          </cell>
          <cell r="AQ2290" t="str">
            <v/>
          </cell>
          <cell r="AR2290" t="str">
            <v>Y</v>
          </cell>
          <cell r="AS2290" t="str">
            <v/>
          </cell>
          <cell r="AT2290" t="str">
            <v>TV</v>
          </cell>
          <cell r="AU2290" t="str">
            <v>TV</v>
          </cell>
          <cell r="AV2290" t="str">
            <v>TVLO</v>
          </cell>
          <cell r="AW2290" t="str">
            <v>OLED TV</v>
          </cell>
          <cell r="AX2290" t="str">
            <v>TVLO77</v>
          </cell>
          <cell r="AY2290" t="str">
            <v>OLED TV 77</v>
          </cell>
          <cell r="AZ2290" t="str">
            <v>TVLO77NU</v>
          </cell>
          <cell r="BA2290" t="str">
            <v>OLED TV 77 (UD)</v>
          </cell>
        </row>
        <row r="2291">
          <cell r="E2291" t="str">
            <v>OLED77G6PSA.ATV</v>
          </cell>
          <cell r="F2291">
            <v>17</v>
          </cell>
          <cell r="G2291">
            <v>0</v>
          </cell>
          <cell r="H2291">
            <v>0</v>
          </cell>
          <cell r="I2291">
            <v>23</v>
          </cell>
          <cell r="J2291">
            <v>0</v>
          </cell>
          <cell r="K2291">
            <v>0</v>
          </cell>
          <cell r="L2291">
            <v>0</v>
          </cell>
          <cell r="M2291">
            <v>1</v>
          </cell>
          <cell r="N2291">
            <v>0</v>
          </cell>
          <cell r="O2291">
            <v>3</v>
          </cell>
          <cell r="P2291">
            <v>1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 t="str">
            <v>LCDPREPLUS</v>
          </cell>
          <cell r="AH2291" t="str">
            <v>LCD_Premium Plus</v>
          </cell>
          <cell r="AI2291" t="str">
            <v/>
          </cell>
          <cell r="AJ2291" t="str">
            <v/>
          </cell>
          <cell r="AK2291" t="str">
            <v>0.484106</v>
          </cell>
          <cell r="AL2291" t="str">
            <v>2</v>
          </cell>
          <cell r="AM2291" t="str">
            <v>Q</v>
          </cell>
          <cell r="AN2291" t="str">
            <v>M0</v>
          </cell>
          <cell r="AO2291" t="str">
            <v>Active(Model)</v>
          </cell>
          <cell r="AP2291" t="str">
            <v/>
          </cell>
          <cell r="AQ2291" t="str">
            <v/>
          </cell>
          <cell r="AR2291" t="str">
            <v>Y</v>
          </cell>
          <cell r="AS2291" t="str">
            <v/>
          </cell>
          <cell r="AT2291" t="str">
            <v>TV</v>
          </cell>
          <cell r="AU2291" t="str">
            <v>TV</v>
          </cell>
          <cell r="AV2291" t="str">
            <v>TVLV</v>
          </cell>
          <cell r="AW2291" t="str">
            <v>Premium OLED TV</v>
          </cell>
          <cell r="AX2291" t="str">
            <v>TVLV77</v>
          </cell>
          <cell r="AY2291" t="str">
            <v>Premium OLED TV 77</v>
          </cell>
          <cell r="AZ2291" t="str">
            <v>TVLV77NU</v>
          </cell>
          <cell r="BA2291" t="str">
            <v>Premium OLED TV 77 (UD)</v>
          </cell>
        </row>
        <row r="2292">
          <cell r="E2292" t="str">
            <v>OLED83C6PSA.ATV</v>
          </cell>
          <cell r="F2292">
            <v>20</v>
          </cell>
          <cell r="G2292">
            <v>0</v>
          </cell>
          <cell r="H2292">
            <v>0</v>
          </cell>
          <cell r="I2292">
            <v>24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2</v>
          </cell>
          <cell r="O2292">
            <v>2</v>
          </cell>
          <cell r="P2292">
            <v>2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1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 t="str">
            <v>LCDPREPLUS</v>
          </cell>
          <cell r="AH2292" t="str">
            <v>LCD_Premium Plus</v>
          </cell>
          <cell r="AI2292" t="str">
            <v/>
          </cell>
          <cell r="AJ2292" t="str">
            <v/>
          </cell>
          <cell r="AK2292" t="str">
            <v>0.492000</v>
          </cell>
          <cell r="AL2292" t="str">
            <v>2</v>
          </cell>
          <cell r="AM2292" t="str">
            <v>Q</v>
          </cell>
          <cell r="AN2292" t="str">
            <v>M0</v>
          </cell>
          <cell r="AO2292" t="str">
            <v>Active(Model)</v>
          </cell>
          <cell r="AP2292" t="str">
            <v/>
          </cell>
          <cell r="AQ2292" t="str">
            <v/>
          </cell>
          <cell r="AR2292" t="str">
            <v>Y</v>
          </cell>
          <cell r="AS2292" t="str">
            <v/>
          </cell>
          <cell r="AT2292" t="str">
            <v>TV</v>
          </cell>
          <cell r="AU2292" t="str">
            <v>TV</v>
          </cell>
          <cell r="AV2292" t="str">
            <v>TVLO</v>
          </cell>
          <cell r="AW2292" t="str">
            <v>OLED TV</v>
          </cell>
          <cell r="AX2292" t="str">
            <v>TVLO83</v>
          </cell>
          <cell r="AY2292" t="str">
            <v>OLED TV 83</v>
          </cell>
          <cell r="AZ2292" t="str">
            <v>TVLO83NU</v>
          </cell>
          <cell r="BA2292" t="str">
            <v>OLED TV 83 (UD)</v>
          </cell>
        </row>
        <row r="2293">
          <cell r="E2293" t="str">
            <v>OLED83W6PSA.ATV</v>
          </cell>
          <cell r="F2293">
            <v>0</v>
          </cell>
          <cell r="G2293">
            <v>0</v>
          </cell>
          <cell r="H2293">
            <v>0</v>
          </cell>
          <cell r="I2293">
            <v>1</v>
          </cell>
          <cell r="J2293">
            <v>0</v>
          </cell>
          <cell r="K2293">
            <v>0</v>
          </cell>
          <cell r="L2293">
            <v>0</v>
          </cell>
          <cell r="M2293">
            <v>1</v>
          </cell>
          <cell r="N2293">
            <v>0</v>
          </cell>
          <cell r="O2293">
            <v>0</v>
          </cell>
          <cell r="P2293">
            <v>1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 t="str">
            <v>LCDPREPLUS</v>
          </cell>
          <cell r="AH2293" t="str">
            <v>LCD_Premium Plus</v>
          </cell>
          <cell r="AI2293" t="str">
            <v/>
          </cell>
          <cell r="AJ2293" t="str">
            <v/>
          </cell>
          <cell r="AK2293" t="str">
            <v>0.467103</v>
          </cell>
          <cell r="AL2293" t="str">
            <v>2</v>
          </cell>
          <cell r="AM2293" t="str">
            <v>Q</v>
          </cell>
          <cell r="AN2293" t="str">
            <v>M0</v>
          </cell>
          <cell r="AO2293" t="str">
            <v>Active(Model)</v>
          </cell>
          <cell r="AP2293" t="str">
            <v/>
          </cell>
          <cell r="AQ2293" t="str">
            <v/>
          </cell>
          <cell r="AR2293" t="str">
            <v>Y</v>
          </cell>
          <cell r="AS2293" t="str">
            <v/>
          </cell>
          <cell r="AT2293" t="str">
            <v>TV</v>
          </cell>
          <cell r="AU2293" t="str">
            <v>TV</v>
          </cell>
          <cell r="AV2293" t="str">
            <v>TVLV</v>
          </cell>
          <cell r="AW2293" t="str">
            <v>Premium OLED TV</v>
          </cell>
          <cell r="AX2293" t="str">
            <v>TVLV83</v>
          </cell>
          <cell r="AY2293" t="str">
            <v>Premium OLED TV 83</v>
          </cell>
          <cell r="AZ2293" t="str">
            <v>TVLV83NU</v>
          </cell>
          <cell r="BA2293" t="str">
            <v>Premium OLED TV 83 (UD)</v>
          </cell>
        </row>
        <row r="2294">
          <cell r="E2294" t="str">
            <v>OLED97G6PSA.ATV</v>
          </cell>
          <cell r="F2294">
            <v>6</v>
          </cell>
          <cell r="G2294">
            <v>0</v>
          </cell>
          <cell r="H2294">
            <v>0</v>
          </cell>
          <cell r="I2294">
            <v>7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 t="str">
            <v>LCDPREPLUS</v>
          </cell>
          <cell r="AH2294" t="str">
            <v>LCD_Premium Plus</v>
          </cell>
          <cell r="AI2294" t="str">
            <v/>
          </cell>
          <cell r="AJ2294" t="str">
            <v/>
          </cell>
          <cell r="AK2294" t="str">
            <v>1.212181</v>
          </cell>
          <cell r="AL2294" t="str">
            <v>2</v>
          </cell>
          <cell r="AM2294" t="str">
            <v>Q</v>
          </cell>
          <cell r="AN2294" t="str">
            <v>M0</v>
          </cell>
          <cell r="AO2294" t="str">
            <v>Active(Model)</v>
          </cell>
          <cell r="AP2294" t="str">
            <v/>
          </cell>
          <cell r="AQ2294" t="str">
            <v/>
          </cell>
          <cell r="AR2294" t="str">
            <v>Y</v>
          </cell>
          <cell r="AS2294" t="str">
            <v/>
          </cell>
          <cell r="AT2294" t="str">
            <v>TV</v>
          </cell>
          <cell r="AU2294" t="str">
            <v>TV</v>
          </cell>
          <cell r="AV2294" t="str">
            <v>TVLV</v>
          </cell>
          <cell r="AW2294" t="str">
            <v>Premium OLED TV</v>
          </cell>
          <cell r="AX2294" t="str">
            <v>TVLV97</v>
          </cell>
          <cell r="AY2294" t="str">
            <v>Premium OLED TV 97</v>
          </cell>
          <cell r="AZ2294" t="str">
            <v>TVLV97NU</v>
          </cell>
          <cell r="BA2294" t="str">
            <v>Premium OLED TV 97 (UD)</v>
          </cell>
        </row>
        <row r="2295">
          <cell r="E2295" t="str">
            <v>PACEZA000.ENCXLEU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1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 t="str">
            <v>CAC</v>
          </cell>
          <cell r="AH2295" t="str">
            <v>CAC</v>
          </cell>
          <cell r="AI2295" t="str">
            <v/>
          </cell>
          <cell r="AJ2295" t="str">
            <v/>
          </cell>
          <cell r="AK2295" t="str">
            <v>0.010130</v>
          </cell>
          <cell r="AL2295" t="str">
            <v>2</v>
          </cell>
          <cell r="AM2295" t="str">
            <v>Q</v>
          </cell>
          <cell r="AN2295" t="str">
            <v>M0</v>
          </cell>
          <cell r="AO2295" t="str">
            <v>Active(Model)</v>
          </cell>
          <cell r="AP2295" t="str">
            <v/>
          </cell>
          <cell r="AQ2295" t="str">
            <v/>
          </cell>
          <cell r="AR2295" t="str">
            <v>Y</v>
          </cell>
          <cell r="AS2295" t="str">
            <v/>
          </cell>
          <cell r="AT2295" t="str">
            <v>AC</v>
          </cell>
          <cell r="AU2295" t="str">
            <v>Airconditioner</v>
          </cell>
          <cell r="AV2295" t="str">
            <v>ACCS</v>
          </cell>
          <cell r="AW2295" t="str">
            <v>Control Solution</v>
          </cell>
          <cell r="AX2295" t="str">
            <v>ACCSCC</v>
          </cell>
          <cell r="AY2295" t="str">
            <v>Centrol Controller</v>
          </cell>
          <cell r="AZ2295" t="str">
            <v>ACCSCCEZ</v>
          </cell>
          <cell r="BA2295" t="str">
            <v>ACS_AC EZ</v>
          </cell>
        </row>
        <row r="2296">
          <cell r="E2296" t="str">
            <v>PACP5A000.ENCXLEU</v>
          </cell>
          <cell r="F2296">
            <v>2</v>
          </cell>
          <cell r="G2296">
            <v>0</v>
          </cell>
          <cell r="H2296">
            <v>0</v>
          </cell>
          <cell r="I2296">
            <v>2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 t="str">
            <v>CAC</v>
          </cell>
          <cell r="AH2296" t="str">
            <v>CAC</v>
          </cell>
          <cell r="AI2296" t="str">
            <v/>
          </cell>
          <cell r="AJ2296" t="str">
            <v/>
          </cell>
          <cell r="AK2296" t="str">
            <v>0.014625</v>
          </cell>
          <cell r="AL2296" t="str">
            <v>2</v>
          </cell>
          <cell r="AM2296" t="str">
            <v>Q</v>
          </cell>
          <cell r="AN2296" t="str">
            <v>M0</v>
          </cell>
          <cell r="AO2296" t="str">
            <v>Active(Model)</v>
          </cell>
          <cell r="AP2296" t="str">
            <v/>
          </cell>
          <cell r="AQ2296" t="str">
            <v/>
          </cell>
          <cell r="AR2296" t="str">
            <v>Y</v>
          </cell>
          <cell r="AS2296" t="str">
            <v/>
          </cell>
          <cell r="AT2296" t="str">
            <v>AC</v>
          </cell>
          <cell r="AU2296" t="str">
            <v>Airconditioner</v>
          </cell>
          <cell r="AV2296" t="str">
            <v>ACCS</v>
          </cell>
          <cell r="AW2296" t="str">
            <v>Control Solution</v>
          </cell>
          <cell r="AX2296" t="str">
            <v>ACCSCC</v>
          </cell>
          <cell r="AY2296" t="str">
            <v>Centrol Controller</v>
          </cell>
          <cell r="AZ2296" t="str">
            <v>ACCSCCCP</v>
          </cell>
          <cell r="BA2296" t="str">
            <v>Cassette_Part 3</v>
          </cell>
        </row>
        <row r="2297">
          <cell r="E2297" t="str">
            <v>PACS5A000.ENCXLEU</v>
          </cell>
          <cell r="F2297">
            <v>3</v>
          </cell>
          <cell r="G2297">
            <v>0</v>
          </cell>
          <cell r="H2297">
            <v>0</v>
          </cell>
          <cell r="I2297">
            <v>5</v>
          </cell>
          <cell r="J2297">
            <v>0</v>
          </cell>
          <cell r="K2297">
            <v>1</v>
          </cell>
          <cell r="L2297">
            <v>2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0</v>
          </cell>
          <cell r="AG2297" t="str">
            <v>CAC</v>
          </cell>
          <cell r="AH2297" t="str">
            <v>CAC</v>
          </cell>
          <cell r="AI2297" t="str">
            <v/>
          </cell>
          <cell r="AJ2297" t="str">
            <v/>
          </cell>
          <cell r="AK2297" t="str">
            <v>0.006912</v>
          </cell>
          <cell r="AL2297" t="str">
            <v>2</v>
          </cell>
          <cell r="AM2297" t="str">
            <v>Q</v>
          </cell>
          <cell r="AN2297" t="str">
            <v>M0</v>
          </cell>
          <cell r="AO2297" t="str">
            <v>Active(Model)</v>
          </cell>
          <cell r="AP2297" t="str">
            <v/>
          </cell>
          <cell r="AQ2297" t="str">
            <v/>
          </cell>
          <cell r="AR2297" t="str">
            <v>Y</v>
          </cell>
          <cell r="AS2297" t="str">
            <v/>
          </cell>
          <cell r="AT2297" t="str">
            <v>AC</v>
          </cell>
          <cell r="AU2297" t="str">
            <v>Airconditioner</v>
          </cell>
          <cell r="AV2297" t="str">
            <v>ACCS</v>
          </cell>
          <cell r="AW2297" t="str">
            <v>Control Solution</v>
          </cell>
          <cell r="AX2297" t="str">
            <v>ACCSCC</v>
          </cell>
          <cell r="AY2297" t="str">
            <v>Centrol Controller</v>
          </cell>
          <cell r="AZ2297" t="str">
            <v>ACCSCCCM</v>
          </cell>
          <cell r="BA2297" t="str">
            <v>ACS_AC MANAGER</v>
          </cell>
        </row>
        <row r="2298">
          <cell r="E2298" t="str">
            <v>PAHCMR000.ENCSLEU</v>
          </cell>
          <cell r="F2298">
            <v>25</v>
          </cell>
          <cell r="G2298">
            <v>0</v>
          </cell>
          <cell r="H2298">
            <v>0</v>
          </cell>
          <cell r="I2298">
            <v>25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 t="str">
            <v/>
          </cell>
          <cell r="AH2298" t="str">
            <v/>
          </cell>
          <cell r="AI2298" t="str">
            <v/>
          </cell>
          <cell r="AJ2298" t="str">
            <v/>
          </cell>
          <cell r="AK2298" t="str">
            <v>0.026180</v>
          </cell>
          <cell r="AL2298" t="str">
            <v>0</v>
          </cell>
          <cell r="AM2298" t="str">
            <v>Q</v>
          </cell>
          <cell r="AN2298" t="str">
            <v>M0</v>
          </cell>
          <cell r="AO2298" t="str">
            <v>Active(Model)</v>
          </cell>
          <cell r="AP2298" t="str">
            <v/>
          </cell>
          <cell r="AQ2298" t="str">
            <v/>
          </cell>
          <cell r="AR2298" t="str">
            <v>Y</v>
          </cell>
          <cell r="AS2298" t="str">
            <v/>
          </cell>
          <cell r="AT2298" t="str">
            <v>AC</v>
          </cell>
          <cell r="AU2298" t="str">
            <v>Airconditioner</v>
          </cell>
          <cell r="AV2298" t="str">
            <v>ACCS</v>
          </cell>
          <cell r="AW2298" t="str">
            <v>Control Solution</v>
          </cell>
          <cell r="AX2298" t="str">
            <v>ACCSAH</v>
          </cell>
          <cell r="AY2298" t="str">
            <v>Air Handling Unit 3</v>
          </cell>
          <cell r="AZ2298" t="str">
            <v>ACCSAHAR</v>
          </cell>
          <cell r="BA2298" t="str">
            <v>AHU Controller 3</v>
          </cell>
        </row>
        <row r="2299">
          <cell r="E2299" t="str">
            <v>PCS500R.AEU</v>
          </cell>
          <cell r="F2299">
            <v>2</v>
          </cell>
          <cell r="G2299">
            <v>0</v>
          </cell>
          <cell r="H2299">
            <v>0</v>
          </cell>
          <cell r="I2299">
            <v>2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1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 t="str">
            <v>ID</v>
          </cell>
          <cell r="AH2299" t="str">
            <v>Information Display</v>
          </cell>
          <cell r="AI2299" t="str">
            <v/>
          </cell>
          <cell r="AJ2299" t="str">
            <v/>
          </cell>
          <cell r="AK2299" t="str">
            <v>0.042893</v>
          </cell>
          <cell r="AL2299" t="str">
            <v>2</v>
          </cell>
          <cell r="AM2299" t="str">
            <v>Q</v>
          </cell>
          <cell r="AN2299" t="str">
            <v>M0</v>
          </cell>
          <cell r="AO2299" t="str">
            <v>Active(Model)</v>
          </cell>
          <cell r="AP2299" t="str">
            <v/>
          </cell>
          <cell r="AQ2299" t="str">
            <v/>
          </cell>
          <cell r="AR2299" t="str">
            <v>Y</v>
          </cell>
          <cell r="AS2299" t="str">
            <v/>
          </cell>
          <cell r="AT2299" t="str">
            <v>HT</v>
          </cell>
          <cell r="AU2299" t="str">
            <v>Commercial Display_Hotel</v>
          </cell>
          <cell r="AV2299" t="str">
            <v>HTTA</v>
          </cell>
          <cell r="AW2299" t="str">
            <v>Commercial_TV Accessory</v>
          </cell>
          <cell r="AX2299" t="str">
            <v>HTTAEA</v>
          </cell>
          <cell r="AY2299" t="str">
            <v>Commercial_TV etc.(Except for PDP TV)</v>
          </cell>
          <cell r="AZ2299" t="str">
            <v>HTTAEANN</v>
          </cell>
          <cell r="BA2299" t="str">
            <v>Commercial_TV etc(Except for PDP TV)</v>
          </cell>
        </row>
        <row r="2300">
          <cell r="E2300" t="str">
            <v>PDRYCB000.ENCXLEU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 t="str">
            <v>CAC</v>
          </cell>
          <cell r="AH2300" t="str">
            <v>CAC</v>
          </cell>
          <cell r="AI2300" t="str">
            <v/>
          </cell>
          <cell r="AJ2300" t="str">
            <v/>
          </cell>
          <cell r="AK2300" t="str">
            <v>0.002740</v>
          </cell>
          <cell r="AL2300" t="str">
            <v>2</v>
          </cell>
          <cell r="AM2300" t="str">
            <v>Q</v>
          </cell>
          <cell r="AN2300" t="str">
            <v>M0</v>
          </cell>
          <cell r="AO2300" t="str">
            <v>Active(Model)</v>
          </cell>
          <cell r="AP2300" t="str">
            <v/>
          </cell>
          <cell r="AQ2300" t="str">
            <v/>
          </cell>
          <cell r="AR2300" t="str">
            <v>Y</v>
          </cell>
          <cell r="AS2300" t="str">
            <v/>
          </cell>
          <cell r="AT2300" t="str">
            <v>AC</v>
          </cell>
          <cell r="AU2300" t="str">
            <v>Airconditioner</v>
          </cell>
          <cell r="AV2300" t="str">
            <v>ACCS</v>
          </cell>
          <cell r="AW2300" t="str">
            <v>Control Solution</v>
          </cell>
          <cell r="AX2300" t="str">
            <v>ACCSAC</v>
          </cell>
          <cell r="AY2300" t="str">
            <v>ACS ACCESSARY</v>
          </cell>
          <cell r="AZ2300" t="str">
            <v>ACCSACDR</v>
          </cell>
          <cell r="BA2300" t="str">
            <v>acs accessary dry contact</v>
          </cell>
        </row>
        <row r="2301">
          <cell r="E2301" t="str">
            <v>PEXPMB000.ENCXLEU</v>
          </cell>
          <cell r="F2301">
            <v>0</v>
          </cell>
          <cell r="G2301">
            <v>0</v>
          </cell>
          <cell r="H2301">
            <v>0</v>
          </cell>
          <cell r="I2301">
            <v>4</v>
          </cell>
          <cell r="J2301">
            <v>0</v>
          </cell>
          <cell r="K2301">
            <v>0</v>
          </cell>
          <cell r="L2301">
            <v>4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0</v>
          </cell>
          <cell r="AG2301" t="str">
            <v>CAC</v>
          </cell>
          <cell r="AH2301" t="str">
            <v>CAC</v>
          </cell>
          <cell r="AI2301" t="str">
            <v/>
          </cell>
          <cell r="AJ2301" t="str">
            <v/>
          </cell>
          <cell r="AK2301" t="str">
            <v>0.010130</v>
          </cell>
          <cell r="AL2301" t="str">
            <v>2</v>
          </cell>
          <cell r="AM2301" t="str">
            <v>Q</v>
          </cell>
          <cell r="AN2301" t="str">
            <v>M0</v>
          </cell>
          <cell r="AO2301" t="str">
            <v>Active(Model)</v>
          </cell>
          <cell r="AP2301" t="str">
            <v/>
          </cell>
          <cell r="AQ2301" t="str">
            <v/>
          </cell>
          <cell r="AR2301" t="str">
            <v>Y</v>
          </cell>
          <cell r="AS2301" t="str">
            <v/>
          </cell>
          <cell r="AT2301" t="str">
            <v>AC</v>
          </cell>
          <cell r="AU2301" t="str">
            <v>Airconditioner</v>
          </cell>
          <cell r="AV2301" t="str">
            <v>ACCS</v>
          </cell>
          <cell r="AW2301" t="str">
            <v>Control Solution</v>
          </cell>
          <cell r="AX2301" t="str">
            <v>ACCSAC</v>
          </cell>
          <cell r="AY2301" t="str">
            <v>ACS ACCESSARY</v>
          </cell>
          <cell r="AZ2301" t="str">
            <v>ACCSACCS</v>
          </cell>
          <cell r="BA2301" t="str">
            <v>ACCESSARY_ETC</v>
          </cell>
        </row>
        <row r="2302">
          <cell r="E2302" t="str">
            <v>PHNFP14A0.ENCXCOM</v>
          </cell>
          <cell r="F2302">
            <v>36</v>
          </cell>
          <cell r="G2302">
            <v>0</v>
          </cell>
          <cell r="H2302">
            <v>0</v>
          </cell>
          <cell r="I2302">
            <v>41</v>
          </cell>
          <cell r="J2302">
            <v>0</v>
          </cell>
          <cell r="K2302">
            <v>0</v>
          </cell>
          <cell r="L2302">
            <v>5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 t="str">
            <v/>
          </cell>
          <cell r="AH2302" t="str">
            <v/>
          </cell>
          <cell r="AI2302" t="str">
            <v/>
          </cell>
          <cell r="AJ2302" t="str">
            <v/>
          </cell>
          <cell r="AK2302" t="str">
            <v>0.002836</v>
          </cell>
          <cell r="AL2302" t="str">
            <v>0</v>
          </cell>
          <cell r="AM2302" t="str">
            <v>Q</v>
          </cell>
          <cell r="AN2302" t="str">
            <v>M0</v>
          </cell>
          <cell r="AO2302" t="str">
            <v>Active(Model)</v>
          </cell>
          <cell r="AP2302" t="str">
            <v/>
          </cell>
          <cell r="AQ2302" t="str">
            <v/>
          </cell>
          <cell r="AR2302" t="str">
            <v>Y</v>
          </cell>
          <cell r="AS2302" t="str">
            <v/>
          </cell>
          <cell r="AT2302" t="str">
            <v>AC</v>
          </cell>
          <cell r="AU2302" t="str">
            <v>Airconditioner</v>
          </cell>
          <cell r="AV2302" t="str">
            <v>ACCS</v>
          </cell>
          <cell r="AW2302" t="str">
            <v>Control Solution</v>
          </cell>
          <cell r="AX2302" t="str">
            <v>ACCSGW</v>
          </cell>
          <cell r="AY2302" t="str">
            <v>ACS GATEWAY</v>
          </cell>
          <cell r="AZ2302" t="str">
            <v>ACCSGWPI</v>
          </cell>
          <cell r="BA2302" t="str">
            <v>GATEWAY_PI485</v>
          </cell>
        </row>
        <row r="2303">
          <cell r="E2303" t="str">
            <v>PHNFP14A0.ENCXLEU</v>
          </cell>
          <cell r="F2303">
            <v>5</v>
          </cell>
          <cell r="G2303">
            <v>0</v>
          </cell>
          <cell r="H2303">
            <v>0</v>
          </cell>
          <cell r="I2303">
            <v>5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 t="str">
            <v>CAC</v>
          </cell>
          <cell r="AH2303" t="str">
            <v>CAC</v>
          </cell>
          <cell r="AI2303" t="str">
            <v/>
          </cell>
          <cell r="AJ2303" t="str">
            <v/>
          </cell>
          <cell r="AK2303" t="str">
            <v>0.002836</v>
          </cell>
          <cell r="AL2303" t="str">
            <v>2</v>
          </cell>
          <cell r="AM2303" t="str">
            <v>Q</v>
          </cell>
          <cell r="AN2303" t="str">
            <v>M0</v>
          </cell>
          <cell r="AO2303" t="str">
            <v>Active(Model)</v>
          </cell>
          <cell r="AP2303" t="str">
            <v/>
          </cell>
          <cell r="AQ2303" t="str">
            <v/>
          </cell>
          <cell r="AR2303" t="str">
            <v>Y</v>
          </cell>
          <cell r="AS2303" t="str">
            <v/>
          </cell>
          <cell r="AT2303" t="str">
            <v>AC</v>
          </cell>
          <cell r="AU2303" t="str">
            <v>Airconditioner</v>
          </cell>
          <cell r="AV2303" t="str">
            <v>ACCS</v>
          </cell>
          <cell r="AW2303" t="str">
            <v>Control Solution</v>
          </cell>
          <cell r="AX2303" t="str">
            <v>ACCSGW</v>
          </cell>
          <cell r="AY2303" t="str">
            <v>ACS GATEWAY</v>
          </cell>
          <cell r="AZ2303" t="str">
            <v>ACCSGWPI</v>
          </cell>
          <cell r="BA2303" t="str">
            <v>GATEWAY_PI485</v>
          </cell>
        </row>
        <row r="2304">
          <cell r="E2304" t="str">
            <v>PJT09G2N.ATYGEVH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 t="str">
            <v>RACPREMIUM</v>
          </cell>
          <cell r="AH2304" t="str">
            <v>RAC_Premium</v>
          </cell>
          <cell r="AI2304" t="str">
            <v/>
          </cell>
          <cell r="AJ2304" t="str">
            <v/>
          </cell>
          <cell r="AK2304" t="str">
            <v>0.088857</v>
          </cell>
          <cell r="AL2304" t="str">
            <v>0</v>
          </cell>
          <cell r="AM2304" t="str">
            <v>Q</v>
          </cell>
          <cell r="AN2304" t="str">
            <v>M0</v>
          </cell>
          <cell r="AO2304" t="str">
            <v>Active(Model)</v>
          </cell>
          <cell r="AP2304" t="str">
            <v/>
          </cell>
          <cell r="AQ2304" t="str">
            <v/>
          </cell>
          <cell r="AR2304" t="str">
            <v>Y</v>
          </cell>
          <cell r="AS2304" t="str">
            <v/>
          </cell>
          <cell r="AT2304" t="str">
            <v>AC</v>
          </cell>
          <cell r="AU2304" t="str">
            <v>Airconditioner</v>
          </cell>
          <cell r="AV2304" t="str">
            <v>ACSR</v>
          </cell>
          <cell r="AW2304" t="str">
            <v>SRAC</v>
          </cell>
          <cell r="AX2304" t="str">
            <v>ACSRIV</v>
          </cell>
          <cell r="AY2304" t="str">
            <v>Inverter</v>
          </cell>
          <cell r="AZ2304" t="str">
            <v>ACSRIVSN</v>
          </cell>
          <cell r="BA2304" t="str">
            <v>Inverter Single Split Wall_I/D</v>
          </cell>
        </row>
        <row r="2305">
          <cell r="E2305" t="str">
            <v>PJT09G2U.ATYGEVH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 t="str">
            <v>RACPREMIUM</v>
          </cell>
          <cell r="AH2305" t="str">
            <v>RAC_Premium</v>
          </cell>
          <cell r="AI2305" t="str">
            <v/>
          </cell>
          <cell r="AJ2305" t="str">
            <v/>
          </cell>
          <cell r="AK2305" t="str">
            <v>0.142216</v>
          </cell>
          <cell r="AL2305" t="str">
            <v>0</v>
          </cell>
          <cell r="AM2305" t="str">
            <v>Q</v>
          </cell>
          <cell r="AN2305" t="str">
            <v>M0</v>
          </cell>
          <cell r="AO2305" t="str">
            <v>Active(Model)</v>
          </cell>
          <cell r="AP2305" t="str">
            <v/>
          </cell>
          <cell r="AQ2305" t="str">
            <v/>
          </cell>
          <cell r="AR2305" t="str">
            <v>Y</v>
          </cell>
          <cell r="AS2305" t="str">
            <v/>
          </cell>
          <cell r="AT2305" t="str">
            <v>AC</v>
          </cell>
          <cell r="AU2305" t="str">
            <v>Airconditioner</v>
          </cell>
          <cell r="AV2305" t="str">
            <v>ACSR</v>
          </cell>
          <cell r="AW2305" t="str">
            <v>SRAC</v>
          </cell>
          <cell r="AX2305" t="str">
            <v>ACSRIV</v>
          </cell>
          <cell r="AY2305" t="str">
            <v>Inverter</v>
          </cell>
          <cell r="AZ2305" t="str">
            <v>ACSRIVSU</v>
          </cell>
          <cell r="BA2305" t="str">
            <v>Inverter Single Split Wall_O/D</v>
          </cell>
        </row>
        <row r="2306">
          <cell r="E2306" t="str">
            <v>PJT12G1N.ATYGEVH</v>
          </cell>
          <cell r="F2306">
            <v>30</v>
          </cell>
          <cell r="G2306">
            <v>0</v>
          </cell>
          <cell r="H2306">
            <v>0</v>
          </cell>
          <cell r="I2306">
            <v>30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 t="str">
            <v>RACPREMIUM</v>
          </cell>
          <cell r="AH2306" t="str">
            <v>RAC_Premium</v>
          </cell>
          <cell r="AI2306" t="str">
            <v/>
          </cell>
          <cell r="AJ2306" t="str">
            <v/>
          </cell>
          <cell r="AK2306" t="str">
            <v>0.088857</v>
          </cell>
          <cell r="AL2306" t="str">
            <v>0</v>
          </cell>
          <cell r="AM2306" t="str">
            <v>Q</v>
          </cell>
          <cell r="AN2306" t="str">
            <v>M0</v>
          </cell>
          <cell r="AO2306" t="str">
            <v>Active(Model)</v>
          </cell>
          <cell r="AP2306" t="str">
            <v/>
          </cell>
          <cell r="AQ2306" t="str">
            <v/>
          </cell>
          <cell r="AR2306" t="str">
            <v>Y</v>
          </cell>
          <cell r="AS2306" t="str">
            <v/>
          </cell>
          <cell r="AT2306" t="str">
            <v>AC</v>
          </cell>
          <cell r="AU2306" t="str">
            <v>Airconditioner</v>
          </cell>
          <cell r="AV2306" t="str">
            <v>ACSR</v>
          </cell>
          <cell r="AW2306" t="str">
            <v>SRAC</v>
          </cell>
          <cell r="AX2306" t="str">
            <v>ACSRIV</v>
          </cell>
          <cell r="AY2306" t="str">
            <v>Inverter</v>
          </cell>
          <cell r="AZ2306" t="str">
            <v>ACSRIVSN</v>
          </cell>
          <cell r="BA2306" t="str">
            <v>Inverter Single Split Wall_I/D</v>
          </cell>
        </row>
        <row r="2307">
          <cell r="E2307" t="str">
            <v>PJT12G1U.ATYGEVH</v>
          </cell>
          <cell r="F2307">
            <v>30</v>
          </cell>
          <cell r="G2307">
            <v>0</v>
          </cell>
          <cell r="H2307">
            <v>0</v>
          </cell>
          <cell r="I2307">
            <v>30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0</v>
          </cell>
          <cell r="AG2307" t="str">
            <v>RACPREMIUM</v>
          </cell>
          <cell r="AH2307" t="str">
            <v>RAC_Premium</v>
          </cell>
          <cell r="AI2307" t="str">
            <v/>
          </cell>
          <cell r="AJ2307" t="str">
            <v/>
          </cell>
          <cell r="AK2307" t="str">
            <v>0.142216</v>
          </cell>
          <cell r="AL2307" t="str">
            <v>0</v>
          </cell>
          <cell r="AM2307" t="str">
            <v>Q</v>
          </cell>
          <cell r="AN2307" t="str">
            <v>M0</v>
          </cell>
          <cell r="AO2307" t="str">
            <v>Active(Model)</v>
          </cell>
          <cell r="AP2307" t="str">
            <v/>
          </cell>
          <cell r="AQ2307" t="str">
            <v/>
          </cell>
          <cell r="AR2307" t="str">
            <v>Y</v>
          </cell>
          <cell r="AS2307" t="str">
            <v/>
          </cell>
          <cell r="AT2307" t="str">
            <v>AC</v>
          </cell>
          <cell r="AU2307" t="str">
            <v>Airconditioner</v>
          </cell>
          <cell r="AV2307" t="str">
            <v>ACSR</v>
          </cell>
          <cell r="AW2307" t="str">
            <v>SRAC</v>
          </cell>
          <cell r="AX2307" t="str">
            <v>ACSRIV</v>
          </cell>
          <cell r="AY2307" t="str">
            <v>Inverter</v>
          </cell>
          <cell r="AZ2307" t="str">
            <v>ACSRIVSU</v>
          </cell>
          <cell r="BA2307" t="str">
            <v>Inverter Single Split Wall_O/D</v>
          </cell>
        </row>
        <row r="2308">
          <cell r="E2308" t="str">
            <v>PJT12G2N.ATYGEVH</v>
          </cell>
          <cell r="F2308">
            <v>3</v>
          </cell>
          <cell r="G2308">
            <v>0</v>
          </cell>
          <cell r="H2308">
            <v>0</v>
          </cell>
          <cell r="I2308">
            <v>3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3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0</v>
          </cell>
          <cell r="AG2308" t="str">
            <v>RACPREMIUM</v>
          </cell>
          <cell r="AH2308" t="str">
            <v>RAC_Premium</v>
          </cell>
          <cell r="AI2308" t="str">
            <v/>
          </cell>
          <cell r="AJ2308" t="str">
            <v/>
          </cell>
          <cell r="AK2308" t="str">
            <v>0.088857</v>
          </cell>
          <cell r="AL2308" t="str">
            <v>0</v>
          </cell>
          <cell r="AM2308" t="str">
            <v>Q</v>
          </cell>
          <cell r="AN2308" t="str">
            <v>M0</v>
          </cell>
          <cell r="AO2308" t="str">
            <v>Active(Model)</v>
          </cell>
          <cell r="AP2308" t="str">
            <v/>
          </cell>
          <cell r="AQ2308" t="str">
            <v/>
          </cell>
          <cell r="AR2308" t="str">
            <v>Y</v>
          </cell>
          <cell r="AS2308" t="str">
            <v/>
          </cell>
          <cell r="AT2308" t="str">
            <v>AC</v>
          </cell>
          <cell r="AU2308" t="str">
            <v>Airconditioner</v>
          </cell>
          <cell r="AV2308" t="str">
            <v>ACSR</v>
          </cell>
          <cell r="AW2308" t="str">
            <v>SRAC</v>
          </cell>
          <cell r="AX2308" t="str">
            <v>ACSRIV</v>
          </cell>
          <cell r="AY2308" t="str">
            <v>Inverter</v>
          </cell>
          <cell r="AZ2308" t="str">
            <v>ACSRIVSN</v>
          </cell>
          <cell r="BA2308" t="str">
            <v>Inverter Single Split Wall_I/D</v>
          </cell>
        </row>
        <row r="2309">
          <cell r="E2309" t="str">
            <v>PJT12G2U.ATYGEVH</v>
          </cell>
          <cell r="F2309">
            <v>3</v>
          </cell>
          <cell r="G2309">
            <v>0</v>
          </cell>
          <cell r="H2309">
            <v>0</v>
          </cell>
          <cell r="I2309">
            <v>3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3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 t="str">
            <v>RACPREMIUM</v>
          </cell>
          <cell r="AH2309" t="str">
            <v>RAC_Premium</v>
          </cell>
          <cell r="AI2309" t="str">
            <v/>
          </cell>
          <cell r="AJ2309" t="str">
            <v/>
          </cell>
          <cell r="AK2309" t="str">
            <v>0.142216</v>
          </cell>
          <cell r="AL2309" t="str">
            <v>0</v>
          </cell>
          <cell r="AM2309" t="str">
            <v>Q</v>
          </cell>
          <cell r="AN2309" t="str">
            <v>M0</v>
          </cell>
          <cell r="AO2309" t="str">
            <v>Active(Model)</v>
          </cell>
          <cell r="AP2309" t="str">
            <v/>
          </cell>
          <cell r="AQ2309" t="str">
            <v/>
          </cell>
          <cell r="AR2309" t="str">
            <v>Y</v>
          </cell>
          <cell r="AS2309" t="str">
            <v/>
          </cell>
          <cell r="AT2309" t="str">
            <v>AC</v>
          </cell>
          <cell r="AU2309" t="str">
            <v>Airconditioner</v>
          </cell>
          <cell r="AV2309" t="str">
            <v>ACSR</v>
          </cell>
          <cell r="AW2309" t="str">
            <v>SRAC</v>
          </cell>
          <cell r="AX2309" t="str">
            <v>ACSRIV</v>
          </cell>
          <cell r="AY2309" t="str">
            <v>Inverter</v>
          </cell>
          <cell r="AZ2309" t="str">
            <v>ACSRIVSU</v>
          </cell>
          <cell r="BA2309" t="str">
            <v>Inverter Single Split Wall_O/D</v>
          </cell>
        </row>
        <row r="2310">
          <cell r="E2310" t="str">
            <v>PJT18G1N.ATYGEVH</v>
          </cell>
          <cell r="F2310">
            <v>1</v>
          </cell>
          <cell r="G2310">
            <v>0</v>
          </cell>
          <cell r="H2310">
            <v>0</v>
          </cell>
          <cell r="I2310">
            <v>1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 t="str">
            <v>RACPREMIUM</v>
          </cell>
          <cell r="AH2310" t="str">
            <v>RAC_Premium</v>
          </cell>
          <cell r="AI2310" t="str">
            <v/>
          </cell>
          <cell r="AJ2310" t="str">
            <v/>
          </cell>
          <cell r="AK2310" t="str">
            <v>0.126638</v>
          </cell>
          <cell r="AL2310" t="str">
            <v>0</v>
          </cell>
          <cell r="AM2310" t="str">
            <v>Q</v>
          </cell>
          <cell r="AN2310" t="str">
            <v>M0</v>
          </cell>
          <cell r="AO2310" t="str">
            <v>Active(Model)</v>
          </cell>
          <cell r="AP2310" t="str">
            <v/>
          </cell>
          <cell r="AQ2310" t="str">
            <v/>
          </cell>
          <cell r="AR2310" t="str">
            <v>Y</v>
          </cell>
          <cell r="AS2310" t="str">
            <v/>
          </cell>
          <cell r="AT2310" t="str">
            <v>AC</v>
          </cell>
          <cell r="AU2310" t="str">
            <v>Airconditioner</v>
          </cell>
          <cell r="AV2310" t="str">
            <v>ACSR</v>
          </cell>
          <cell r="AW2310" t="str">
            <v>SRAC</v>
          </cell>
          <cell r="AX2310" t="str">
            <v>ACSRIV</v>
          </cell>
          <cell r="AY2310" t="str">
            <v>Inverter</v>
          </cell>
          <cell r="AZ2310" t="str">
            <v>ACSRIVSN</v>
          </cell>
          <cell r="BA2310" t="str">
            <v>Inverter Single Split Wall_I/D</v>
          </cell>
        </row>
        <row r="2311">
          <cell r="E2311" t="str">
            <v>PJT18G1U.ATYGEVH</v>
          </cell>
          <cell r="F2311">
            <v>1</v>
          </cell>
          <cell r="G2311">
            <v>0</v>
          </cell>
          <cell r="H2311">
            <v>0</v>
          </cell>
          <cell r="I2311">
            <v>1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 t="str">
            <v>RACPREMIUM</v>
          </cell>
          <cell r="AH2311" t="str">
            <v>RAC_Premium</v>
          </cell>
          <cell r="AI2311" t="str">
            <v/>
          </cell>
          <cell r="AJ2311" t="str">
            <v/>
          </cell>
          <cell r="AK2311" t="str">
            <v>0.212597</v>
          </cell>
          <cell r="AL2311" t="str">
            <v>0</v>
          </cell>
          <cell r="AM2311" t="str">
            <v>Q</v>
          </cell>
          <cell r="AN2311" t="str">
            <v>M0</v>
          </cell>
          <cell r="AO2311" t="str">
            <v>Active(Model)</v>
          </cell>
          <cell r="AP2311" t="str">
            <v/>
          </cell>
          <cell r="AQ2311" t="str">
            <v/>
          </cell>
          <cell r="AR2311" t="str">
            <v>Y</v>
          </cell>
          <cell r="AS2311" t="str">
            <v/>
          </cell>
          <cell r="AT2311" t="str">
            <v>AC</v>
          </cell>
          <cell r="AU2311" t="str">
            <v>Airconditioner</v>
          </cell>
          <cell r="AV2311" t="str">
            <v>ACSR</v>
          </cell>
          <cell r="AW2311" t="str">
            <v>SRAC</v>
          </cell>
          <cell r="AX2311" t="str">
            <v>ACSRIV</v>
          </cell>
          <cell r="AY2311" t="str">
            <v>Inverter</v>
          </cell>
          <cell r="AZ2311" t="str">
            <v>ACSRIVSU</v>
          </cell>
          <cell r="BA2311" t="str">
            <v>Inverter Single Split Wall_O/D</v>
          </cell>
        </row>
        <row r="2312">
          <cell r="E2312" t="str">
            <v>PJT18G2N.ATYGEVH</v>
          </cell>
          <cell r="F2312">
            <v>1</v>
          </cell>
          <cell r="G2312">
            <v>0</v>
          </cell>
          <cell r="H2312">
            <v>0</v>
          </cell>
          <cell r="I2312">
            <v>1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 t="str">
            <v>RACPREMIUM</v>
          </cell>
          <cell r="AH2312" t="str">
            <v>RAC_Premium</v>
          </cell>
          <cell r="AI2312" t="str">
            <v/>
          </cell>
          <cell r="AJ2312" t="str">
            <v/>
          </cell>
          <cell r="AK2312" t="str">
            <v>0.126638</v>
          </cell>
          <cell r="AL2312" t="str">
            <v>0</v>
          </cell>
          <cell r="AM2312" t="str">
            <v>Q</v>
          </cell>
          <cell r="AN2312" t="str">
            <v>M0</v>
          </cell>
          <cell r="AO2312" t="str">
            <v>Active(Model)</v>
          </cell>
          <cell r="AP2312" t="str">
            <v/>
          </cell>
          <cell r="AQ2312" t="str">
            <v/>
          </cell>
          <cell r="AR2312" t="str">
            <v>Y</v>
          </cell>
          <cell r="AS2312" t="str">
            <v/>
          </cell>
          <cell r="AT2312" t="str">
            <v>AC</v>
          </cell>
          <cell r="AU2312" t="str">
            <v>Airconditioner</v>
          </cell>
          <cell r="AV2312" t="str">
            <v>ACSR</v>
          </cell>
          <cell r="AW2312" t="str">
            <v>SRAC</v>
          </cell>
          <cell r="AX2312" t="str">
            <v>ACSRIV</v>
          </cell>
          <cell r="AY2312" t="str">
            <v>Inverter</v>
          </cell>
          <cell r="AZ2312" t="str">
            <v>ACSRIVSN</v>
          </cell>
          <cell r="BA2312" t="str">
            <v>Inverter Single Split Wall_I/D</v>
          </cell>
        </row>
        <row r="2313">
          <cell r="E2313" t="str">
            <v>PJT18G2U.ATYGEVH</v>
          </cell>
          <cell r="F2313">
            <v>1</v>
          </cell>
          <cell r="G2313">
            <v>0</v>
          </cell>
          <cell r="H2313">
            <v>0</v>
          </cell>
          <cell r="I2313">
            <v>1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 t="str">
            <v>RACPREMIUM</v>
          </cell>
          <cell r="AH2313" t="str">
            <v>RAC_Premium</v>
          </cell>
          <cell r="AI2313" t="str">
            <v/>
          </cell>
          <cell r="AJ2313" t="str">
            <v/>
          </cell>
          <cell r="AK2313" t="str">
            <v>0.142216</v>
          </cell>
          <cell r="AL2313" t="str">
            <v>0</v>
          </cell>
          <cell r="AM2313" t="str">
            <v>Q</v>
          </cell>
          <cell r="AN2313" t="str">
            <v>M0</v>
          </cell>
          <cell r="AO2313" t="str">
            <v>Active(Model)</v>
          </cell>
          <cell r="AP2313" t="str">
            <v/>
          </cell>
          <cell r="AQ2313" t="str">
            <v/>
          </cell>
          <cell r="AR2313" t="str">
            <v>Y</v>
          </cell>
          <cell r="AS2313" t="str">
            <v/>
          </cell>
          <cell r="AT2313" t="str">
            <v>AC</v>
          </cell>
          <cell r="AU2313" t="str">
            <v>Airconditioner</v>
          </cell>
          <cell r="AV2313" t="str">
            <v>ACSR</v>
          </cell>
          <cell r="AW2313" t="str">
            <v>SRAC</v>
          </cell>
          <cell r="AX2313" t="str">
            <v>ACSRIV</v>
          </cell>
          <cell r="AY2313" t="str">
            <v>Inverter</v>
          </cell>
          <cell r="AZ2313" t="str">
            <v>ACSRIVSU</v>
          </cell>
          <cell r="BA2313" t="str">
            <v>Inverter Single Split Wall_O/D</v>
          </cell>
        </row>
        <row r="2314">
          <cell r="E2314" t="str">
            <v>PJT24G1N.ATYGEVH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 t="str">
            <v>RACPREMIUM</v>
          </cell>
          <cell r="AH2314" t="str">
            <v>RAC_Premium</v>
          </cell>
          <cell r="AI2314" t="str">
            <v/>
          </cell>
          <cell r="AJ2314" t="str">
            <v/>
          </cell>
          <cell r="AK2314" t="str">
            <v>0.126638</v>
          </cell>
          <cell r="AL2314" t="str">
            <v>0</v>
          </cell>
          <cell r="AM2314" t="str">
            <v>Q</v>
          </cell>
          <cell r="AN2314" t="str">
            <v>M0</v>
          </cell>
          <cell r="AO2314" t="str">
            <v>Active(Model)</v>
          </cell>
          <cell r="AP2314" t="str">
            <v/>
          </cell>
          <cell r="AQ2314" t="str">
            <v/>
          </cell>
          <cell r="AR2314" t="str">
            <v>Y</v>
          </cell>
          <cell r="AS2314" t="str">
            <v/>
          </cell>
          <cell r="AT2314" t="str">
            <v>AC</v>
          </cell>
          <cell r="AU2314" t="str">
            <v>Airconditioner</v>
          </cell>
          <cell r="AV2314" t="str">
            <v>ACSR</v>
          </cell>
          <cell r="AW2314" t="str">
            <v>SRAC</v>
          </cell>
          <cell r="AX2314" t="str">
            <v>ACSRIV</v>
          </cell>
          <cell r="AY2314" t="str">
            <v>Inverter</v>
          </cell>
          <cell r="AZ2314" t="str">
            <v>ACSRIVSN</v>
          </cell>
          <cell r="BA2314" t="str">
            <v>Inverter Single Split Wall_I/D</v>
          </cell>
        </row>
        <row r="2315">
          <cell r="E2315" t="str">
            <v>PJT24G1U.ATYGEVH</v>
          </cell>
          <cell r="F2315">
            <v>0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 t="str">
            <v>RACPREMIUM</v>
          </cell>
          <cell r="AH2315" t="str">
            <v>RAC_Premium</v>
          </cell>
          <cell r="AI2315" t="str">
            <v/>
          </cell>
          <cell r="AJ2315" t="str">
            <v/>
          </cell>
          <cell r="AK2315" t="str">
            <v>0.335972</v>
          </cell>
          <cell r="AL2315" t="str">
            <v>0</v>
          </cell>
          <cell r="AM2315" t="str">
            <v>Q</v>
          </cell>
          <cell r="AN2315" t="str">
            <v>M0</v>
          </cell>
          <cell r="AO2315" t="str">
            <v>Active(Model)</v>
          </cell>
          <cell r="AP2315" t="str">
            <v/>
          </cell>
          <cell r="AQ2315" t="str">
            <v/>
          </cell>
          <cell r="AR2315" t="str">
            <v>Y</v>
          </cell>
          <cell r="AS2315" t="str">
            <v/>
          </cell>
          <cell r="AT2315" t="str">
            <v>AC</v>
          </cell>
          <cell r="AU2315" t="str">
            <v>Airconditioner</v>
          </cell>
          <cell r="AV2315" t="str">
            <v>ACSR</v>
          </cell>
          <cell r="AW2315" t="str">
            <v>SRAC</v>
          </cell>
          <cell r="AX2315" t="str">
            <v>ACSRIV</v>
          </cell>
          <cell r="AY2315" t="str">
            <v>Inverter</v>
          </cell>
          <cell r="AZ2315" t="str">
            <v>ACSRIVSU</v>
          </cell>
          <cell r="BA2315" t="str">
            <v>Inverter Single Split Wall_O/D</v>
          </cell>
        </row>
        <row r="2316">
          <cell r="E2316" t="str">
            <v>PMBUSB00A.ENCXLEU</v>
          </cell>
          <cell r="F2316">
            <v>3</v>
          </cell>
          <cell r="G2316">
            <v>0</v>
          </cell>
          <cell r="H2316">
            <v>0</v>
          </cell>
          <cell r="I2316">
            <v>3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 t="str">
            <v>CAC</v>
          </cell>
          <cell r="AH2316" t="str">
            <v>CAC</v>
          </cell>
          <cell r="AI2316" t="str">
            <v/>
          </cell>
          <cell r="AJ2316" t="str">
            <v/>
          </cell>
          <cell r="AK2316" t="str">
            <v>0.002376</v>
          </cell>
          <cell r="AL2316" t="str">
            <v>2</v>
          </cell>
          <cell r="AM2316" t="str">
            <v>Q</v>
          </cell>
          <cell r="AN2316" t="str">
            <v>M0</v>
          </cell>
          <cell r="AO2316" t="str">
            <v>Active(Model)</v>
          </cell>
          <cell r="AP2316" t="str">
            <v/>
          </cell>
          <cell r="AQ2316" t="str">
            <v/>
          </cell>
          <cell r="AR2316" t="str">
            <v>Y</v>
          </cell>
          <cell r="AS2316" t="str">
            <v/>
          </cell>
          <cell r="AT2316" t="str">
            <v>AC</v>
          </cell>
          <cell r="AU2316" t="str">
            <v>Airconditioner</v>
          </cell>
          <cell r="AV2316" t="str">
            <v>ACCS</v>
          </cell>
          <cell r="AW2316" t="str">
            <v>Control Solution</v>
          </cell>
          <cell r="AX2316" t="str">
            <v>ACCSGW</v>
          </cell>
          <cell r="AY2316" t="str">
            <v>ACS GATEWAY</v>
          </cell>
          <cell r="AZ2316" t="str">
            <v>ACCSGWBM</v>
          </cell>
          <cell r="BA2316" t="str">
            <v>GATEWAY_BMS LINK</v>
          </cell>
        </row>
        <row r="2317">
          <cell r="E2317" t="str">
            <v>PMBUSC00A.ENCXAAS</v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  <cell r="J2317">
            <v>0</v>
          </cell>
          <cell r="K2317">
            <v>2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 t="str">
            <v/>
          </cell>
          <cell r="AH2317" t="str">
            <v/>
          </cell>
          <cell r="AI2317" t="str">
            <v/>
          </cell>
          <cell r="AJ2317" t="str">
            <v/>
          </cell>
          <cell r="AK2317" t="str">
            <v>0.002773</v>
          </cell>
          <cell r="AL2317" t="str">
            <v>0</v>
          </cell>
          <cell r="AM2317" t="str">
            <v>Q</v>
          </cell>
          <cell r="AN2317" t="str">
            <v>M0</v>
          </cell>
          <cell r="AO2317" t="str">
            <v>Active(Model)</v>
          </cell>
          <cell r="AP2317" t="str">
            <v/>
          </cell>
          <cell r="AQ2317" t="str">
            <v/>
          </cell>
          <cell r="AR2317" t="str">
            <v>Y</v>
          </cell>
          <cell r="AS2317" t="str">
            <v/>
          </cell>
          <cell r="AT2317" t="str">
            <v>AC</v>
          </cell>
          <cell r="AU2317" t="str">
            <v>Airconditioner</v>
          </cell>
          <cell r="AV2317" t="str">
            <v>ACCS</v>
          </cell>
          <cell r="AW2317" t="str">
            <v>Control Solution</v>
          </cell>
          <cell r="AX2317" t="str">
            <v>ACCSGW</v>
          </cell>
          <cell r="AY2317" t="str">
            <v>ACS GATEWAY</v>
          </cell>
          <cell r="AZ2317" t="str">
            <v>ACCSGWBM</v>
          </cell>
          <cell r="BA2317" t="str">
            <v>GATEWAY_BMS LINK</v>
          </cell>
        </row>
        <row r="2318">
          <cell r="E2318" t="str">
            <v>PMNFP14A1.ENCXLEU</v>
          </cell>
          <cell r="F2318">
            <v>2</v>
          </cell>
          <cell r="G2318">
            <v>0</v>
          </cell>
          <cell r="H2318">
            <v>0</v>
          </cell>
          <cell r="I2318">
            <v>2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 t="str">
            <v>CAC</v>
          </cell>
          <cell r="AH2318" t="str">
            <v>CAC</v>
          </cell>
          <cell r="AI2318" t="str">
            <v/>
          </cell>
          <cell r="AJ2318" t="str">
            <v/>
          </cell>
          <cell r="AK2318" t="str">
            <v>0.002836</v>
          </cell>
          <cell r="AL2318" t="str">
            <v>2</v>
          </cell>
          <cell r="AM2318" t="str">
            <v>Q</v>
          </cell>
          <cell r="AN2318" t="str">
            <v>M0</v>
          </cell>
          <cell r="AO2318" t="str">
            <v>Active(Model)</v>
          </cell>
          <cell r="AP2318" t="str">
            <v/>
          </cell>
          <cell r="AQ2318" t="str">
            <v/>
          </cell>
          <cell r="AR2318" t="str">
            <v>Y</v>
          </cell>
          <cell r="AS2318" t="str">
            <v/>
          </cell>
          <cell r="AT2318" t="str">
            <v>AC</v>
          </cell>
          <cell r="AU2318" t="str">
            <v>Airconditioner</v>
          </cell>
          <cell r="AV2318" t="str">
            <v>ACCS</v>
          </cell>
          <cell r="AW2318" t="str">
            <v>Control Solution</v>
          </cell>
          <cell r="AX2318" t="str">
            <v>ACCSGW</v>
          </cell>
          <cell r="AY2318" t="str">
            <v>ACS GATEWAY</v>
          </cell>
          <cell r="AZ2318" t="str">
            <v>ACCSGWPI</v>
          </cell>
          <cell r="BA2318" t="str">
            <v>GATEWAY_PI485</v>
          </cell>
        </row>
        <row r="2319">
          <cell r="E2319" t="str">
            <v>PPWRDB000.ENCXLEU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1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 t="str">
            <v>CAC</v>
          </cell>
          <cell r="AH2319" t="str">
            <v>CAC</v>
          </cell>
          <cell r="AI2319" t="str">
            <v/>
          </cell>
          <cell r="AJ2319" t="str">
            <v/>
          </cell>
          <cell r="AK2319" t="str">
            <v>0.013573</v>
          </cell>
          <cell r="AL2319" t="str">
            <v>2</v>
          </cell>
          <cell r="AM2319" t="str">
            <v>Q</v>
          </cell>
          <cell r="AN2319" t="str">
            <v>M0</v>
          </cell>
          <cell r="AO2319" t="str">
            <v>Active(Model)</v>
          </cell>
          <cell r="AP2319" t="str">
            <v/>
          </cell>
          <cell r="AQ2319" t="str">
            <v/>
          </cell>
          <cell r="AR2319" t="str">
            <v>Y</v>
          </cell>
          <cell r="AS2319" t="str">
            <v/>
          </cell>
          <cell r="AT2319" t="str">
            <v>AC</v>
          </cell>
          <cell r="AU2319" t="str">
            <v>Airconditioner</v>
          </cell>
          <cell r="AV2319" t="str">
            <v>ACCS</v>
          </cell>
          <cell r="AW2319" t="str">
            <v>Control Solution</v>
          </cell>
          <cell r="AX2319" t="str">
            <v>ACCSAC</v>
          </cell>
          <cell r="AY2319" t="str">
            <v>ACS ACCESSARY</v>
          </cell>
          <cell r="AZ2319" t="str">
            <v>ACCSACPD</v>
          </cell>
          <cell r="BA2319" t="str">
            <v>ACCESSARY_PDI</v>
          </cell>
        </row>
        <row r="2320">
          <cell r="E2320" t="str">
            <v>PQNUD1S40.ENCXCOM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1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0</v>
          </cell>
          <cell r="AG2320" t="str">
            <v/>
          </cell>
          <cell r="AH2320" t="str">
            <v/>
          </cell>
          <cell r="AI2320" t="str">
            <v/>
          </cell>
          <cell r="AJ2320" t="str">
            <v/>
          </cell>
          <cell r="AK2320" t="str">
            <v>0.015301</v>
          </cell>
          <cell r="AL2320" t="str">
            <v>2</v>
          </cell>
          <cell r="AM2320" t="str">
            <v>Q</v>
          </cell>
          <cell r="AN2320" t="str">
            <v>M0</v>
          </cell>
          <cell r="AO2320" t="str">
            <v>Active(Model)</v>
          </cell>
          <cell r="AP2320" t="str">
            <v/>
          </cell>
          <cell r="AQ2320" t="str">
            <v/>
          </cell>
          <cell r="AR2320" t="str">
            <v>Y</v>
          </cell>
          <cell r="AS2320" t="str">
            <v/>
          </cell>
          <cell r="AT2320" t="str">
            <v>AC</v>
          </cell>
          <cell r="AU2320" t="str">
            <v>Airconditioner</v>
          </cell>
          <cell r="AV2320" t="str">
            <v>ACCS</v>
          </cell>
          <cell r="AW2320" t="str">
            <v>Control Solution</v>
          </cell>
          <cell r="AX2320" t="str">
            <v>ACCSAC</v>
          </cell>
          <cell r="AY2320" t="str">
            <v>ACS ACCESSARY</v>
          </cell>
          <cell r="AZ2320" t="str">
            <v>ACCSACPD</v>
          </cell>
          <cell r="BA2320" t="str">
            <v>ACCESSARY_PDI</v>
          </cell>
        </row>
        <row r="2321">
          <cell r="E2321" t="str">
            <v>PREMTB001.ENCXCOM</v>
          </cell>
          <cell r="F2321">
            <v>537</v>
          </cell>
          <cell r="G2321">
            <v>0</v>
          </cell>
          <cell r="H2321">
            <v>0</v>
          </cell>
          <cell r="I2321">
            <v>663</v>
          </cell>
          <cell r="J2321">
            <v>17</v>
          </cell>
          <cell r="K2321">
            <v>123</v>
          </cell>
          <cell r="L2321">
            <v>75</v>
          </cell>
          <cell r="M2321">
            <v>0</v>
          </cell>
          <cell r="N2321">
            <v>0</v>
          </cell>
          <cell r="O2321">
            <v>2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 t="str">
            <v/>
          </cell>
          <cell r="AH2321" t="str">
            <v/>
          </cell>
          <cell r="AI2321" t="str">
            <v/>
          </cell>
          <cell r="AJ2321" t="str">
            <v/>
          </cell>
          <cell r="AK2321" t="str">
            <v>0.002658</v>
          </cell>
          <cell r="AL2321" t="str">
            <v>2</v>
          </cell>
          <cell r="AM2321" t="str">
            <v>Q</v>
          </cell>
          <cell r="AN2321" t="str">
            <v>M0</v>
          </cell>
          <cell r="AO2321" t="str">
            <v>Active(Model)</v>
          </cell>
          <cell r="AP2321" t="str">
            <v/>
          </cell>
          <cell r="AQ2321" t="str">
            <v/>
          </cell>
          <cell r="AR2321" t="str">
            <v>Y</v>
          </cell>
          <cell r="AS2321" t="str">
            <v/>
          </cell>
          <cell r="AT2321" t="str">
            <v>AC</v>
          </cell>
          <cell r="AU2321" t="str">
            <v>Airconditioner</v>
          </cell>
          <cell r="AV2321" t="str">
            <v>ACCS</v>
          </cell>
          <cell r="AW2321" t="str">
            <v>Control Solution</v>
          </cell>
          <cell r="AX2321" t="str">
            <v>ACCSID</v>
          </cell>
          <cell r="AY2321" t="str">
            <v>Multi V I/D 3</v>
          </cell>
          <cell r="AZ2321" t="str">
            <v>ACCSIDWR</v>
          </cell>
          <cell r="BA2321" t="str">
            <v>wire remote</v>
          </cell>
        </row>
        <row r="2322">
          <cell r="E2322" t="str">
            <v>PREMTB200.ENCXCOM</v>
          </cell>
          <cell r="F2322">
            <v>78</v>
          </cell>
          <cell r="G2322">
            <v>0</v>
          </cell>
          <cell r="H2322">
            <v>0</v>
          </cell>
          <cell r="I2322">
            <v>82</v>
          </cell>
          <cell r="J2322">
            <v>0</v>
          </cell>
          <cell r="K2322">
            <v>53</v>
          </cell>
          <cell r="L2322">
            <v>4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 t="str">
            <v/>
          </cell>
          <cell r="AH2322" t="str">
            <v/>
          </cell>
          <cell r="AI2322" t="str">
            <v/>
          </cell>
          <cell r="AJ2322" t="str">
            <v/>
          </cell>
          <cell r="AK2322" t="str">
            <v>0.002658</v>
          </cell>
          <cell r="AL2322" t="str">
            <v>0</v>
          </cell>
          <cell r="AM2322" t="str">
            <v>Q</v>
          </cell>
          <cell r="AN2322" t="str">
            <v>M0</v>
          </cell>
          <cell r="AO2322" t="str">
            <v>Active(Model)</v>
          </cell>
          <cell r="AP2322" t="str">
            <v/>
          </cell>
          <cell r="AQ2322" t="str">
            <v/>
          </cell>
          <cell r="AR2322" t="str">
            <v>Y</v>
          </cell>
          <cell r="AS2322" t="str">
            <v/>
          </cell>
          <cell r="AT2322" t="str">
            <v>AC</v>
          </cell>
          <cell r="AU2322" t="str">
            <v>Airconditioner</v>
          </cell>
          <cell r="AV2322" t="str">
            <v>ACCS</v>
          </cell>
          <cell r="AW2322" t="str">
            <v>Control Solution</v>
          </cell>
          <cell r="AX2322" t="str">
            <v>ACCSID</v>
          </cell>
          <cell r="AY2322" t="str">
            <v>Multi V I/D 3</v>
          </cell>
          <cell r="AZ2322" t="str">
            <v>ACCSIDWR</v>
          </cell>
          <cell r="BA2322" t="str">
            <v>wire remote</v>
          </cell>
        </row>
        <row r="2323">
          <cell r="E2323" t="str">
            <v>PREMTBB01.ENCXLEU</v>
          </cell>
          <cell r="F2323">
            <v>54</v>
          </cell>
          <cell r="G2323">
            <v>0</v>
          </cell>
          <cell r="H2323">
            <v>0</v>
          </cell>
          <cell r="I2323">
            <v>54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 t="str">
            <v>CAC</v>
          </cell>
          <cell r="AH2323" t="str">
            <v>CAC</v>
          </cell>
          <cell r="AI2323" t="str">
            <v/>
          </cell>
          <cell r="AJ2323" t="str">
            <v/>
          </cell>
          <cell r="AK2323" t="str">
            <v>0.002658</v>
          </cell>
          <cell r="AL2323" t="str">
            <v>2</v>
          </cell>
          <cell r="AM2323" t="str">
            <v>Q</v>
          </cell>
          <cell r="AN2323" t="str">
            <v>M0</v>
          </cell>
          <cell r="AO2323" t="str">
            <v>Active(Model)</v>
          </cell>
          <cell r="AP2323" t="str">
            <v/>
          </cell>
          <cell r="AQ2323" t="str">
            <v/>
          </cell>
          <cell r="AR2323" t="str">
            <v>Y</v>
          </cell>
          <cell r="AS2323" t="str">
            <v/>
          </cell>
          <cell r="AT2323" t="str">
            <v>AC</v>
          </cell>
          <cell r="AU2323" t="str">
            <v>Airconditioner</v>
          </cell>
          <cell r="AV2323" t="str">
            <v>ACCS</v>
          </cell>
          <cell r="AW2323" t="str">
            <v>Control Solution</v>
          </cell>
          <cell r="AX2323" t="str">
            <v>ACCSID</v>
          </cell>
          <cell r="AY2323" t="str">
            <v>Multi V I/D 3</v>
          </cell>
          <cell r="AZ2323" t="str">
            <v>ACCSIDWR</v>
          </cell>
          <cell r="BA2323" t="str">
            <v>wire remote</v>
          </cell>
        </row>
        <row r="2324">
          <cell r="E2324" t="str">
            <v>PREMTBB11.ENCXLEU</v>
          </cell>
          <cell r="F2324">
            <v>22</v>
          </cell>
          <cell r="G2324">
            <v>0</v>
          </cell>
          <cell r="H2324">
            <v>0</v>
          </cell>
          <cell r="I2324">
            <v>22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 t="str">
            <v/>
          </cell>
          <cell r="AH2324" t="str">
            <v/>
          </cell>
          <cell r="AI2324" t="str">
            <v/>
          </cell>
          <cell r="AJ2324" t="str">
            <v/>
          </cell>
          <cell r="AK2324" t="str">
            <v>0.002658</v>
          </cell>
          <cell r="AL2324" t="str">
            <v>0</v>
          </cell>
          <cell r="AM2324" t="str">
            <v>Q</v>
          </cell>
          <cell r="AN2324" t="str">
            <v>M0</v>
          </cell>
          <cell r="AO2324" t="str">
            <v>Active(Model)</v>
          </cell>
          <cell r="AP2324" t="str">
            <v/>
          </cell>
          <cell r="AQ2324" t="str">
            <v/>
          </cell>
          <cell r="AR2324" t="str">
            <v>Y</v>
          </cell>
          <cell r="AS2324" t="str">
            <v/>
          </cell>
          <cell r="AT2324" t="str">
            <v>AC</v>
          </cell>
          <cell r="AU2324" t="str">
            <v>Airconditioner</v>
          </cell>
          <cell r="AV2324" t="str">
            <v>ACCS</v>
          </cell>
          <cell r="AW2324" t="str">
            <v>Control Solution</v>
          </cell>
          <cell r="AX2324" t="str">
            <v>ACCSID</v>
          </cell>
          <cell r="AY2324" t="str">
            <v>Multi V I/D 3</v>
          </cell>
          <cell r="AZ2324" t="str">
            <v>ACCSIDWR</v>
          </cell>
          <cell r="BA2324" t="str">
            <v>wire remote</v>
          </cell>
        </row>
        <row r="2325">
          <cell r="E2325" t="str">
            <v>PRLK396A0.ENCXCOM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 t="str">
            <v/>
          </cell>
          <cell r="AH2325" t="str">
            <v/>
          </cell>
          <cell r="AI2325" t="str">
            <v/>
          </cell>
          <cell r="AJ2325" t="str">
            <v/>
          </cell>
          <cell r="AK2325" t="str">
            <v>0.041727</v>
          </cell>
          <cell r="AL2325" t="str">
            <v>0</v>
          </cell>
          <cell r="AM2325" t="str">
            <v>Q</v>
          </cell>
          <cell r="AN2325" t="str">
            <v>M0</v>
          </cell>
          <cell r="AO2325" t="str">
            <v>Active(Model)</v>
          </cell>
          <cell r="AP2325" t="str">
            <v/>
          </cell>
          <cell r="AQ2325" t="str">
            <v/>
          </cell>
          <cell r="AR2325" t="str">
            <v>Y</v>
          </cell>
          <cell r="AS2325" t="str">
            <v/>
          </cell>
          <cell r="AT2325" t="str">
            <v>AC</v>
          </cell>
          <cell r="AU2325" t="str">
            <v>Airconditioner</v>
          </cell>
          <cell r="AV2325" t="str">
            <v>ACMV</v>
          </cell>
          <cell r="AW2325" t="str">
            <v>Multi V</v>
          </cell>
          <cell r="AX2325" t="str">
            <v>ACMVAS</v>
          </cell>
          <cell r="AY2325" t="str">
            <v>Multi V Airside</v>
          </cell>
          <cell r="AZ2325" t="str">
            <v>ACMVASAE</v>
          </cell>
          <cell r="BA2325" t="str">
            <v>Airside_DX AHU_EEV kit</v>
          </cell>
        </row>
        <row r="2326">
          <cell r="E2326" t="str">
            <v>PT-AAGW0.ENCXCOM</v>
          </cell>
          <cell r="F2326">
            <v>3</v>
          </cell>
          <cell r="G2326">
            <v>0</v>
          </cell>
          <cell r="H2326">
            <v>0</v>
          </cell>
          <cell r="I2326">
            <v>43</v>
          </cell>
          <cell r="J2326">
            <v>0</v>
          </cell>
          <cell r="K2326">
            <v>11</v>
          </cell>
          <cell r="L2326">
            <v>40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 t="str">
            <v>CAC</v>
          </cell>
          <cell r="AH2326" t="str">
            <v>CAC</v>
          </cell>
          <cell r="AI2326" t="str">
            <v/>
          </cell>
          <cell r="AJ2326" t="str">
            <v/>
          </cell>
          <cell r="AK2326" t="str">
            <v>0.103228</v>
          </cell>
          <cell r="AL2326" t="str">
            <v>0</v>
          </cell>
          <cell r="AM2326" t="str">
            <v>Q</v>
          </cell>
          <cell r="AN2326" t="str">
            <v>M0</v>
          </cell>
          <cell r="AO2326" t="str">
            <v>Active(Model)</v>
          </cell>
          <cell r="AP2326" t="str">
            <v/>
          </cell>
          <cell r="AQ2326" t="str">
            <v/>
          </cell>
          <cell r="AR2326" t="str">
            <v>Y</v>
          </cell>
          <cell r="AS2326" t="str">
            <v/>
          </cell>
          <cell r="AT2326" t="str">
            <v>AC</v>
          </cell>
          <cell r="AU2326" t="str">
            <v>Airconditioner</v>
          </cell>
          <cell r="AV2326" t="str">
            <v>ACMV</v>
          </cell>
          <cell r="AW2326" t="str">
            <v>Multi V</v>
          </cell>
          <cell r="AX2326" t="str">
            <v>ACMVID</v>
          </cell>
          <cell r="AY2326" t="str">
            <v>Multi V I/D</v>
          </cell>
          <cell r="AZ2326" t="str">
            <v>ACMVIDMP</v>
          </cell>
          <cell r="BA2326" t="str">
            <v>Multi V_ CST_Mechanical Part</v>
          </cell>
        </row>
        <row r="2327">
          <cell r="E2327" t="str">
            <v>PT-MCGW0.ENCXCOM</v>
          </cell>
          <cell r="F2327">
            <v>271</v>
          </cell>
          <cell r="G2327">
            <v>0</v>
          </cell>
          <cell r="H2327">
            <v>0</v>
          </cell>
          <cell r="I2327">
            <v>440</v>
          </cell>
          <cell r="J2327">
            <v>6</v>
          </cell>
          <cell r="K2327">
            <v>29</v>
          </cell>
          <cell r="L2327">
            <v>60</v>
          </cell>
          <cell r="M2327">
            <v>0</v>
          </cell>
          <cell r="N2327">
            <v>40</v>
          </cell>
          <cell r="O2327">
            <v>28</v>
          </cell>
          <cell r="P2327">
            <v>40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 t="str">
            <v>CAC</v>
          </cell>
          <cell r="AH2327" t="str">
            <v>CAC</v>
          </cell>
          <cell r="AI2327" t="str">
            <v/>
          </cell>
          <cell r="AJ2327" t="str">
            <v/>
          </cell>
          <cell r="AK2327" t="str">
            <v>0.112538</v>
          </cell>
          <cell r="AL2327" t="str">
            <v>2</v>
          </cell>
          <cell r="AM2327" t="str">
            <v>Q</v>
          </cell>
          <cell r="AN2327" t="str">
            <v>M0</v>
          </cell>
          <cell r="AO2327" t="str">
            <v>Active(Model)</v>
          </cell>
          <cell r="AP2327" t="str">
            <v/>
          </cell>
          <cell r="AQ2327" t="str">
            <v/>
          </cell>
          <cell r="AR2327" t="str">
            <v>Y</v>
          </cell>
          <cell r="AS2327" t="str">
            <v/>
          </cell>
          <cell r="AT2327" t="str">
            <v>AC</v>
          </cell>
          <cell r="AU2327" t="str">
            <v>Airconditioner</v>
          </cell>
          <cell r="AV2327" t="str">
            <v>ACMV</v>
          </cell>
          <cell r="AW2327" t="str">
            <v>Multi V</v>
          </cell>
          <cell r="AX2327" t="str">
            <v>ACMVID</v>
          </cell>
          <cell r="AY2327" t="str">
            <v>Multi V I/D</v>
          </cell>
          <cell r="AZ2327" t="str">
            <v>ACMVIDMP</v>
          </cell>
          <cell r="BA2327" t="str">
            <v>Multi V_ CST_Mechanical Part</v>
          </cell>
        </row>
        <row r="2328">
          <cell r="E2328" t="str">
            <v>PT-QAGW0.ENCXCOM</v>
          </cell>
          <cell r="F2328">
            <v>6</v>
          </cell>
          <cell r="G2328">
            <v>0</v>
          </cell>
          <cell r="H2328">
            <v>0</v>
          </cell>
          <cell r="I2328">
            <v>8</v>
          </cell>
          <cell r="J2328">
            <v>0</v>
          </cell>
          <cell r="K2328">
            <v>0</v>
          </cell>
          <cell r="L2328">
            <v>2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 t="str">
            <v/>
          </cell>
          <cell r="AH2328" t="str">
            <v/>
          </cell>
          <cell r="AI2328" t="str">
            <v/>
          </cell>
          <cell r="AJ2328" t="str">
            <v/>
          </cell>
          <cell r="AK2328" t="str">
            <v>0.058804</v>
          </cell>
          <cell r="AL2328" t="str">
            <v>0</v>
          </cell>
          <cell r="AM2328" t="str">
            <v>Q</v>
          </cell>
          <cell r="AN2328" t="str">
            <v>M0</v>
          </cell>
          <cell r="AO2328" t="str">
            <v>Active(Model)</v>
          </cell>
          <cell r="AP2328" t="str">
            <v/>
          </cell>
          <cell r="AQ2328" t="str">
            <v/>
          </cell>
          <cell r="AR2328" t="str">
            <v>Y</v>
          </cell>
          <cell r="AS2328" t="str">
            <v/>
          </cell>
          <cell r="AT2328" t="str">
            <v>AC</v>
          </cell>
          <cell r="AU2328" t="str">
            <v>Airconditioner</v>
          </cell>
          <cell r="AV2328" t="str">
            <v>ACMV</v>
          </cell>
          <cell r="AW2328" t="str">
            <v>Multi V</v>
          </cell>
          <cell r="AX2328" t="str">
            <v>ACMVID</v>
          </cell>
          <cell r="AY2328" t="str">
            <v>Multi V I/D</v>
          </cell>
          <cell r="AZ2328" t="str">
            <v>ACMVIDMP</v>
          </cell>
          <cell r="BA2328" t="str">
            <v>Multi V_ CST_Mechanical Part</v>
          </cell>
        </row>
        <row r="2329">
          <cell r="E2329" t="str">
            <v>PT-TAHG0.ENCXGLO</v>
          </cell>
          <cell r="F2329">
            <v>2</v>
          </cell>
          <cell r="G2329">
            <v>0</v>
          </cell>
          <cell r="H2329">
            <v>0</v>
          </cell>
          <cell r="I2329">
            <v>6</v>
          </cell>
          <cell r="J2329">
            <v>0</v>
          </cell>
          <cell r="K2329">
            <v>0</v>
          </cell>
          <cell r="L2329">
            <v>4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 t="str">
            <v>CAC</v>
          </cell>
          <cell r="AH2329" t="str">
            <v>CAC</v>
          </cell>
          <cell r="AI2329" t="str">
            <v/>
          </cell>
          <cell r="AJ2329" t="str">
            <v/>
          </cell>
          <cell r="AK2329" t="str">
            <v>0.095651</v>
          </cell>
          <cell r="AL2329" t="str">
            <v>0</v>
          </cell>
          <cell r="AM2329" t="str">
            <v>Q</v>
          </cell>
          <cell r="AN2329" t="str">
            <v>M0</v>
          </cell>
          <cell r="AO2329" t="str">
            <v>Active(Model)</v>
          </cell>
          <cell r="AP2329" t="str">
            <v/>
          </cell>
          <cell r="AQ2329" t="str">
            <v/>
          </cell>
          <cell r="AR2329" t="str">
            <v>Y</v>
          </cell>
          <cell r="AS2329" t="str">
            <v/>
          </cell>
          <cell r="AT2329" t="str">
            <v>AC</v>
          </cell>
          <cell r="AU2329" t="str">
            <v>Airconditioner</v>
          </cell>
          <cell r="AV2329" t="str">
            <v>ACMV</v>
          </cell>
          <cell r="AW2329" t="str">
            <v>Multi V</v>
          </cell>
          <cell r="AX2329" t="str">
            <v>ACMVID</v>
          </cell>
          <cell r="AY2329" t="str">
            <v>Multi V I/D</v>
          </cell>
          <cell r="AZ2329" t="str">
            <v>ACMVIDMP</v>
          </cell>
          <cell r="BA2329" t="str">
            <v>Multi V_ CST_Mechanical Part</v>
          </cell>
        </row>
        <row r="2330">
          <cell r="E2330" t="str">
            <v>PT-TAHW0.ENCXCOM</v>
          </cell>
          <cell r="F2330">
            <v>146</v>
          </cell>
          <cell r="G2330">
            <v>0</v>
          </cell>
          <cell r="H2330">
            <v>0</v>
          </cell>
          <cell r="I2330">
            <v>306</v>
          </cell>
          <cell r="J2330">
            <v>0</v>
          </cell>
          <cell r="K2330">
            <v>0</v>
          </cell>
          <cell r="L2330">
            <v>3</v>
          </cell>
          <cell r="M2330">
            <v>9</v>
          </cell>
          <cell r="N2330">
            <v>0</v>
          </cell>
          <cell r="O2330">
            <v>0</v>
          </cell>
          <cell r="P2330">
            <v>9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 t="str">
            <v>CAC</v>
          </cell>
          <cell r="AH2330" t="str">
            <v>CAC</v>
          </cell>
          <cell r="AI2330" t="str">
            <v/>
          </cell>
          <cell r="AJ2330" t="str">
            <v/>
          </cell>
          <cell r="AK2330" t="str">
            <v>0.110603</v>
          </cell>
          <cell r="AL2330" t="str">
            <v>2</v>
          </cell>
          <cell r="AM2330" t="str">
            <v>Q</v>
          </cell>
          <cell r="AN2330" t="str">
            <v>M0</v>
          </cell>
          <cell r="AO2330" t="str">
            <v>Active(Model)</v>
          </cell>
          <cell r="AP2330" t="str">
            <v/>
          </cell>
          <cell r="AQ2330" t="str">
            <v/>
          </cell>
          <cell r="AR2330" t="str">
            <v>Y</v>
          </cell>
          <cell r="AS2330" t="str">
            <v/>
          </cell>
          <cell r="AT2330" t="str">
            <v>AC</v>
          </cell>
          <cell r="AU2330" t="str">
            <v>Airconditioner</v>
          </cell>
          <cell r="AV2330" t="str">
            <v>ACMV</v>
          </cell>
          <cell r="AW2330" t="str">
            <v>Multi V</v>
          </cell>
          <cell r="AX2330" t="str">
            <v>ACMVID</v>
          </cell>
          <cell r="AY2330" t="str">
            <v>Multi V I/D</v>
          </cell>
          <cell r="AZ2330" t="str">
            <v>ACMVIDMP</v>
          </cell>
          <cell r="BA2330" t="str">
            <v>Multi V_ CST_Mechanical Part</v>
          </cell>
        </row>
        <row r="2331">
          <cell r="E2331" t="str">
            <v>PT-TPHG0.ENCXCOM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 t="str">
            <v>CAC</v>
          </cell>
          <cell r="AH2331" t="str">
            <v>CAC</v>
          </cell>
          <cell r="AI2331" t="str">
            <v/>
          </cell>
          <cell r="AJ2331" t="str">
            <v/>
          </cell>
          <cell r="AK2331" t="str">
            <v>0.095651</v>
          </cell>
          <cell r="AL2331" t="str">
            <v>2</v>
          </cell>
          <cell r="AM2331" t="str">
            <v>Q</v>
          </cell>
          <cell r="AN2331" t="str">
            <v>M0</v>
          </cell>
          <cell r="AO2331" t="str">
            <v>Active(Model)</v>
          </cell>
          <cell r="AP2331" t="str">
            <v/>
          </cell>
          <cell r="AQ2331" t="str">
            <v/>
          </cell>
          <cell r="AR2331" t="str">
            <v>Y</v>
          </cell>
          <cell r="AS2331" t="str">
            <v/>
          </cell>
          <cell r="AT2331" t="str">
            <v>AC</v>
          </cell>
          <cell r="AU2331" t="str">
            <v>Airconditioner</v>
          </cell>
          <cell r="AV2331" t="str">
            <v>ACMV</v>
          </cell>
          <cell r="AW2331" t="str">
            <v>Multi V</v>
          </cell>
          <cell r="AX2331" t="str">
            <v>ACMVID</v>
          </cell>
          <cell r="AY2331" t="str">
            <v>Multi V I/D</v>
          </cell>
          <cell r="AZ2331" t="str">
            <v>ACMVIDMP</v>
          </cell>
          <cell r="BA2331" t="str">
            <v>Multi V_ CST_Mechanical Part</v>
          </cell>
        </row>
        <row r="2332">
          <cell r="E2332" t="str">
            <v>PT-UAHG0.ENCXGLO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11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 t="str">
            <v>CAC</v>
          </cell>
          <cell r="AH2332" t="str">
            <v>CAC</v>
          </cell>
          <cell r="AI2332" t="str">
            <v/>
          </cell>
          <cell r="AJ2332" t="str">
            <v/>
          </cell>
          <cell r="AK2332" t="str">
            <v>0.075514</v>
          </cell>
          <cell r="AL2332" t="str">
            <v>0</v>
          </cell>
          <cell r="AM2332" t="str">
            <v>Q</v>
          </cell>
          <cell r="AN2332" t="str">
            <v>M0</v>
          </cell>
          <cell r="AO2332" t="str">
            <v>Active(Model)</v>
          </cell>
          <cell r="AP2332" t="str">
            <v/>
          </cell>
          <cell r="AQ2332" t="str">
            <v/>
          </cell>
          <cell r="AR2332" t="str">
            <v>Y</v>
          </cell>
          <cell r="AS2332" t="str">
            <v/>
          </cell>
          <cell r="AT2332" t="str">
            <v>AC</v>
          </cell>
          <cell r="AU2332" t="str">
            <v>Airconditioner</v>
          </cell>
          <cell r="AV2332" t="str">
            <v>ACMV</v>
          </cell>
          <cell r="AW2332" t="str">
            <v>Multi V</v>
          </cell>
          <cell r="AX2332" t="str">
            <v>ACMVID</v>
          </cell>
          <cell r="AY2332" t="str">
            <v>Multi V I/D</v>
          </cell>
          <cell r="AZ2332" t="str">
            <v>ACMVIDMP</v>
          </cell>
          <cell r="BA2332" t="str">
            <v>Multi V_ CST_Mechanical Part</v>
          </cell>
        </row>
        <row r="2333">
          <cell r="E2333" t="str">
            <v>PT-UAHW0.ENCXCOM</v>
          </cell>
          <cell r="F2333">
            <v>536</v>
          </cell>
          <cell r="G2333">
            <v>0</v>
          </cell>
          <cell r="H2333">
            <v>0</v>
          </cell>
          <cell r="I2333">
            <v>613</v>
          </cell>
          <cell r="J2333">
            <v>0</v>
          </cell>
          <cell r="K2333">
            <v>0</v>
          </cell>
          <cell r="L2333">
            <v>6</v>
          </cell>
          <cell r="M2333">
            <v>0</v>
          </cell>
          <cell r="N2333">
            <v>0</v>
          </cell>
          <cell r="O2333">
            <v>6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 t="str">
            <v>CAC</v>
          </cell>
          <cell r="AH2333" t="str">
            <v>CAC</v>
          </cell>
          <cell r="AI2333" t="str">
            <v/>
          </cell>
          <cell r="AJ2333" t="str">
            <v/>
          </cell>
          <cell r="AK2333" t="str">
            <v>0.086526</v>
          </cell>
          <cell r="AL2333" t="str">
            <v>2</v>
          </cell>
          <cell r="AM2333" t="str">
            <v>Q</v>
          </cell>
          <cell r="AN2333" t="str">
            <v>M0</v>
          </cell>
          <cell r="AO2333" t="str">
            <v>Active(Model)</v>
          </cell>
          <cell r="AP2333" t="str">
            <v/>
          </cell>
          <cell r="AQ2333" t="str">
            <v/>
          </cell>
          <cell r="AR2333" t="str">
            <v>Y</v>
          </cell>
          <cell r="AS2333" t="str">
            <v/>
          </cell>
          <cell r="AT2333" t="str">
            <v>AC</v>
          </cell>
          <cell r="AU2333" t="str">
            <v>Airconditioner</v>
          </cell>
          <cell r="AV2333" t="str">
            <v>ACMV</v>
          </cell>
          <cell r="AW2333" t="str">
            <v>Multi V</v>
          </cell>
          <cell r="AX2333" t="str">
            <v>ACMVID</v>
          </cell>
          <cell r="AY2333" t="str">
            <v>Multi V I/D</v>
          </cell>
          <cell r="AZ2333" t="str">
            <v>ACMVIDMP</v>
          </cell>
          <cell r="BA2333" t="str">
            <v>Multi V_ CST_Mechanical Part</v>
          </cell>
        </row>
        <row r="2334">
          <cell r="E2334" t="str">
            <v>PT-UPHG0.ENCXCOM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  <cell r="AF2334">
            <v>0</v>
          </cell>
          <cell r="AG2334" t="str">
            <v>CAC</v>
          </cell>
          <cell r="AH2334" t="str">
            <v>CAC</v>
          </cell>
          <cell r="AI2334" t="str">
            <v/>
          </cell>
          <cell r="AJ2334" t="str">
            <v/>
          </cell>
          <cell r="AK2334" t="str">
            <v>0.075514</v>
          </cell>
          <cell r="AL2334" t="str">
            <v>2</v>
          </cell>
          <cell r="AM2334" t="str">
            <v>Q</v>
          </cell>
          <cell r="AN2334" t="str">
            <v>M0</v>
          </cell>
          <cell r="AO2334" t="str">
            <v>Active(Model)</v>
          </cell>
          <cell r="AP2334" t="str">
            <v/>
          </cell>
          <cell r="AQ2334" t="str">
            <v/>
          </cell>
          <cell r="AR2334" t="str">
            <v>Y</v>
          </cell>
          <cell r="AS2334" t="str">
            <v/>
          </cell>
          <cell r="AT2334" t="str">
            <v>AC</v>
          </cell>
          <cell r="AU2334" t="str">
            <v>Airconditioner</v>
          </cell>
          <cell r="AV2334" t="str">
            <v>ACMV</v>
          </cell>
          <cell r="AW2334" t="str">
            <v>Multi V</v>
          </cell>
          <cell r="AX2334" t="str">
            <v>ACMVID</v>
          </cell>
          <cell r="AY2334" t="str">
            <v>Multi V I/D</v>
          </cell>
          <cell r="AZ2334" t="str">
            <v>ACMVIDMP</v>
          </cell>
          <cell r="BA2334" t="str">
            <v>Multi V_ CST_Mechanical Part</v>
          </cell>
        </row>
        <row r="2335">
          <cell r="E2335" t="str">
            <v>PT-USC.ENCXLEU</v>
          </cell>
          <cell r="F2335">
            <v>18</v>
          </cell>
          <cell r="G2335">
            <v>0</v>
          </cell>
          <cell r="H2335">
            <v>0</v>
          </cell>
          <cell r="I2335">
            <v>18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 t="str">
            <v>CAC</v>
          </cell>
          <cell r="AH2335" t="str">
            <v>CAC</v>
          </cell>
          <cell r="AI2335" t="str">
            <v/>
          </cell>
          <cell r="AJ2335" t="str">
            <v/>
          </cell>
          <cell r="AK2335" t="str">
            <v>0.094262</v>
          </cell>
          <cell r="AL2335" t="str">
            <v>2</v>
          </cell>
          <cell r="AM2335" t="str">
            <v>Q</v>
          </cell>
          <cell r="AN2335" t="str">
            <v>M0</v>
          </cell>
          <cell r="AO2335" t="str">
            <v>Active(Model)</v>
          </cell>
          <cell r="AP2335" t="str">
            <v/>
          </cell>
          <cell r="AQ2335" t="str">
            <v/>
          </cell>
          <cell r="AR2335" t="str">
            <v>Y</v>
          </cell>
          <cell r="AS2335" t="str">
            <v/>
          </cell>
          <cell r="AT2335" t="str">
            <v>AC</v>
          </cell>
          <cell r="AU2335" t="str">
            <v>Airconditioner</v>
          </cell>
          <cell r="AV2335" t="str">
            <v>ACMV</v>
          </cell>
          <cell r="AW2335" t="str">
            <v>Multi V</v>
          </cell>
          <cell r="AX2335" t="str">
            <v>ACMVID</v>
          </cell>
          <cell r="AY2335" t="str">
            <v>Multi V I/D</v>
          </cell>
          <cell r="AZ2335" t="str">
            <v>ACMVIDMP</v>
          </cell>
          <cell r="BA2335" t="str">
            <v>Multi V_ CST_Mechanical Part</v>
          </cell>
        </row>
        <row r="2336">
          <cell r="E2336" t="str">
            <v>PTAHMP0.ENCXCOM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3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 t="str">
            <v>CAC</v>
          </cell>
          <cell r="AH2336" t="str">
            <v>CAC</v>
          </cell>
          <cell r="AI2336" t="str">
            <v/>
          </cell>
          <cell r="AJ2336" t="str">
            <v/>
          </cell>
          <cell r="AK2336" t="str">
            <v>0.045130</v>
          </cell>
          <cell r="AL2336" t="str">
            <v>2</v>
          </cell>
          <cell r="AM2336" t="str">
            <v>Q</v>
          </cell>
          <cell r="AN2336" t="str">
            <v>M0</v>
          </cell>
          <cell r="AO2336" t="str">
            <v>Active(Model)</v>
          </cell>
          <cell r="AP2336" t="str">
            <v/>
          </cell>
          <cell r="AQ2336" t="str">
            <v/>
          </cell>
          <cell r="AR2336" t="str">
            <v>Y</v>
          </cell>
          <cell r="AS2336" t="str">
            <v/>
          </cell>
          <cell r="AT2336" t="str">
            <v>AC</v>
          </cell>
          <cell r="AU2336" t="str">
            <v>Airconditioner</v>
          </cell>
          <cell r="AV2336" t="str">
            <v>ACMV</v>
          </cell>
          <cell r="AW2336" t="str">
            <v>Multi V</v>
          </cell>
          <cell r="AX2336" t="str">
            <v>ACMVID</v>
          </cell>
          <cell r="AY2336" t="str">
            <v>Multi V I/D</v>
          </cell>
          <cell r="AZ2336" t="str">
            <v>ACMVIDSN</v>
          </cell>
          <cell r="BA2336" t="str">
            <v>Multi V_I/D_Special Function</v>
          </cell>
        </row>
        <row r="2337">
          <cell r="E2337" t="str">
            <v>PU615U.ATV</v>
          </cell>
          <cell r="F2337">
            <v>0</v>
          </cell>
          <cell r="G2337">
            <v>0</v>
          </cell>
          <cell r="H2337">
            <v>0</v>
          </cell>
          <cell r="I2337">
            <v>1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 t="str">
            <v>PRJ</v>
          </cell>
          <cell r="AH2337" t="str">
            <v>Projector</v>
          </cell>
          <cell r="AI2337" t="str">
            <v/>
          </cell>
          <cell r="AJ2337" t="str">
            <v/>
          </cell>
          <cell r="AK2337" t="str">
            <v>0.014762</v>
          </cell>
          <cell r="AL2337" t="str">
            <v>2</v>
          </cell>
          <cell r="AM2337" t="str">
            <v>Q</v>
          </cell>
          <cell r="AN2337" t="str">
            <v>M0</v>
          </cell>
          <cell r="AO2337" t="str">
            <v>Active(Model)</v>
          </cell>
          <cell r="AP2337" t="str">
            <v/>
          </cell>
          <cell r="AQ2337" t="str">
            <v/>
          </cell>
          <cell r="AR2337" t="str">
            <v>Y</v>
          </cell>
          <cell r="AS2337" t="str">
            <v/>
          </cell>
          <cell r="AT2337" t="str">
            <v>TV</v>
          </cell>
          <cell r="AU2337" t="str">
            <v>TV</v>
          </cell>
          <cell r="AV2337" t="str">
            <v>TVPR</v>
          </cell>
          <cell r="AW2337" t="str">
            <v>Projector</v>
          </cell>
          <cell r="AX2337" t="str">
            <v>TVPRPL</v>
          </cell>
          <cell r="AY2337" t="str">
            <v>PJTR Laser</v>
          </cell>
          <cell r="AZ2337" t="str">
            <v>TVPRPLNU</v>
          </cell>
          <cell r="BA2337" t="str">
            <v>PJTR Laser UHD</v>
          </cell>
        </row>
        <row r="2338">
          <cell r="E2338" t="str">
            <v>PWFMDD200.ENCXLEU</v>
          </cell>
          <cell r="F2338">
            <v>7</v>
          </cell>
          <cell r="G2338">
            <v>0</v>
          </cell>
          <cell r="H2338">
            <v>0</v>
          </cell>
          <cell r="I2338">
            <v>7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 t="str">
            <v>CAC</v>
          </cell>
          <cell r="AH2338" t="str">
            <v>CAC</v>
          </cell>
          <cell r="AI2338" t="str">
            <v/>
          </cell>
          <cell r="AJ2338" t="str">
            <v/>
          </cell>
          <cell r="AK2338" t="str">
            <v>0.002376</v>
          </cell>
          <cell r="AL2338" t="str">
            <v>2</v>
          </cell>
          <cell r="AM2338" t="str">
            <v>Q</v>
          </cell>
          <cell r="AN2338" t="str">
            <v>M0</v>
          </cell>
          <cell r="AO2338" t="str">
            <v>Active(Model)</v>
          </cell>
          <cell r="AP2338" t="str">
            <v/>
          </cell>
          <cell r="AQ2338" t="str">
            <v/>
          </cell>
          <cell r="AR2338" t="str">
            <v>Y</v>
          </cell>
          <cell r="AS2338" t="str">
            <v/>
          </cell>
          <cell r="AT2338" t="str">
            <v>AC</v>
          </cell>
          <cell r="AU2338" t="str">
            <v>Airconditioner</v>
          </cell>
          <cell r="AV2338" t="str">
            <v>ACCS</v>
          </cell>
          <cell r="AW2338" t="str">
            <v>Control Solution</v>
          </cell>
          <cell r="AX2338" t="str">
            <v>ACCSAC</v>
          </cell>
          <cell r="AY2338" t="str">
            <v>ACS ACCESSARY</v>
          </cell>
          <cell r="AZ2338" t="str">
            <v>ACCSACCS</v>
          </cell>
          <cell r="BA2338" t="str">
            <v>ACCESSARY_ETC</v>
          </cell>
        </row>
        <row r="2339">
          <cell r="E2339" t="str">
            <v>PWFMDD202.ENCXCOM</v>
          </cell>
          <cell r="F2339">
            <v>10</v>
          </cell>
          <cell r="G2339">
            <v>0</v>
          </cell>
          <cell r="H2339">
            <v>0</v>
          </cell>
          <cell r="I2339">
            <v>13</v>
          </cell>
          <cell r="J2339">
            <v>0</v>
          </cell>
          <cell r="K2339">
            <v>0</v>
          </cell>
          <cell r="L2339">
            <v>3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 t="str">
            <v/>
          </cell>
          <cell r="AH2339" t="str">
            <v/>
          </cell>
          <cell r="AI2339" t="str">
            <v/>
          </cell>
          <cell r="AJ2339" t="str">
            <v/>
          </cell>
          <cell r="AK2339" t="str">
            <v>0.002658</v>
          </cell>
          <cell r="AL2339" t="str">
            <v>0</v>
          </cell>
          <cell r="AM2339" t="str">
            <v>Q</v>
          </cell>
          <cell r="AN2339" t="str">
            <v>M0</v>
          </cell>
          <cell r="AO2339" t="str">
            <v>Active(Model)</v>
          </cell>
          <cell r="AP2339" t="str">
            <v/>
          </cell>
          <cell r="AQ2339" t="str">
            <v/>
          </cell>
          <cell r="AR2339" t="str">
            <v>Y</v>
          </cell>
          <cell r="AS2339" t="str">
            <v/>
          </cell>
          <cell r="AT2339" t="str">
            <v>AC</v>
          </cell>
          <cell r="AU2339" t="str">
            <v>Airconditioner</v>
          </cell>
          <cell r="AV2339" t="str">
            <v>ACCS</v>
          </cell>
          <cell r="AW2339" t="str">
            <v>Control Solution</v>
          </cell>
          <cell r="AX2339" t="str">
            <v>ACCSAC</v>
          </cell>
          <cell r="AY2339" t="str">
            <v>ACS ACCESSARY</v>
          </cell>
          <cell r="AZ2339" t="str">
            <v>ACCSACCS</v>
          </cell>
          <cell r="BA2339" t="str">
            <v>ACCESSARY_ETC</v>
          </cell>
        </row>
        <row r="2340">
          <cell r="E2340" t="str">
            <v>PWLRVN000.ENCXLEU</v>
          </cell>
          <cell r="F2340">
            <v>11</v>
          </cell>
          <cell r="G2340">
            <v>0</v>
          </cell>
          <cell r="H2340">
            <v>0</v>
          </cell>
          <cell r="I2340">
            <v>119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 t="str">
            <v>CAC</v>
          </cell>
          <cell r="AH2340" t="str">
            <v>CAC</v>
          </cell>
          <cell r="AI2340" t="str">
            <v/>
          </cell>
          <cell r="AJ2340" t="str">
            <v/>
          </cell>
          <cell r="AK2340" t="str">
            <v>0.002376</v>
          </cell>
          <cell r="AL2340" t="str">
            <v>2</v>
          </cell>
          <cell r="AM2340" t="str">
            <v>Q</v>
          </cell>
          <cell r="AN2340" t="str">
            <v>M0</v>
          </cell>
          <cell r="AO2340" t="str">
            <v>Active(Model)</v>
          </cell>
          <cell r="AP2340" t="str">
            <v/>
          </cell>
          <cell r="AQ2340" t="str">
            <v/>
          </cell>
          <cell r="AR2340" t="str">
            <v>Y</v>
          </cell>
          <cell r="AS2340" t="str">
            <v/>
          </cell>
          <cell r="AT2340" t="str">
            <v>AC</v>
          </cell>
          <cell r="AU2340" t="str">
            <v>Airconditioner</v>
          </cell>
          <cell r="AV2340" t="str">
            <v>ACFS</v>
          </cell>
          <cell r="AW2340" t="str">
            <v>Fixed Single CAC</v>
          </cell>
          <cell r="AX2340" t="str">
            <v>ACFSCD</v>
          </cell>
          <cell r="AY2340" t="str">
            <v>Ceiling Concealed Duct</v>
          </cell>
          <cell r="AZ2340" t="str">
            <v>ACFSCDDP</v>
          </cell>
          <cell r="BA2340" t="str">
            <v>Duct_Mechanical option part</v>
          </cell>
        </row>
        <row r="2341">
          <cell r="E2341" t="str">
            <v>PWLSSB21C.ENCXLEU</v>
          </cell>
          <cell r="F2341">
            <v>277</v>
          </cell>
          <cell r="G2341">
            <v>0</v>
          </cell>
          <cell r="H2341">
            <v>0</v>
          </cell>
          <cell r="I2341">
            <v>477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 t="str">
            <v/>
          </cell>
          <cell r="AH2341" t="str">
            <v/>
          </cell>
          <cell r="AI2341" t="str">
            <v/>
          </cell>
          <cell r="AJ2341" t="str">
            <v/>
          </cell>
          <cell r="AK2341" t="str">
            <v>0.002760</v>
          </cell>
          <cell r="AL2341" t="str">
            <v>2</v>
          </cell>
          <cell r="AM2341" t="str">
            <v>Q</v>
          </cell>
          <cell r="AN2341" t="str">
            <v>M0</v>
          </cell>
          <cell r="AO2341" t="str">
            <v>Active(Model)</v>
          </cell>
          <cell r="AP2341" t="str">
            <v/>
          </cell>
          <cell r="AQ2341" t="str">
            <v/>
          </cell>
          <cell r="AR2341" t="str">
            <v>Y</v>
          </cell>
          <cell r="AS2341" t="str">
            <v/>
          </cell>
          <cell r="AT2341" t="str">
            <v>AC</v>
          </cell>
          <cell r="AU2341" t="str">
            <v>Airconditioner</v>
          </cell>
          <cell r="AV2341" t="str">
            <v>ACCS</v>
          </cell>
          <cell r="AW2341" t="str">
            <v>Control Solution</v>
          </cell>
          <cell r="AX2341" t="str">
            <v>ACCSID</v>
          </cell>
          <cell r="AY2341" t="str">
            <v>Multi V I/D 3</v>
          </cell>
          <cell r="AZ2341" t="str">
            <v>ACCSIDWL</v>
          </cell>
          <cell r="BA2341" t="str">
            <v>wireless remote</v>
          </cell>
        </row>
        <row r="2342">
          <cell r="E2342" t="str">
            <v>PWLSSB21H.ENCXLEU</v>
          </cell>
          <cell r="F2342">
            <v>1</v>
          </cell>
          <cell r="G2342">
            <v>0</v>
          </cell>
          <cell r="H2342">
            <v>0</v>
          </cell>
          <cell r="I2342">
            <v>1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 t="str">
            <v/>
          </cell>
          <cell r="AH2342" t="str">
            <v/>
          </cell>
          <cell r="AI2342" t="str">
            <v/>
          </cell>
          <cell r="AJ2342" t="str">
            <v/>
          </cell>
          <cell r="AK2342" t="str">
            <v>0.002760</v>
          </cell>
          <cell r="AL2342" t="str">
            <v>0</v>
          </cell>
          <cell r="AM2342" t="str">
            <v>Q</v>
          </cell>
          <cell r="AN2342" t="str">
            <v>M0</v>
          </cell>
          <cell r="AO2342" t="str">
            <v>Active(Model)</v>
          </cell>
          <cell r="AP2342" t="str">
            <v/>
          </cell>
          <cell r="AQ2342" t="str">
            <v/>
          </cell>
          <cell r="AR2342" t="str">
            <v>Y</v>
          </cell>
          <cell r="AS2342" t="str">
            <v/>
          </cell>
          <cell r="AT2342" t="str">
            <v>AC</v>
          </cell>
          <cell r="AU2342" t="str">
            <v>Airconditioner</v>
          </cell>
          <cell r="AV2342" t="str">
            <v>ACCS</v>
          </cell>
          <cell r="AW2342" t="str">
            <v>Control Solution</v>
          </cell>
          <cell r="AX2342" t="str">
            <v>ACCSID</v>
          </cell>
          <cell r="AY2342" t="str">
            <v>Multi V I/D 3</v>
          </cell>
          <cell r="AZ2342" t="str">
            <v>ACCSIDWL</v>
          </cell>
          <cell r="BA2342" t="str">
            <v>wireless remote</v>
          </cell>
        </row>
        <row r="2343">
          <cell r="E2343" t="str">
            <v>RB09NHP5O.ANBPEVN</v>
          </cell>
          <cell r="F2343">
            <v>54</v>
          </cell>
          <cell r="G2343">
            <v>0</v>
          </cell>
          <cell r="H2343">
            <v>0</v>
          </cell>
          <cell r="I2343">
            <v>155</v>
          </cell>
          <cell r="J2343">
            <v>2</v>
          </cell>
          <cell r="K2343">
            <v>20</v>
          </cell>
          <cell r="L2343">
            <v>0</v>
          </cell>
          <cell r="M2343">
            <v>0</v>
          </cell>
          <cell r="N2343">
            <v>92</v>
          </cell>
          <cell r="O2343">
            <v>3</v>
          </cell>
          <cell r="P2343">
            <v>92</v>
          </cell>
          <cell r="Q2343">
            <v>203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 t="str">
            <v>WMPREPLUS</v>
          </cell>
          <cell r="AH2343" t="str">
            <v>WM_Premium_Plus</v>
          </cell>
          <cell r="AI2343" t="str">
            <v/>
          </cell>
          <cell r="AJ2343" t="str">
            <v/>
          </cell>
          <cell r="AK2343" t="str">
            <v>0.414117</v>
          </cell>
          <cell r="AL2343" t="str">
            <v>2</v>
          </cell>
          <cell r="AM2343" t="str">
            <v>Q</v>
          </cell>
          <cell r="AN2343" t="str">
            <v>M0</v>
          </cell>
          <cell r="AO2343" t="str">
            <v>Active(Model)</v>
          </cell>
          <cell r="AP2343" t="str">
            <v/>
          </cell>
          <cell r="AQ2343" t="str">
            <v/>
          </cell>
          <cell r="AR2343" t="str">
            <v>Y</v>
          </cell>
          <cell r="AS2343" t="str">
            <v/>
          </cell>
          <cell r="AT2343" t="str">
            <v>WM</v>
          </cell>
          <cell r="AU2343" t="str">
            <v>Washing Machine</v>
          </cell>
          <cell r="AV2343" t="str">
            <v>WMWR</v>
          </cell>
          <cell r="AW2343" t="str">
            <v>Clothes Dryer</v>
          </cell>
          <cell r="AX2343" t="str">
            <v>WMWRWR</v>
          </cell>
          <cell r="AY2343" t="str">
            <v>Clothes Dryer</v>
          </cell>
          <cell r="AZ2343" t="str">
            <v>WMWRWRCA</v>
          </cell>
          <cell r="BA2343" t="str">
            <v>Clothes Dryer</v>
          </cell>
        </row>
        <row r="2344">
          <cell r="E2344" t="str">
            <v>RB09NHP5W.ABWPEVN</v>
          </cell>
          <cell r="F2344">
            <v>0</v>
          </cell>
          <cell r="G2344">
            <v>0</v>
          </cell>
          <cell r="H2344">
            <v>0</v>
          </cell>
          <cell r="I2344">
            <v>10</v>
          </cell>
          <cell r="J2344">
            <v>0</v>
          </cell>
          <cell r="K2344">
            <v>0</v>
          </cell>
          <cell r="L2344">
            <v>0</v>
          </cell>
          <cell r="M2344">
            <v>1</v>
          </cell>
          <cell r="N2344">
            <v>0</v>
          </cell>
          <cell r="O2344">
            <v>1</v>
          </cell>
          <cell r="P2344">
            <v>1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 t="str">
            <v>WMPREPLUS</v>
          </cell>
          <cell r="AH2344" t="str">
            <v>WM_Premium_Plus</v>
          </cell>
          <cell r="AI2344" t="str">
            <v/>
          </cell>
          <cell r="AJ2344" t="str">
            <v/>
          </cell>
          <cell r="AK2344" t="str">
            <v>0.414117</v>
          </cell>
          <cell r="AL2344" t="str">
            <v>2</v>
          </cell>
          <cell r="AM2344" t="str">
            <v>Q</v>
          </cell>
          <cell r="AN2344" t="str">
            <v>M0</v>
          </cell>
          <cell r="AO2344" t="str">
            <v>Active(Model)</v>
          </cell>
          <cell r="AP2344" t="str">
            <v/>
          </cell>
          <cell r="AQ2344" t="str">
            <v/>
          </cell>
          <cell r="AR2344" t="str">
            <v>Y</v>
          </cell>
          <cell r="AS2344" t="str">
            <v/>
          </cell>
          <cell r="AT2344" t="str">
            <v>WM</v>
          </cell>
          <cell r="AU2344" t="str">
            <v>Washing Machine</v>
          </cell>
          <cell r="AV2344" t="str">
            <v>WMWR</v>
          </cell>
          <cell r="AW2344" t="str">
            <v>Clothes Dryer</v>
          </cell>
          <cell r="AX2344" t="str">
            <v>WMWRWR</v>
          </cell>
          <cell r="AY2344" t="str">
            <v>Clothes Dryer</v>
          </cell>
          <cell r="AZ2344" t="str">
            <v>WMWRWRCA</v>
          </cell>
          <cell r="BA2344" t="str">
            <v>Clothes Dryer</v>
          </cell>
        </row>
        <row r="2345">
          <cell r="E2345" t="str">
            <v>RX11VHP5G1.AEGPEVN</v>
          </cell>
          <cell r="F2345">
            <v>0</v>
          </cell>
          <cell r="G2345">
            <v>0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7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1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 t="str">
            <v>WMPREPLUS</v>
          </cell>
          <cell r="AH2345" t="str">
            <v>WM_Premium_Plus</v>
          </cell>
          <cell r="AI2345" t="str">
            <v/>
          </cell>
          <cell r="AJ2345" t="str">
            <v/>
          </cell>
          <cell r="AK2345" t="str">
            <v>0.414117</v>
          </cell>
          <cell r="AL2345" t="str">
            <v>2</v>
          </cell>
          <cell r="AM2345" t="str">
            <v>Q</v>
          </cell>
          <cell r="AN2345" t="str">
            <v>M0</v>
          </cell>
          <cell r="AO2345" t="str">
            <v>Active(Model)</v>
          </cell>
          <cell r="AP2345" t="str">
            <v/>
          </cell>
          <cell r="AQ2345" t="str">
            <v/>
          </cell>
          <cell r="AR2345" t="str">
            <v>Y</v>
          </cell>
          <cell r="AS2345" t="str">
            <v/>
          </cell>
          <cell r="AT2345" t="str">
            <v>WM</v>
          </cell>
          <cell r="AU2345" t="str">
            <v>Washing Machine</v>
          </cell>
          <cell r="AV2345" t="str">
            <v>WMWR</v>
          </cell>
          <cell r="AW2345" t="str">
            <v>Clothes Dryer</v>
          </cell>
          <cell r="AX2345" t="str">
            <v>WMWRWR</v>
          </cell>
          <cell r="AY2345" t="str">
            <v>Clothes Dryer</v>
          </cell>
          <cell r="AZ2345" t="str">
            <v>WMWRWRCA</v>
          </cell>
          <cell r="BA2345" t="str">
            <v>Clothes Dryer</v>
          </cell>
        </row>
        <row r="2346">
          <cell r="E2346" t="str">
            <v>RX11VHP5S.AESPEVN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13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95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 t="str">
            <v>WMPREPLUS</v>
          </cell>
          <cell r="AH2346" t="str">
            <v>WM_Premium_Plus</v>
          </cell>
          <cell r="AI2346" t="str">
            <v/>
          </cell>
          <cell r="AJ2346" t="str">
            <v/>
          </cell>
          <cell r="AK2346" t="str">
            <v>0.414117</v>
          </cell>
          <cell r="AL2346" t="str">
            <v>2</v>
          </cell>
          <cell r="AM2346" t="str">
            <v>Q</v>
          </cell>
          <cell r="AN2346" t="str">
            <v>M0</v>
          </cell>
          <cell r="AO2346" t="str">
            <v>Active(Model)</v>
          </cell>
          <cell r="AP2346" t="str">
            <v/>
          </cell>
          <cell r="AQ2346" t="str">
            <v/>
          </cell>
          <cell r="AR2346" t="str">
            <v>Y</v>
          </cell>
          <cell r="AS2346" t="str">
            <v/>
          </cell>
          <cell r="AT2346" t="str">
            <v>WM</v>
          </cell>
          <cell r="AU2346" t="str">
            <v>Washing Machine</v>
          </cell>
          <cell r="AV2346" t="str">
            <v>WMWR</v>
          </cell>
          <cell r="AW2346" t="str">
            <v>Clothes Dryer</v>
          </cell>
          <cell r="AX2346" t="str">
            <v>WMWRWR</v>
          </cell>
          <cell r="AY2346" t="str">
            <v>Clothes Dryer</v>
          </cell>
          <cell r="AZ2346" t="str">
            <v>WMWRWRCA</v>
          </cell>
          <cell r="BA2346" t="str">
            <v>Clothes Dryer</v>
          </cell>
        </row>
        <row r="2347">
          <cell r="E2347" t="str">
            <v>RX12VHP3K.AEBPEVN</v>
          </cell>
          <cell r="F2347">
            <v>0</v>
          </cell>
          <cell r="G2347">
            <v>0</v>
          </cell>
          <cell r="H2347">
            <v>0</v>
          </cell>
          <cell r="I2347">
            <v>2</v>
          </cell>
          <cell r="J2347">
            <v>0</v>
          </cell>
          <cell r="K2347">
            <v>66</v>
          </cell>
          <cell r="L2347">
            <v>0</v>
          </cell>
          <cell r="M2347">
            <v>2</v>
          </cell>
          <cell r="N2347">
            <v>0</v>
          </cell>
          <cell r="O2347">
            <v>1</v>
          </cell>
          <cell r="P2347">
            <v>2</v>
          </cell>
          <cell r="Q2347">
            <v>50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 t="str">
            <v>WMPREPLUS</v>
          </cell>
          <cell r="AH2347" t="str">
            <v>WM_Premium_Plus</v>
          </cell>
          <cell r="AI2347" t="str">
            <v/>
          </cell>
          <cell r="AJ2347" t="str">
            <v/>
          </cell>
          <cell r="AK2347" t="str">
            <v>0.414117</v>
          </cell>
          <cell r="AL2347" t="str">
            <v>2</v>
          </cell>
          <cell r="AM2347" t="str">
            <v>Q</v>
          </cell>
          <cell r="AN2347" t="str">
            <v>M0</v>
          </cell>
          <cell r="AO2347" t="str">
            <v>Active(Model)</v>
          </cell>
          <cell r="AP2347" t="str">
            <v/>
          </cell>
          <cell r="AQ2347" t="str">
            <v/>
          </cell>
          <cell r="AR2347" t="str">
            <v>Y</v>
          </cell>
          <cell r="AS2347" t="str">
            <v/>
          </cell>
          <cell r="AT2347" t="str">
            <v>WM</v>
          </cell>
          <cell r="AU2347" t="str">
            <v>Washing Machine</v>
          </cell>
          <cell r="AV2347" t="str">
            <v>WMWR</v>
          </cell>
          <cell r="AW2347" t="str">
            <v>Clothes Dryer</v>
          </cell>
          <cell r="AX2347" t="str">
            <v>WMWRWR</v>
          </cell>
          <cell r="AY2347" t="str">
            <v>Clothes Dryer</v>
          </cell>
          <cell r="AZ2347" t="str">
            <v>WMWRWRCA</v>
          </cell>
          <cell r="BA2347" t="str">
            <v>Clothes Dryer</v>
          </cell>
        </row>
        <row r="2348">
          <cell r="E2348" t="str">
            <v>RX12VHP5G.AEGPEVN</v>
          </cell>
          <cell r="F2348">
            <v>39</v>
          </cell>
          <cell r="G2348">
            <v>0</v>
          </cell>
          <cell r="H2348">
            <v>0</v>
          </cell>
          <cell r="I2348">
            <v>153</v>
          </cell>
          <cell r="J2348">
            <v>2</v>
          </cell>
          <cell r="K2348">
            <v>0</v>
          </cell>
          <cell r="L2348">
            <v>0</v>
          </cell>
          <cell r="M2348">
            <v>10</v>
          </cell>
          <cell r="N2348">
            <v>63</v>
          </cell>
          <cell r="O2348">
            <v>6</v>
          </cell>
          <cell r="P2348">
            <v>73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21</v>
          </cell>
          <cell r="AE2348">
            <v>0</v>
          </cell>
          <cell r="AF2348">
            <v>21</v>
          </cell>
          <cell r="AG2348" t="str">
            <v>WMPREPLUS</v>
          </cell>
          <cell r="AH2348" t="str">
            <v>WM_Premium_Plus</v>
          </cell>
          <cell r="AI2348" t="str">
            <v/>
          </cell>
          <cell r="AJ2348" t="str">
            <v/>
          </cell>
          <cell r="AK2348" t="str">
            <v>0.414117</v>
          </cell>
          <cell r="AL2348" t="str">
            <v>2</v>
          </cell>
          <cell r="AM2348" t="str">
            <v>Q</v>
          </cell>
          <cell r="AN2348" t="str">
            <v>M0</v>
          </cell>
          <cell r="AO2348" t="str">
            <v>Active(Model)</v>
          </cell>
          <cell r="AP2348" t="str">
            <v/>
          </cell>
          <cell r="AQ2348" t="str">
            <v/>
          </cell>
          <cell r="AR2348" t="str">
            <v>Y</v>
          </cell>
          <cell r="AS2348" t="str">
            <v/>
          </cell>
          <cell r="AT2348" t="str">
            <v>WM</v>
          </cell>
          <cell r="AU2348" t="str">
            <v>Washing Machine</v>
          </cell>
          <cell r="AV2348" t="str">
            <v>WMWR</v>
          </cell>
          <cell r="AW2348" t="str">
            <v>Clothes Dryer</v>
          </cell>
          <cell r="AX2348" t="str">
            <v>WMWRWR</v>
          </cell>
          <cell r="AY2348" t="str">
            <v>Clothes Dryer</v>
          </cell>
          <cell r="AZ2348" t="str">
            <v>WMWRWRCA</v>
          </cell>
          <cell r="BA2348" t="str">
            <v>Clothes Dryer</v>
          </cell>
        </row>
        <row r="2349">
          <cell r="E2349" t="str">
            <v>RX12VHP5S1.AESPEVN</v>
          </cell>
          <cell r="F2349">
            <v>2</v>
          </cell>
          <cell r="G2349">
            <v>0</v>
          </cell>
          <cell r="H2349">
            <v>0</v>
          </cell>
          <cell r="I2349">
            <v>27</v>
          </cell>
          <cell r="J2349">
            <v>1</v>
          </cell>
          <cell r="K2349">
            <v>0</v>
          </cell>
          <cell r="L2349">
            <v>0</v>
          </cell>
          <cell r="M2349">
            <v>6</v>
          </cell>
          <cell r="N2349">
            <v>17</v>
          </cell>
          <cell r="O2349">
            <v>14</v>
          </cell>
          <cell r="P2349">
            <v>23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 t="str">
            <v>WMPREPLUS</v>
          </cell>
          <cell r="AH2349" t="str">
            <v>WM_Premium_Plus</v>
          </cell>
          <cell r="AI2349" t="str">
            <v/>
          </cell>
          <cell r="AJ2349" t="str">
            <v/>
          </cell>
          <cell r="AK2349" t="str">
            <v>0.414117</v>
          </cell>
          <cell r="AL2349" t="str">
            <v>2</v>
          </cell>
          <cell r="AM2349" t="str">
            <v>Q</v>
          </cell>
          <cell r="AN2349" t="str">
            <v>M0</v>
          </cell>
          <cell r="AO2349" t="str">
            <v>Active(Model)</v>
          </cell>
          <cell r="AP2349" t="str">
            <v/>
          </cell>
          <cell r="AQ2349" t="str">
            <v/>
          </cell>
          <cell r="AR2349" t="str">
            <v>Y</v>
          </cell>
          <cell r="AS2349" t="str">
            <v/>
          </cell>
          <cell r="AT2349" t="str">
            <v>WM</v>
          </cell>
          <cell r="AU2349" t="str">
            <v>Washing Machine</v>
          </cell>
          <cell r="AV2349" t="str">
            <v>WMWR</v>
          </cell>
          <cell r="AW2349" t="str">
            <v>Clothes Dryer</v>
          </cell>
          <cell r="AX2349" t="str">
            <v>WMWRWR</v>
          </cell>
          <cell r="AY2349" t="str">
            <v>Clothes Dryer</v>
          </cell>
          <cell r="AZ2349" t="str">
            <v>WMWRWRCA</v>
          </cell>
          <cell r="BA2349" t="str">
            <v>Clothes Dryer</v>
          </cell>
        </row>
        <row r="2350">
          <cell r="E2350" t="str">
            <v>RX12VHP5W1.AGWPEVN</v>
          </cell>
          <cell r="F2350">
            <v>5</v>
          </cell>
          <cell r="G2350">
            <v>0</v>
          </cell>
          <cell r="H2350">
            <v>0</v>
          </cell>
          <cell r="I2350">
            <v>5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 t="str">
            <v>WMPREPLUS</v>
          </cell>
          <cell r="AH2350" t="str">
            <v>WM_Premium_Plus</v>
          </cell>
          <cell r="AI2350" t="str">
            <v/>
          </cell>
          <cell r="AJ2350" t="str">
            <v/>
          </cell>
          <cell r="AK2350" t="str">
            <v>0.414117</v>
          </cell>
          <cell r="AL2350" t="str">
            <v>2</v>
          </cell>
          <cell r="AM2350" t="str">
            <v>Q</v>
          </cell>
          <cell r="AN2350" t="str">
            <v>M0</v>
          </cell>
          <cell r="AO2350" t="str">
            <v>Active(Model)</v>
          </cell>
          <cell r="AP2350" t="str">
            <v/>
          </cell>
          <cell r="AQ2350" t="str">
            <v/>
          </cell>
          <cell r="AR2350" t="str">
            <v>Y</v>
          </cell>
          <cell r="AS2350" t="str">
            <v/>
          </cell>
          <cell r="AT2350" t="str">
            <v>WM</v>
          </cell>
          <cell r="AU2350" t="str">
            <v>Washing Machine</v>
          </cell>
          <cell r="AV2350" t="str">
            <v>WMWR</v>
          </cell>
          <cell r="AW2350" t="str">
            <v>Clothes Dryer</v>
          </cell>
          <cell r="AX2350" t="str">
            <v>WMWRWR</v>
          </cell>
          <cell r="AY2350" t="str">
            <v>Clothes Dryer</v>
          </cell>
          <cell r="AZ2350" t="str">
            <v>WMWRWRCA</v>
          </cell>
          <cell r="BA2350" t="str">
            <v>Clothes Dryer</v>
          </cell>
        </row>
        <row r="2351">
          <cell r="E2351" t="str">
            <v>RX12VHP5WB.AGWPEVN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30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 t="str">
            <v/>
          </cell>
          <cell r="AH2351" t="str">
            <v/>
          </cell>
          <cell r="AI2351" t="str">
            <v/>
          </cell>
          <cell r="AJ2351" t="str">
            <v/>
          </cell>
          <cell r="AK2351" t="str">
            <v>0.414117</v>
          </cell>
          <cell r="AL2351" t="str">
            <v>2</v>
          </cell>
          <cell r="AM2351" t="str">
            <v>Q</v>
          </cell>
          <cell r="AN2351" t="str">
            <v>M0</v>
          </cell>
          <cell r="AO2351" t="str">
            <v>Active(Model)</v>
          </cell>
          <cell r="AP2351" t="str">
            <v/>
          </cell>
          <cell r="AQ2351" t="str">
            <v/>
          </cell>
          <cell r="AR2351" t="str">
            <v>Y</v>
          </cell>
          <cell r="AS2351" t="str">
            <v/>
          </cell>
          <cell r="AT2351" t="str">
            <v>WM</v>
          </cell>
          <cell r="AU2351" t="str">
            <v>Washing Machine</v>
          </cell>
          <cell r="AV2351" t="str">
            <v>WMWR</v>
          </cell>
          <cell r="AW2351" t="str">
            <v>Clothes Dryer</v>
          </cell>
          <cell r="AX2351" t="str">
            <v>WMWRWR</v>
          </cell>
          <cell r="AY2351" t="str">
            <v>Clothes Dryer</v>
          </cell>
          <cell r="AZ2351" t="str">
            <v>WMWRWRCA</v>
          </cell>
          <cell r="BA2351" t="str">
            <v>Clothes Dryer</v>
          </cell>
        </row>
        <row r="2352">
          <cell r="E2352" t="str">
            <v>S20A.CVNMLLK</v>
          </cell>
          <cell r="F2352">
            <v>16</v>
          </cell>
          <cell r="G2352">
            <v>0</v>
          </cell>
          <cell r="H2352">
            <v>0</v>
          </cell>
          <cell r="I2352">
            <v>21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8</v>
          </cell>
          <cell r="AF2352">
            <v>0</v>
          </cell>
          <cell r="AG2352" t="str">
            <v/>
          </cell>
          <cell r="AH2352" t="str">
            <v/>
          </cell>
          <cell r="AI2352" t="str">
            <v/>
          </cell>
          <cell r="AJ2352" t="str">
            <v/>
          </cell>
          <cell r="AK2352" t="str">
            <v>0.014100</v>
          </cell>
          <cell r="AL2352" t="str">
            <v>0</v>
          </cell>
          <cell r="AM2352" t="str">
            <v>Q</v>
          </cell>
          <cell r="AN2352" t="str">
            <v>M0</v>
          </cell>
          <cell r="AO2352" t="str">
            <v>Active(Model)</v>
          </cell>
          <cell r="AP2352" t="str">
            <v/>
          </cell>
          <cell r="AQ2352" t="str">
            <v/>
          </cell>
          <cell r="AR2352" t="str">
            <v>Y</v>
          </cell>
          <cell r="AS2352" t="str">
            <v/>
          </cell>
          <cell r="AT2352" t="str">
            <v>AO</v>
          </cell>
          <cell r="AU2352" t="str">
            <v>AO</v>
          </cell>
          <cell r="AV2352" t="str">
            <v>AOAH</v>
          </cell>
          <cell r="AW2352" t="str">
            <v>HTS_OS</v>
          </cell>
          <cell r="AX2352" t="str">
            <v>AOAHHS</v>
          </cell>
          <cell r="AY2352" t="str">
            <v>Soundbar + HTS Speaker _OS</v>
          </cell>
          <cell r="AZ2352" t="str">
            <v>AOAHHSSO</v>
          </cell>
          <cell r="BA2352" t="str">
            <v>Soundbar_OS</v>
          </cell>
        </row>
        <row r="2353">
          <cell r="E2353" t="str">
            <v>S30A.AVNMLLK</v>
          </cell>
          <cell r="F2353">
            <v>0</v>
          </cell>
          <cell r="G2353">
            <v>0</v>
          </cell>
          <cell r="H2353">
            <v>0</v>
          </cell>
          <cell r="I2353">
            <v>18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74</v>
          </cell>
          <cell r="AB2353">
            <v>0</v>
          </cell>
          <cell r="AC2353">
            <v>5</v>
          </cell>
          <cell r="AD2353">
            <v>2</v>
          </cell>
          <cell r="AE2353">
            <v>2</v>
          </cell>
          <cell r="AF2353">
            <v>7</v>
          </cell>
          <cell r="AG2353" t="str">
            <v/>
          </cell>
          <cell r="AH2353" t="str">
            <v/>
          </cell>
          <cell r="AI2353" t="str">
            <v/>
          </cell>
          <cell r="AJ2353" t="str">
            <v/>
          </cell>
          <cell r="AK2353" t="str">
            <v>0.041388</v>
          </cell>
          <cell r="AL2353" t="str">
            <v>0</v>
          </cell>
          <cell r="AM2353" t="str">
            <v>Q</v>
          </cell>
          <cell r="AN2353" t="str">
            <v>M0</v>
          </cell>
          <cell r="AO2353" t="str">
            <v>Active(Model)</v>
          </cell>
          <cell r="AP2353" t="str">
            <v/>
          </cell>
          <cell r="AQ2353" t="str">
            <v/>
          </cell>
          <cell r="AR2353" t="str">
            <v>Y</v>
          </cell>
          <cell r="AS2353" t="str">
            <v/>
          </cell>
          <cell r="AT2353" t="str">
            <v>AO</v>
          </cell>
          <cell r="AU2353" t="str">
            <v>AO</v>
          </cell>
          <cell r="AV2353" t="str">
            <v>AOAH</v>
          </cell>
          <cell r="AW2353" t="str">
            <v>HTS_OS</v>
          </cell>
          <cell r="AX2353" t="str">
            <v>AOAHHS</v>
          </cell>
          <cell r="AY2353" t="str">
            <v>Soundbar + HTS Speaker _OS</v>
          </cell>
          <cell r="AZ2353" t="str">
            <v>AOAHHSSO</v>
          </cell>
          <cell r="BA2353" t="str">
            <v>Soundbar_OS</v>
          </cell>
        </row>
        <row r="2354">
          <cell r="E2354" t="str">
            <v>S40T.DVNMLLK</v>
          </cell>
          <cell r="F2354">
            <v>64</v>
          </cell>
          <cell r="G2354">
            <v>0</v>
          </cell>
          <cell r="H2354">
            <v>0</v>
          </cell>
          <cell r="I2354">
            <v>153</v>
          </cell>
          <cell r="J2354">
            <v>1</v>
          </cell>
          <cell r="K2354">
            <v>0</v>
          </cell>
          <cell r="L2354">
            <v>0</v>
          </cell>
          <cell r="M2354">
            <v>0</v>
          </cell>
          <cell r="N2354">
            <v>1</v>
          </cell>
          <cell r="O2354">
            <v>16</v>
          </cell>
          <cell r="P2354">
            <v>1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80</v>
          </cell>
          <cell r="AE2354">
            <v>1</v>
          </cell>
          <cell r="AF2354">
            <v>80</v>
          </cell>
          <cell r="AG2354" t="str">
            <v/>
          </cell>
          <cell r="AH2354" t="str">
            <v/>
          </cell>
          <cell r="AI2354" t="str">
            <v/>
          </cell>
          <cell r="AJ2354" t="str">
            <v/>
          </cell>
          <cell r="AK2354" t="str">
            <v>0.046895</v>
          </cell>
          <cell r="AL2354" t="str">
            <v>0</v>
          </cell>
          <cell r="AM2354" t="str">
            <v>Q</v>
          </cell>
          <cell r="AN2354" t="str">
            <v>M0</v>
          </cell>
          <cell r="AO2354" t="str">
            <v>Active(Model)</v>
          </cell>
          <cell r="AP2354" t="str">
            <v/>
          </cell>
          <cell r="AQ2354" t="str">
            <v/>
          </cell>
          <cell r="AR2354" t="str">
            <v>Y</v>
          </cell>
          <cell r="AS2354" t="str">
            <v/>
          </cell>
          <cell r="AT2354" t="str">
            <v>AV</v>
          </cell>
          <cell r="AU2354" t="str">
            <v>AV</v>
          </cell>
          <cell r="AV2354" t="str">
            <v>AVAH</v>
          </cell>
          <cell r="AW2354" t="str">
            <v>HTS</v>
          </cell>
          <cell r="AX2354" t="str">
            <v>AVAHHS</v>
          </cell>
          <cell r="AY2354" t="str">
            <v>Soundbar + HTS Speaker</v>
          </cell>
          <cell r="AZ2354" t="str">
            <v>AVAHHSSO</v>
          </cell>
          <cell r="BA2354" t="str">
            <v>Soundbar</v>
          </cell>
        </row>
        <row r="2355">
          <cell r="E2355" t="str">
            <v>S60BG.ABMPEVN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0</v>
          </cell>
          <cell r="K2355">
            <v>194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 t="str">
            <v>REFPREMIUM</v>
          </cell>
          <cell r="AH2355" t="str">
            <v>REF_Premium</v>
          </cell>
          <cell r="AI2355" t="str">
            <v/>
          </cell>
          <cell r="AJ2355" t="str">
            <v/>
          </cell>
          <cell r="AK2355" t="str">
            <v>1.393595</v>
          </cell>
          <cell r="AL2355" t="str">
            <v>2</v>
          </cell>
          <cell r="AM2355" t="str">
            <v>Q</v>
          </cell>
          <cell r="AN2355" t="str">
            <v>M0</v>
          </cell>
          <cell r="AO2355" t="str">
            <v>Active(Model)</v>
          </cell>
          <cell r="AP2355" t="str">
            <v/>
          </cell>
          <cell r="AQ2355" t="str">
            <v/>
          </cell>
          <cell r="AR2355" t="str">
            <v>Y</v>
          </cell>
          <cell r="AS2355" t="str">
            <v/>
          </cell>
          <cell r="AT2355" t="str">
            <v>RF</v>
          </cell>
          <cell r="AU2355" t="str">
            <v>Refrigerator</v>
          </cell>
          <cell r="AV2355" t="str">
            <v>RFSS</v>
          </cell>
          <cell r="AW2355" t="str">
            <v>SxS</v>
          </cell>
          <cell r="AX2355" t="str">
            <v>RFSSSS</v>
          </cell>
          <cell r="AY2355" t="str">
            <v>SxS</v>
          </cell>
          <cell r="AZ2355" t="str">
            <v>RFSSSS21</v>
          </cell>
          <cell r="BA2355" t="str">
            <v>SxS 21CU</v>
          </cell>
        </row>
        <row r="2356">
          <cell r="E2356" t="str">
            <v>S60T.AVNMLLK</v>
          </cell>
          <cell r="F2356">
            <v>3</v>
          </cell>
          <cell r="G2356">
            <v>0</v>
          </cell>
          <cell r="H2356">
            <v>0</v>
          </cell>
          <cell r="I2356">
            <v>12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1</v>
          </cell>
          <cell r="O2356">
            <v>2</v>
          </cell>
          <cell r="P2356">
            <v>1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 t="str">
            <v/>
          </cell>
          <cell r="AH2356" t="str">
            <v/>
          </cell>
          <cell r="AI2356" t="str">
            <v/>
          </cell>
          <cell r="AJ2356" t="str">
            <v/>
          </cell>
          <cell r="AK2356" t="str">
            <v>0.113486</v>
          </cell>
          <cell r="AL2356" t="str">
            <v>0</v>
          </cell>
          <cell r="AM2356" t="str">
            <v>Q</v>
          </cell>
          <cell r="AN2356" t="str">
            <v>M0</v>
          </cell>
          <cell r="AO2356" t="str">
            <v>Active(Model)</v>
          </cell>
          <cell r="AP2356" t="str">
            <v/>
          </cell>
          <cell r="AQ2356" t="str">
            <v/>
          </cell>
          <cell r="AR2356" t="str">
            <v>Y</v>
          </cell>
          <cell r="AS2356" t="str">
            <v/>
          </cell>
          <cell r="AT2356" t="str">
            <v>AO</v>
          </cell>
          <cell r="AU2356" t="str">
            <v>AO</v>
          </cell>
          <cell r="AV2356" t="str">
            <v>AOAH</v>
          </cell>
          <cell r="AW2356" t="str">
            <v>HTS_OS</v>
          </cell>
          <cell r="AX2356" t="str">
            <v>AOAHHS</v>
          </cell>
          <cell r="AY2356" t="str">
            <v>Soundbar + HTS Speaker _OS</v>
          </cell>
          <cell r="AZ2356" t="str">
            <v>AOAHHSSO</v>
          </cell>
          <cell r="BA2356" t="str">
            <v>Soundbar_OS</v>
          </cell>
        </row>
        <row r="2357">
          <cell r="E2357" t="str">
            <v>S60TR.AVNMLLK</v>
          </cell>
          <cell r="F2357">
            <v>0</v>
          </cell>
          <cell r="G2357">
            <v>0</v>
          </cell>
          <cell r="H2357">
            <v>0</v>
          </cell>
          <cell r="I2357">
            <v>126</v>
          </cell>
          <cell r="J2357">
            <v>1</v>
          </cell>
          <cell r="K2357">
            <v>0</v>
          </cell>
          <cell r="L2357">
            <v>0</v>
          </cell>
          <cell r="M2357">
            <v>0</v>
          </cell>
          <cell r="N2357">
            <v>1</v>
          </cell>
          <cell r="O2357">
            <v>0</v>
          </cell>
          <cell r="P2357">
            <v>1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119</v>
          </cell>
          <cell r="AE2357">
            <v>0</v>
          </cell>
          <cell r="AF2357">
            <v>119</v>
          </cell>
          <cell r="AG2357" t="str">
            <v/>
          </cell>
          <cell r="AH2357" t="str">
            <v/>
          </cell>
          <cell r="AI2357" t="str">
            <v/>
          </cell>
          <cell r="AJ2357" t="str">
            <v/>
          </cell>
          <cell r="AK2357" t="str">
            <v>0.113486</v>
          </cell>
          <cell r="AL2357" t="str">
            <v>0</v>
          </cell>
          <cell r="AM2357" t="str">
            <v>Q</v>
          </cell>
          <cell r="AN2357" t="str">
            <v>M0</v>
          </cell>
          <cell r="AO2357" t="str">
            <v>Active(Model)</v>
          </cell>
          <cell r="AP2357" t="str">
            <v/>
          </cell>
          <cell r="AQ2357" t="str">
            <v/>
          </cell>
          <cell r="AR2357" t="str">
            <v>Y</v>
          </cell>
          <cell r="AS2357" t="str">
            <v/>
          </cell>
          <cell r="AT2357" t="str">
            <v>AO</v>
          </cell>
          <cell r="AU2357" t="str">
            <v>AO</v>
          </cell>
          <cell r="AV2357" t="str">
            <v>AOAH</v>
          </cell>
          <cell r="AW2357" t="str">
            <v>HTS_OS</v>
          </cell>
          <cell r="AX2357" t="str">
            <v>AOAHHS</v>
          </cell>
          <cell r="AY2357" t="str">
            <v>Soundbar + HTS Speaker _OS</v>
          </cell>
          <cell r="AZ2357" t="str">
            <v>AOAHHSSO</v>
          </cell>
          <cell r="BA2357" t="str">
            <v>Soundbar_OS</v>
          </cell>
        </row>
        <row r="2358">
          <cell r="E2358" t="str">
            <v>S65TR.AVNMMLK</v>
          </cell>
          <cell r="F2358">
            <v>56</v>
          </cell>
          <cell r="G2358">
            <v>0</v>
          </cell>
          <cell r="H2358">
            <v>0</v>
          </cell>
          <cell r="I2358">
            <v>56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 t="str">
            <v/>
          </cell>
          <cell r="AH2358" t="str">
            <v/>
          </cell>
          <cell r="AI2358" t="str">
            <v/>
          </cell>
          <cell r="AJ2358" t="str">
            <v/>
          </cell>
          <cell r="AK2358" t="str">
            <v>0.113486</v>
          </cell>
          <cell r="AL2358" t="str">
            <v>0</v>
          </cell>
          <cell r="AM2358" t="str">
            <v>Q</v>
          </cell>
          <cell r="AN2358" t="str">
            <v>M0</v>
          </cell>
          <cell r="AO2358" t="str">
            <v>Active(Model)</v>
          </cell>
          <cell r="AP2358" t="str">
            <v/>
          </cell>
          <cell r="AQ2358" t="str">
            <v/>
          </cell>
          <cell r="AR2358" t="str">
            <v>Y</v>
          </cell>
          <cell r="AS2358" t="str">
            <v/>
          </cell>
          <cell r="AT2358" t="str">
            <v>AO</v>
          </cell>
          <cell r="AU2358" t="str">
            <v>AO</v>
          </cell>
          <cell r="AV2358" t="str">
            <v>AOAH</v>
          </cell>
          <cell r="AW2358" t="str">
            <v>HTS_OS</v>
          </cell>
          <cell r="AX2358" t="str">
            <v>AOAHHS</v>
          </cell>
          <cell r="AY2358" t="str">
            <v>Soundbar + HTS Speaker _OS</v>
          </cell>
          <cell r="AZ2358" t="str">
            <v>AOAHHSSO</v>
          </cell>
          <cell r="BA2358" t="str">
            <v>Soundbar_OS</v>
          </cell>
        </row>
        <row r="2359">
          <cell r="E2359" t="str">
            <v>S70TY.AVNMLLD</v>
          </cell>
          <cell r="F2359">
            <v>0</v>
          </cell>
          <cell r="G2359">
            <v>0</v>
          </cell>
          <cell r="H2359">
            <v>0</v>
          </cell>
          <cell r="I2359">
            <v>34</v>
          </cell>
          <cell r="J2359">
            <v>4</v>
          </cell>
          <cell r="K2359">
            <v>34</v>
          </cell>
          <cell r="L2359">
            <v>0</v>
          </cell>
          <cell r="M2359">
            <v>0</v>
          </cell>
          <cell r="N2359">
            <v>0</v>
          </cell>
          <cell r="O2359">
            <v>1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17</v>
          </cell>
          <cell r="AB2359">
            <v>0</v>
          </cell>
          <cell r="AC2359">
            <v>3</v>
          </cell>
          <cell r="AD2359">
            <v>31</v>
          </cell>
          <cell r="AE2359">
            <v>28</v>
          </cell>
          <cell r="AF2359">
            <v>34</v>
          </cell>
          <cell r="AG2359" t="str">
            <v/>
          </cell>
          <cell r="AH2359" t="str">
            <v/>
          </cell>
          <cell r="AI2359" t="str">
            <v/>
          </cell>
          <cell r="AJ2359" t="str">
            <v/>
          </cell>
          <cell r="AK2359" t="str">
            <v>0.120602</v>
          </cell>
          <cell r="AL2359" t="str">
            <v>0</v>
          </cell>
          <cell r="AM2359" t="str">
            <v>Q</v>
          </cell>
          <cell r="AN2359" t="str">
            <v>M0</v>
          </cell>
          <cell r="AO2359" t="str">
            <v>Active(Model)</v>
          </cell>
          <cell r="AP2359" t="str">
            <v/>
          </cell>
          <cell r="AQ2359" t="str">
            <v/>
          </cell>
          <cell r="AR2359" t="str">
            <v>Y</v>
          </cell>
          <cell r="AS2359" t="str">
            <v/>
          </cell>
          <cell r="AT2359" t="str">
            <v>AO</v>
          </cell>
          <cell r="AU2359" t="str">
            <v>AO</v>
          </cell>
          <cell r="AV2359" t="str">
            <v>AOAH</v>
          </cell>
          <cell r="AW2359" t="str">
            <v>HTS_OS</v>
          </cell>
          <cell r="AX2359" t="str">
            <v>AOAHHS</v>
          </cell>
          <cell r="AY2359" t="str">
            <v>Soundbar + HTS Speaker _OS</v>
          </cell>
          <cell r="AZ2359" t="str">
            <v>AOAHHSSO</v>
          </cell>
          <cell r="BA2359" t="str">
            <v>Soundbar_OS</v>
          </cell>
        </row>
        <row r="2360">
          <cell r="E2360" t="str">
            <v>S80TY.DEUSLLK</v>
          </cell>
          <cell r="F2360">
            <v>1</v>
          </cell>
          <cell r="G2360">
            <v>0</v>
          </cell>
          <cell r="H2360">
            <v>0</v>
          </cell>
          <cell r="I2360">
            <v>1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 t="str">
            <v/>
          </cell>
          <cell r="AH2360" t="str">
            <v/>
          </cell>
          <cell r="AI2360" t="str">
            <v/>
          </cell>
          <cell r="AJ2360" t="str">
            <v/>
          </cell>
          <cell r="AK2360" t="str">
            <v>0.096872</v>
          </cell>
          <cell r="AL2360" t="str">
            <v>0</v>
          </cell>
          <cell r="AM2360" t="str">
            <v>Q</v>
          </cell>
          <cell r="AN2360" t="str">
            <v>M0</v>
          </cell>
          <cell r="AO2360" t="str">
            <v>Active(Model)</v>
          </cell>
          <cell r="AP2360" t="str">
            <v/>
          </cell>
          <cell r="AQ2360" t="str">
            <v/>
          </cell>
          <cell r="AR2360" t="str">
            <v>Y</v>
          </cell>
          <cell r="AS2360" t="str">
            <v/>
          </cell>
          <cell r="AT2360" t="str">
            <v>AV</v>
          </cell>
          <cell r="AU2360" t="str">
            <v>AV</v>
          </cell>
          <cell r="AV2360" t="str">
            <v>AVAH</v>
          </cell>
          <cell r="AW2360" t="str">
            <v>HTS</v>
          </cell>
          <cell r="AX2360" t="str">
            <v>AVAHHS</v>
          </cell>
          <cell r="AY2360" t="str">
            <v>Soundbar + HTS Speaker</v>
          </cell>
          <cell r="AZ2360" t="str">
            <v>AVAHHSSO</v>
          </cell>
          <cell r="BA2360" t="str">
            <v>Soundbar</v>
          </cell>
        </row>
        <row r="2361">
          <cell r="E2361" t="str">
            <v>S95AR.DVNMLLK</v>
          </cell>
          <cell r="F2361">
            <v>56</v>
          </cell>
          <cell r="G2361">
            <v>0</v>
          </cell>
          <cell r="H2361">
            <v>0</v>
          </cell>
          <cell r="I2361">
            <v>58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55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 t="str">
            <v/>
          </cell>
          <cell r="AH2361" t="str">
            <v/>
          </cell>
          <cell r="AI2361" t="str">
            <v/>
          </cell>
          <cell r="AJ2361" t="str">
            <v/>
          </cell>
          <cell r="AK2361" t="str">
            <v>0.200798</v>
          </cell>
          <cell r="AL2361" t="str">
            <v>0</v>
          </cell>
          <cell r="AM2361" t="str">
            <v>Q</v>
          </cell>
          <cell r="AN2361" t="str">
            <v>M0</v>
          </cell>
          <cell r="AO2361" t="str">
            <v>Active(Model)</v>
          </cell>
          <cell r="AP2361" t="str">
            <v/>
          </cell>
          <cell r="AQ2361" t="str">
            <v/>
          </cell>
          <cell r="AR2361" t="str">
            <v>Y</v>
          </cell>
          <cell r="AS2361" t="str">
            <v/>
          </cell>
          <cell r="AT2361" t="str">
            <v>AV</v>
          </cell>
          <cell r="AU2361" t="str">
            <v>AV</v>
          </cell>
          <cell r="AV2361" t="str">
            <v>AVAH</v>
          </cell>
          <cell r="AW2361" t="str">
            <v>HTS</v>
          </cell>
          <cell r="AX2361" t="str">
            <v>AVAHHS</v>
          </cell>
          <cell r="AY2361" t="str">
            <v>Soundbar + HTS Speaker</v>
          </cell>
          <cell r="AZ2361" t="str">
            <v>AVAHHSSO</v>
          </cell>
          <cell r="BA2361" t="str">
            <v>Soundbar</v>
          </cell>
        </row>
        <row r="2362">
          <cell r="E2362" t="str">
            <v>SA-90SO8675.AL</v>
          </cell>
          <cell r="F2362">
            <v>10</v>
          </cell>
          <cell r="G2362">
            <v>0</v>
          </cell>
          <cell r="H2362">
            <v>0</v>
          </cell>
          <cell r="I2362">
            <v>10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 t="str">
            <v>LTV</v>
          </cell>
          <cell r="AH2362" t="str">
            <v>LTV</v>
          </cell>
          <cell r="AI2362" t="str">
            <v/>
          </cell>
          <cell r="AJ2362" t="str">
            <v/>
          </cell>
          <cell r="AK2362" t="str">
            <v>0.040040</v>
          </cell>
          <cell r="AL2362" t="str">
            <v>2</v>
          </cell>
          <cell r="AM2362" t="str">
            <v>Q</v>
          </cell>
          <cell r="AN2362" t="str">
            <v>M0</v>
          </cell>
          <cell r="AO2362" t="str">
            <v>Active(Model)</v>
          </cell>
          <cell r="AP2362" t="str">
            <v/>
          </cell>
          <cell r="AQ2362" t="str">
            <v/>
          </cell>
          <cell r="AR2362" t="str">
            <v>Y</v>
          </cell>
          <cell r="AS2362" t="str">
            <v/>
          </cell>
          <cell r="AT2362" t="str">
            <v>TV</v>
          </cell>
          <cell r="AU2362" t="str">
            <v>TV</v>
          </cell>
          <cell r="AV2362" t="str">
            <v>TVAC</v>
          </cell>
          <cell r="AW2362" t="str">
            <v>TV Accessory</v>
          </cell>
          <cell r="AX2362" t="str">
            <v>TVACIA</v>
          </cell>
          <cell r="AY2362" t="str">
            <v>TV Acc Instrument(Except for PDP TV)</v>
          </cell>
          <cell r="AZ2362" t="str">
            <v>TVACIANN</v>
          </cell>
          <cell r="BA2362" t="str">
            <v>TV Acc Instrument(Except for PDP TV)</v>
          </cell>
        </row>
        <row r="2363">
          <cell r="E2363" t="str">
            <v>SA-G5SN55.AL</v>
          </cell>
          <cell r="F2363">
            <v>21</v>
          </cell>
          <cell r="G2363">
            <v>0</v>
          </cell>
          <cell r="H2363">
            <v>0</v>
          </cell>
          <cell r="I2363">
            <v>21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 t="str">
            <v>LTV</v>
          </cell>
          <cell r="AH2363" t="str">
            <v>LTV</v>
          </cell>
          <cell r="AI2363" t="str">
            <v/>
          </cell>
          <cell r="AJ2363" t="str">
            <v/>
          </cell>
          <cell r="AK2363" t="str">
            <v>0.087489</v>
          </cell>
          <cell r="AL2363" t="str">
            <v>2</v>
          </cell>
          <cell r="AM2363" t="str">
            <v>Q</v>
          </cell>
          <cell r="AN2363" t="str">
            <v>M0</v>
          </cell>
          <cell r="AO2363" t="str">
            <v>Active(Model)</v>
          </cell>
          <cell r="AP2363" t="str">
            <v/>
          </cell>
          <cell r="AQ2363" t="str">
            <v/>
          </cell>
          <cell r="AR2363" t="str">
            <v>Y</v>
          </cell>
          <cell r="AS2363" t="str">
            <v/>
          </cell>
          <cell r="AT2363" t="str">
            <v>TV</v>
          </cell>
          <cell r="AU2363" t="str">
            <v>TV</v>
          </cell>
          <cell r="AV2363" t="str">
            <v>TVAC</v>
          </cell>
          <cell r="AW2363" t="str">
            <v>TV Accessory</v>
          </cell>
          <cell r="AX2363" t="str">
            <v>TVACEA</v>
          </cell>
          <cell r="AY2363" t="str">
            <v>TV etc.(Except for PDP TV)</v>
          </cell>
          <cell r="AZ2363" t="str">
            <v>TVACEANN</v>
          </cell>
          <cell r="BA2363" t="str">
            <v>TV etc.(Except for PDP TV)</v>
          </cell>
        </row>
        <row r="2364">
          <cell r="E2364" t="str">
            <v>SA-G5SN65.AL</v>
          </cell>
          <cell r="F2364">
            <v>38</v>
          </cell>
          <cell r="G2364">
            <v>0</v>
          </cell>
          <cell r="H2364">
            <v>0</v>
          </cell>
          <cell r="I2364">
            <v>38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 t="str">
            <v>LTV</v>
          </cell>
          <cell r="AH2364" t="str">
            <v>LTV</v>
          </cell>
          <cell r="AI2364" t="str">
            <v/>
          </cell>
          <cell r="AJ2364" t="str">
            <v/>
          </cell>
          <cell r="AK2364" t="str">
            <v>0.087489</v>
          </cell>
          <cell r="AL2364" t="str">
            <v>2</v>
          </cell>
          <cell r="AM2364" t="str">
            <v>Q</v>
          </cell>
          <cell r="AN2364" t="str">
            <v>M0</v>
          </cell>
          <cell r="AO2364" t="str">
            <v>Active(Model)</v>
          </cell>
          <cell r="AP2364" t="str">
            <v/>
          </cell>
          <cell r="AQ2364" t="str">
            <v/>
          </cell>
          <cell r="AR2364" t="str">
            <v>Y</v>
          </cell>
          <cell r="AS2364" t="str">
            <v/>
          </cell>
          <cell r="AT2364" t="str">
            <v>TV</v>
          </cell>
          <cell r="AU2364" t="str">
            <v>TV</v>
          </cell>
          <cell r="AV2364" t="str">
            <v>TVAC</v>
          </cell>
          <cell r="AW2364" t="str">
            <v>TV Accessory</v>
          </cell>
          <cell r="AX2364" t="str">
            <v>TVACEA</v>
          </cell>
          <cell r="AY2364" t="str">
            <v>TV etc.(Except for PDP TV)</v>
          </cell>
          <cell r="AZ2364" t="str">
            <v>TVACEANN</v>
          </cell>
          <cell r="BA2364" t="str">
            <v>TV etc.(Except for PDP TV)</v>
          </cell>
        </row>
        <row r="2365">
          <cell r="E2365" t="str">
            <v>SC5GMR80H.ABMPEVN</v>
          </cell>
          <cell r="F2365">
            <v>34</v>
          </cell>
          <cell r="G2365">
            <v>0</v>
          </cell>
          <cell r="H2365">
            <v>0</v>
          </cell>
          <cell r="I2365">
            <v>59</v>
          </cell>
          <cell r="J2365">
            <v>4</v>
          </cell>
          <cell r="K2365">
            <v>0</v>
          </cell>
          <cell r="L2365">
            <v>0</v>
          </cell>
          <cell r="M2365">
            <v>0</v>
          </cell>
          <cell r="N2365">
            <v>9</v>
          </cell>
          <cell r="O2365">
            <v>24</v>
          </cell>
          <cell r="P2365">
            <v>9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3</v>
          </cell>
          <cell r="AF2365">
            <v>0</v>
          </cell>
          <cell r="AG2365" t="str">
            <v>WMPREPLUS</v>
          </cell>
          <cell r="AH2365" t="str">
            <v>WM_Premium_Plus</v>
          </cell>
          <cell r="AI2365" t="str">
            <v/>
          </cell>
          <cell r="AJ2365" t="str">
            <v/>
          </cell>
          <cell r="AK2365" t="str">
            <v>1.031835</v>
          </cell>
          <cell r="AL2365" t="str">
            <v>2</v>
          </cell>
          <cell r="AM2365" t="str">
            <v>Q</v>
          </cell>
          <cell r="AN2365" t="str">
            <v>M0</v>
          </cell>
          <cell r="AO2365" t="str">
            <v>Active(Model)</v>
          </cell>
          <cell r="AP2365" t="str">
            <v/>
          </cell>
          <cell r="AQ2365" t="str">
            <v/>
          </cell>
          <cell r="AR2365" t="str">
            <v>Y</v>
          </cell>
          <cell r="AS2365" t="str">
            <v/>
          </cell>
          <cell r="AT2365" t="str">
            <v>WM</v>
          </cell>
          <cell r="AU2365" t="str">
            <v>Washing Machine</v>
          </cell>
          <cell r="AV2365" t="str">
            <v>WMWF</v>
          </cell>
          <cell r="AW2365" t="str">
            <v>Clothes Styler</v>
          </cell>
          <cell r="AX2365" t="str">
            <v>WMWFWF</v>
          </cell>
          <cell r="AY2365" t="str">
            <v>Clothes_Styler</v>
          </cell>
          <cell r="AZ2365" t="str">
            <v>WMWFWFCA</v>
          </cell>
          <cell r="BA2365" t="str">
            <v>Clothes_Styler</v>
          </cell>
        </row>
        <row r="2366">
          <cell r="E2366" t="str">
            <v>SC5MBR80H.ASBPEVN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1</v>
          </cell>
          <cell r="K2366">
            <v>13</v>
          </cell>
          <cell r="L2366">
            <v>0</v>
          </cell>
          <cell r="M2366">
            <v>0</v>
          </cell>
          <cell r="N2366">
            <v>0</v>
          </cell>
          <cell r="O2366">
            <v>1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 t="str">
            <v>WMPREPLUS</v>
          </cell>
          <cell r="AH2366" t="str">
            <v>WM_Premium_Plus</v>
          </cell>
          <cell r="AI2366" t="str">
            <v/>
          </cell>
          <cell r="AJ2366" t="str">
            <v/>
          </cell>
          <cell r="AK2366" t="str">
            <v>1.031835</v>
          </cell>
          <cell r="AL2366" t="str">
            <v>2</v>
          </cell>
          <cell r="AM2366" t="str">
            <v>Q</v>
          </cell>
          <cell r="AN2366" t="str">
            <v>M0</v>
          </cell>
          <cell r="AO2366" t="str">
            <v>Active(Model)</v>
          </cell>
          <cell r="AP2366" t="str">
            <v/>
          </cell>
          <cell r="AQ2366" t="str">
            <v/>
          </cell>
          <cell r="AR2366" t="str">
            <v>Y</v>
          </cell>
          <cell r="AS2366" t="str">
            <v/>
          </cell>
          <cell r="AT2366" t="str">
            <v>WM</v>
          </cell>
          <cell r="AU2366" t="str">
            <v>Washing Machine</v>
          </cell>
          <cell r="AV2366" t="str">
            <v>WMWF</v>
          </cell>
          <cell r="AW2366" t="str">
            <v>Clothes Styler</v>
          </cell>
          <cell r="AX2366" t="str">
            <v>WMWFWF</v>
          </cell>
          <cell r="AY2366" t="str">
            <v>Clothes_Styler</v>
          </cell>
          <cell r="AZ2366" t="str">
            <v>WMWFWFCA</v>
          </cell>
          <cell r="BA2366" t="str">
            <v>Clothes_Styler</v>
          </cell>
        </row>
        <row r="2367">
          <cell r="E2367" t="str">
            <v>SC5MNR4G.ABMPEVN</v>
          </cell>
          <cell r="F2367">
            <v>0</v>
          </cell>
          <cell r="G2367">
            <v>0</v>
          </cell>
          <cell r="H2367">
            <v>0</v>
          </cell>
          <cell r="I2367">
            <v>22</v>
          </cell>
          <cell r="J2367">
            <v>0</v>
          </cell>
          <cell r="K2367">
            <v>0</v>
          </cell>
          <cell r="L2367">
            <v>0</v>
          </cell>
          <cell r="M2367">
            <v>2</v>
          </cell>
          <cell r="N2367">
            <v>5</v>
          </cell>
          <cell r="O2367">
            <v>5</v>
          </cell>
          <cell r="P2367">
            <v>7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7</v>
          </cell>
          <cell r="AE2367">
            <v>0</v>
          </cell>
          <cell r="AF2367">
            <v>7</v>
          </cell>
          <cell r="AG2367" t="str">
            <v>WMPREPLUS</v>
          </cell>
          <cell r="AH2367" t="str">
            <v>WM_Premium_Plus</v>
          </cell>
          <cell r="AI2367" t="str">
            <v/>
          </cell>
          <cell r="AJ2367" t="str">
            <v/>
          </cell>
          <cell r="AK2367" t="str">
            <v>1.031835</v>
          </cell>
          <cell r="AL2367" t="str">
            <v>0</v>
          </cell>
          <cell r="AM2367" t="str">
            <v>Q</v>
          </cell>
          <cell r="AN2367" t="str">
            <v>M0</v>
          </cell>
          <cell r="AO2367" t="str">
            <v>Active(Model)</v>
          </cell>
          <cell r="AP2367" t="str">
            <v/>
          </cell>
          <cell r="AQ2367" t="str">
            <v/>
          </cell>
          <cell r="AR2367" t="str">
            <v>Y</v>
          </cell>
          <cell r="AS2367" t="str">
            <v/>
          </cell>
          <cell r="AT2367" t="str">
            <v>WM</v>
          </cell>
          <cell r="AU2367" t="str">
            <v>Washing Machine</v>
          </cell>
          <cell r="AV2367" t="str">
            <v>WMWF</v>
          </cell>
          <cell r="AW2367" t="str">
            <v>Clothes Styler</v>
          </cell>
          <cell r="AX2367" t="str">
            <v>WMWFWF</v>
          </cell>
          <cell r="AY2367" t="str">
            <v>Clothes_Styler</v>
          </cell>
          <cell r="AZ2367" t="str">
            <v>WMWFWFCA</v>
          </cell>
          <cell r="BA2367" t="str">
            <v>Clothes_Styler</v>
          </cell>
        </row>
        <row r="2368">
          <cell r="E2368" t="str">
            <v>SC9S.DVNMLLM</v>
          </cell>
          <cell r="F2368">
            <v>55</v>
          </cell>
          <cell r="G2368">
            <v>0</v>
          </cell>
          <cell r="H2368">
            <v>0</v>
          </cell>
          <cell r="I2368">
            <v>63</v>
          </cell>
          <cell r="J2368">
            <v>1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9</v>
          </cell>
          <cell r="P2368">
            <v>0</v>
          </cell>
          <cell r="Q2368">
            <v>52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 t="str">
            <v/>
          </cell>
          <cell r="AH2368" t="str">
            <v/>
          </cell>
          <cell r="AI2368" t="str">
            <v/>
          </cell>
          <cell r="AJ2368" t="str">
            <v/>
          </cell>
          <cell r="AK2368" t="str">
            <v>0.165406</v>
          </cell>
          <cell r="AL2368" t="str">
            <v>0</v>
          </cell>
          <cell r="AM2368" t="str">
            <v>Q</v>
          </cell>
          <cell r="AN2368" t="str">
            <v>M0</v>
          </cell>
          <cell r="AO2368" t="str">
            <v>Active(Model)</v>
          </cell>
          <cell r="AP2368" t="str">
            <v/>
          </cell>
          <cell r="AQ2368" t="str">
            <v/>
          </cell>
          <cell r="AR2368" t="str">
            <v>Y</v>
          </cell>
          <cell r="AS2368" t="str">
            <v/>
          </cell>
          <cell r="AT2368" t="str">
            <v>AV</v>
          </cell>
          <cell r="AU2368" t="str">
            <v>AV</v>
          </cell>
          <cell r="AV2368" t="str">
            <v>AVAH</v>
          </cell>
          <cell r="AW2368" t="str">
            <v>HTS</v>
          </cell>
          <cell r="AX2368" t="str">
            <v>AVAHHS</v>
          </cell>
          <cell r="AY2368" t="str">
            <v>Soundbar + HTS Speaker</v>
          </cell>
          <cell r="AZ2368" t="str">
            <v>AVAHHSSO</v>
          </cell>
          <cell r="BA2368" t="str">
            <v>Soundbar</v>
          </cell>
        </row>
        <row r="2369">
          <cell r="E2369" t="str">
            <v>SG10TY.DVNMLLK</v>
          </cell>
          <cell r="F2369">
            <v>0</v>
          </cell>
          <cell r="G2369">
            <v>0</v>
          </cell>
          <cell r="H2369">
            <v>0</v>
          </cell>
          <cell r="I2369">
            <v>4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 t="str">
            <v/>
          </cell>
          <cell r="AH2369" t="str">
            <v/>
          </cell>
          <cell r="AI2369" t="str">
            <v/>
          </cell>
          <cell r="AJ2369" t="str">
            <v/>
          </cell>
          <cell r="AK2369" t="str">
            <v>0.164195</v>
          </cell>
          <cell r="AL2369" t="str">
            <v>0</v>
          </cell>
          <cell r="AM2369" t="str">
            <v>Q</v>
          </cell>
          <cell r="AN2369" t="str">
            <v>M0</v>
          </cell>
          <cell r="AO2369" t="str">
            <v>Active(Model)</v>
          </cell>
          <cell r="AP2369" t="str">
            <v/>
          </cell>
          <cell r="AQ2369" t="str">
            <v/>
          </cell>
          <cell r="AR2369" t="str">
            <v>Y</v>
          </cell>
          <cell r="AS2369" t="str">
            <v/>
          </cell>
          <cell r="AT2369" t="str">
            <v>AV</v>
          </cell>
          <cell r="AU2369" t="str">
            <v>AV</v>
          </cell>
          <cell r="AV2369" t="str">
            <v>AVAH</v>
          </cell>
          <cell r="AW2369" t="str">
            <v>HTS</v>
          </cell>
          <cell r="AX2369" t="str">
            <v>AVAHHS</v>
          </cell>
          <cell r="AY2369" t="str">
            <v>Soundbar + HTS Speaker</v>
          </cell>
          <cell r="AZ2369" t="str">
            <v>AVAHHSSO</v>
          </cell>
          <cell r="BA2369" t="str">
            <v>Soundbar</v>
          </cell>
        </row>
        <row r="2370">
          <cell r="E2370" t="str">
            <v>SQ-G2DT97.AL</v>
          </cell>
          <cell r="F2370">
            <v>3</v>
          </cell>
          <cell r="G2370">
            <v>0</v>
          </cell>
          <cell r="H2370">
            <v>0</v>
          </cell>
          <cell r="I2370">
            <v>3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 t="str">
            <v/>
          </cell>
          <cell r="AH2370" t="str">
            <v/>
          </cell>
          <cell r="AI2370" t="str">
            <v/>
          </cell>
          <cell r="AJ2370" t="str">
            <v/>
          </cell>
          <cell r="AK2370" t="str">
            <v>0.100855</v>
          </cell>
          <cell r="AL2370" t="str">
            <v>2</v>
          </cell>
          <cell r="AM2370" t="str">
            <v>Q</v>
          </cell>
          <cell r="AN2370" t="str">
            <v>M0</v>
          </cell>
          <cell r="AO2370" t="str">
            <v>Active(Model)</v>
          </cell>
          <cell r="AP2370" t="str">
            <v/>
          </cell>
          <cell r="AQ2370" t="str">
            <v/>
          </cell>
          <cell r="AR2370" t="str">
            <v>Y</v>
          </cell>
          <cell r="AS2370" t="str">
            <v/>
          </cell>
          <cell r="AT2370" t="str">
            <v>TV</v>
          </cell>
          <cell r="AU2370" t="str">
            <v>TV</v>
          </cell>
          <cell r="AV2370" t="str">
            <v>TVAC</v>
          </cell>
          <cell r="AW2370" t="str">
            <v>TV Accessory</v>
          </cell>
          <cell r="AX2370" t="str">
            <v>TVACIA</v>
          </cell>
          <cell r="AY2370" t="str">
            <v>TV Acc Instrument(Except for PDP TV)</v>
          </cell>
          <cell r="AZ2370" t="str">
            <v>TVACIANN</v>
          </cell>
          <cell r="BA2370" t="str">
            <v>TV Acc Instrument(Except for PDP TV)</v>
          </cell>
        </row>
        <row r="2371">
          <cell r="E2371" t="str">
            <v>ST-G4WR8377.AL</v>
          </cell>
          <cell r="F2371">
            <v>0</v>
          </cell>
          <cell r="G2371">
            <v>0</v>
          </cell>
          <cell r="H2371">
            <v>0</v>
          </cell>
          <cell r="I2371">
            <v>1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1</v>
          </cell>
          <cell r="AD2371">
            <v>0</v>
          </cell>
          <cell r="AE2371">
            <v>0</v>
          </cell>
          <cell r="AF2371">
            <v>1</v>
          </cell>
          <cell r="AG2371" t="str">
            <v>LTV</v>
          </cell>
          <cell r="AH2371" t="str">
            <v>LTV</v>
          </cell>
          <cell r="AI2371" t="str">
            <v/>
          </cell>
          <cell r="AJ2371" t="str">
            <v/>
          </cell>
          <cell r="AK2371" t="str">
            <v>0.089113</v>
          </cell>
          <cell r="AL2371" t="str">
            <v>2</v>
          </cell>
          <cell r="AM2371" t="str">
            <v>Q</v>
          </cell>
          <cell r="AN2371" t="str">
            <v>M0</v>
          </cell>
          <cell r="AO2371" t="str">
            <v>Active(Model)</v>
          </cell>
          <cell r="AP2371" t="str">
            <v/>
          </cell>
          <cell r="AQ2371" t="str">
            <v/>
          </cell>
          <cell r="AR2371" t="str">
            <v>Y</v>
          </cell>
          <cell r="AS2371" t="str">
            <v/>
          </cell>
          <cell r="AT2371" t="str">
            <v>TV</v>
          </cell>
          <cell r="AU2371" t="str">
            <v>TV</v>
          </cell>
          <cell r="AV2371" t="str">
            <v>TVAC</v>
          </cell>
          <cell r="AW2371" t="str">
            <v>TV Accessory</v>
          </cell>
          <cell r="AX2371" t="str">
            <v>TVACIA</v>
          </cell>
          <cell r="AY2371" t="str">
            <v>TV Acc Instrument(Except for PDP TV)</v>
          </cell>
          <cell r="AZ2371" t="str">
            <v>TVACIANN</v>
          </cell>
          <cell r="BA2371" t="str">
            <v>TV Acc Instrument(Except for PDP TV)</v>
          </cell>
        </row>
        <row r="2372">
          <cell r="E2372" t="str">
            <v>STAGE501.AVNMLBK</v>
          </cell>
          <cell r="F2372">
            <v>93</v>
          </cell>
          <cell r="G2372">
            <v>0</v>
          </cell>
          <cell r="H2372">
            <v>0</v>
          </cell>
          <cell r="I2372">
            <v>95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 t="str">
            <v/>
          </cell>
          <cell r="AH2372" t="str">
            <v/>
          </cell>
          <cell r="AI2372" t="str">
            <v/>
          </cell>
          <cell r="AJ2372" t="str">
            <v/>
          </cell>
          <cell r="AK2372" t="str">
            <v>0.084835</v>
          </cell>
          <cell r="AL2372" t="str">
            <v>0</v>
          </cell>
          <cell r="AM2372" t="str">
            <v>Q</v>
          </cell>
          <cell r="AN2372" t="str">
            <v>M0</v>
          </cell>
          <cell r="AO2372" t="str">
            <v>Active(Model)</v>
          </cell>
          <cell r="AP2372" t="str">
            <v/>
          </cell>
          <cell r="AQ2372" t="str">
            <v/>
          </cell>
          <cell r="AR2372" t="str">
            <v>Y</v>
          </cell>
          <cell r="AS2372" t="str">
            <v/>
          </cell>
          <cell r="AT2372" t="str">
            <v>AO</v>
          </cell>
          <cell r="AU2372" t="str">
            <v>AO</v>
          </cell>
          <cell r="AV2372" t="str">
            <v>AOAA</v>
          </cell>
          <cell r="AW2372" t="str">
            <v>Home Audio_OS</v>
          </cell>
          <cell r="AX2372" t="str">
            <v>AOAADS</v>
          </cell>
          <cell r="AY2372" t="str">
            <v>Wireless Speaker_OS</v>
          </cell>
          <cell r="AZ2372" t="str">
            <v>AOAADSPS</v>
          </cell>
          <cell r="BA2372" t="str">
            <v>Bluetooth Speaker_OS</v>
          </cell>
        </row>
        <row r="2373">
          <cell r="E2373" t="str">
            <v>T19BM.AEPPEVN</v>
          </cell>
          <cell r="F2373">
            <v>0</v>
          </cell>
          <cell r="G2373">
            <v>0</v>
          </cell>
          <cell r="H2373">
            <v>0</v>
          </cell>
          <cell r="I2373">
            <v>3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2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 t="str">
            <v>REFBASIC</v>
          </cell>
          <cell r="AH2373" t="str">
            <v>REF_Basic</v>
          </cell>
          <cell r="AI2373" t="str">
            <v/>
          </cell>
          <cell r="AJ2373" t="str">
            <v/>
          </cell>
          <cell r="AK2373" t="str">
            <v>0.564152</v>
          </cell>
          <cell r="AL2373" t="str">
            <v>2</v>
          </cell>
          <cell r="AM2373" t="str">
            <v>Q</v>
          </cell>
          <cell r="AN2373" t="str">
            <v>M0</v>
          </cell>
          <cell r="AO2373" t="str">
            <v>Active(Model)</v>
          </cell>
          <cell r="AP2373" t="str">
            <v/>
          </cell>
          <cell r="AQ2373" t="str">
            <v/>
          </cell>
          <cell r="AR2373" t="str">
            <v>Y</v>
          </cell>
          <cell r="AS2373" t="str">
            <v/>
          </cell>
          <cell r="AT2373" t="str">
            <v>RF</v>
          </cell>
          <cell r="AU2373" t="str">
            <v>Refrigerator</v>
          </cell>
          <cell r="AV2373" t="str">
            <v>RFTM</v>
          </cell>
          <cell r="AW2373" t="str">
            <v>TMNF</v>
          </cell>
          <cell r="AX2373" t="str">
            <v>RFTMTM</v>
          </cell>
          <cell r="AY2373" t="str">
            <v>TMNF</v>
          </cell>
          <cell r="AZ2373" t="str">
            <v>RFTMTMMA</v>
          </cell>
          <cell r="BA2373" t="str">
            <v>Medium REF</v>
          </cell>
        </row>
        <row r="2374">
          <cell r="E2374" t="str">
            <v>T2109NT1G.ALSPEVN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2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 t="str">
            <v>WMBASIC</v>
          </cell>
          <cell r="AH2374" t="str">
            <v>WM_Basic</v>
          </cell>
          <cell r="AI2374" t="str">
            <v/>
          </cell>
          <cell r="AJ2374" t="str">
            <v/>
          </cell>
          <cell r="AK2374" t="str">
            <v>0.329466</v>
          </cell>
          <cell r="AL2374" t="str">
            <v>0</v>
          </cell>
          <cell r="AM2374" t="str">
            <v>Q</v>
          </cell>
          <cell r="AN2374" t="str">
            <v>M0</v>
          </cell>
          <cell r="AO2374" t="str">
            <v>Active(Model)</v>
          </cell>
          <cell r="AP2374" t="str">
            <v/>
          </cell>
          <cell r="AQ2374" t="str">
            <v/>
          </cell>
          <cell r="AR2374" t="str">
            <v>Y</v>
          </cell>
          <cell r="AS2374" t="str">
            <v/>
          </cell>
          <cell r="AT2374" t="str">
            <v>WM</v>
          </cell>
          <cell r="AU2374" t="str">
            <v>Washing Machine</v>
          </cell>
          <cell r="AV2374" t="str">
            <v>WMWL</v>
          </cell>
          <cell r="AW2374" t="str">
            <v>Clothes Washer</v>
          </cell>
          <cell r="AX2374" t="str">
            <v>WMWLTL</v>
          </cell>
          <cell r="AY2374" t="str">
            <v>Clothes Washer_Top Loader</v>
          </cell>
          <cell r="AZ2374" t="str">
            <v>WMWLTLFA</v>
          </cell>
          <cell r="BA2374" t="str">
            <v>Clothes Washer_Pulsator(Auto)</v>
          </cell>
        </row>
        <row r="2375">
          <cell r="E2375" t="str">
            <v>T21BG.AGKPEVN</v>
          </cell>
          <cell r="F2375">
            <v>0</v>
          </cell>
          <cell r="G2375">
            <v>0</v>
          </cell>
          <cell r="H2375">
            <v>0</v>
          </cell>
          <cell r="I2375">
            <v>510</v>
          </cell>
          <cell r="J2375">
            <v>0</v>
          </cell>
          <cell r="K2375">
            <v>508</v>
          </cell>
          <cell r="L2375">
            <v>0</v>
          </cell>
          <cell r="M2375">
            <v>0</v>
          </cell>
          <cell r="N2375">
            <v>492</v>
          </cell>
          <cell r="O2375">
            <v>0</v>
          </cell>
          <cell r="P2375">
            <v>492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0</v>
          </cell>
          <cell r="AA2375">
            <v>0</v>
          </cell>
          <cell r="AB2375">
            <v>0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 t="str">
            <v>REFBASIC</v>
          </cell>
          <cell r="AH2375" t="str">
            <v>REF_Basic</v>
          </cell>
          <cell r="AI2375" t="str">
            <v/>
          </cell>
          <cell r="AJ2375" t="str">
            <v/>
          </cell>
          <cell r="AK2375" t="str">
            <v>0.586264</v>
          </cell>
          <cell r="AL2375" t="str">
            <v>2</v>
          </cell>
          <cell r="AM2375" t="str">
            <v>Q</v>
          </cell>
          <cell r="AN2375" t="str">
            <v>M0</v>
          </cell>
          <cell r="AO2375" t="str">
            <v>Active(Model)</v>
          </cell>
          <cell r="AP2375" t="str">
            <v/>
          </cell>
          <cell r="AQ2375" t="str">
            <v/>
          </cell>
          <cell r="AR2375" t="str">
            <v>Y</v>
          </cell>
          <cell r="AS2375" t="str">
            <v/>
          </cell>
          <cell r="AT2375" t="str">
            <v>RF</v>
          </cell>
          <cell r="AU2375" t="str">
            <v>Refrigerator</v>
          </cell>
          <cell r="AV2375" t="str">
            <v>RFTM</v>
          </cell>
          <cell r="AW2375" t="str">
            <v>TMNF</v>
          </cell>
          <cell r="AX2375" t="str">
            <v>RFTMTM</v>
          </cell>
          <cell r="AY2375" t="str">
            <v>TMNF</v>
          </cell>
          <cell r="AZ2375" t="str">
            <v>RFTMTMMA</v>
          </cell>
          <cell r="BA2375" t="str">
            <v>Medium REF</v>
          </cell>
        </row>
        <row r="2376">
          <cell r="E2376" t="str">
            <v>T2310VBTN.ANBPEVN</v>
          </cell>
          <cell r="F2376">
            <v>0</v>
          </cell>
          <cell r="G2376">
            <v>0</v>
          </cell>
          <cell r="H2376">
            <v>0</v>
          </cell>
          <cell r="I2376">
            <v>1</v>
          </cell>
          <cell r="J2376">
            <v>0</v>
          </cell>
          <cell r="K2376">
            <v>229</v>
          </cell>
          <cell r="L2376">
            <v>0</v>
          </cell>
          <cell r="M2376">
            <v>0</v>
          </cell>
          <cell r="N2376">
            <v>1</v>
          </cell>
          <cell r="O2376">
            <v>0</v>
          </cell>
          <cell r="P2376">
            <v>1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 t="str">
            <v>WMPREMIUM</v>
          </cell>
          <cell r="AH2376" t="str">
            <v>WM_Premium</v>
          </cell>
          <cell r="AI2376" t="str">
            <v/>
          </cell>
          <cell r="AJ2376" t="str">
            <v/>
          </cell>
          <cell r="AK2376" t="str">
            <v>0.441438</v>
          </cell>
          <cell r="AL2376" t="str">
            <v>2</v>
          </cell>
          <cell r="AM2376" t="str">
            <v>F</v>
          </cell>
          <cell r="AN2376" t="str">
            <v>M0</v>
          </cell>
          <cell r="AO2376" t="str">
            <v>Active(Model)</v>
          </cell>
          <cell r="AP2376" t="str">
            <v/>
          </cell>
          <cell r="AQ2376" t="str">
            <v/>
          </cell>
          <cell r="AR2376" t="str">
            <v>Y</v>
          </cell>
          <cell r="AS2376" t="str">
            <v/>
          </cell>
          <cell r="AT2376" t="str">
            <v>WM</v>
          </cell>
          <cell r="AU2376" t="str">
            <v>Washing Machine</v>
          </cell>
          <cell r="AV2376" t="str">
            <v>WMWL</v>
          </cell>
          <cell r="AW2376" t="str">
            <v>Clothes Washer</v>
          </cell>
          <cell r="AX2376" t="str">
            <v>WMWLTL</v>
          </cell>
          <cell r="AY2376" t="str">
            <v>Clothes Washer_Top Loader</v>
          </cell>
          <cell r="AZ2376" t="str">
            <v>WMWLTLFA</v>
          </cell>
          <cell r="BA2376" t="str">
            <v>Clothes Washer_Pulsator(Auto)</v>
          </cell>
        </row>
        <row r="2377">
          <cell r="E2377" t="str">
            <v>T2313DX5N.DNBPEVN</v>
          </cell>
          <cell r="F2377">
            <v>18</v>
          </cell>
          <cell r="G2377">
            <v>0</v>
          </cell>
          <cell r="H2377">
            <v>0</v>
          </cell>
          <cell r="I2377">
            <v>25</v>
          </cell>
          <cell r="J2377">
            <v>0</v>
          </cell>
          <cell r="K2377">
            <v>118</v>
          </cell>
          <cell r="L2377">
            <v>0</v>
          </cell>
          <cell r="M2377">
            <v>0</v>
          </cell>
          <cell r="N2377">
            <v>7</v>
          </cell>
          <cell r="O2377">
            <v>0</v>
          </cell>
          <cell r="P2377">
            <v>7</v>
          </cell>
          <cell r="Q2377">
            <v>108</v>
          </cell>
          <cell r="R2377">
            <v>0</v>
          </cell>
          <cell r="S2377">
            <v>0</v>
          </cell>
          <cell r="T2377">
            <v>4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 t="str">
            <v>WMPREMIUM</v>
          </cell>
          <cell r="AH2377" t="str">
            <v>WM_Premium</v>
          </cell>
          <cell r="AI2377" t="str">
            <v/>
          </cell>
          <cell r="AJ2377" t="str">
            <v/>
          </cell>
          <cell r="AK2377" t="str">
            <v>0.510098</v>
          </cell>
          <cell r="AL2377" t="str">
            <v>2</v>
          </cell>
          <cell r="AM2377" t="str">
            <v>Q</v>
          </cell>
          <cell r="AN2377" t="str">
            <v>M0</v>
          </cell>
          <cell r="AO2377" t="str">
            <v>Active(Model)</v>
          </cell>
          <cell r="AP2377" t="str">
            <v/>
          </cell>
          <cell r="AQ2377" t="str">
            <v/>
          </cell>
          <cell r="AR2377" t="str">
            <v>Y</v>
          </cell>
          <cell r="AS2377" t="str">
            <v/>
          </cell>
          <cell r="AT2377" t="str">
            <v>WM</v>
          </cell>
          <cell r="AU2377" t="str">
            <v>Washing Machine</v>
          </cell>
          <cell r="AV2377" t="str">
            <v>WMWL</v>
          </cell>
          <cell r="AW2377" t="str">
            <v>Clothes Washer</v>
          </cell>
          <cell r="AX2377" t="str">
            <v>WMWLTL</v>
          </cell>
          <cell r="AY2377" t="str">
            <v>Clothes Washer_Top Loader</v>
          </cell>
          <cell r="AZ2377" t="str">
            <v>WMWLTLTA</v>
          </cell>
          <cell r="BA2377" t="str">
            <v>Clothes Washer_Turbo Drum</v>
          </cell>
        </row>
        <row r="2378">
          <cell r="E2378" t="str">
            <v>T2314DX5G.DEGPEVN</v>
          </cell>
          <cell r="F2378">
            <v>0</v>
          </cell>
          <cell r="G2378">
            <v>0</v>
          </cell>
          <cell r="H2378">
            <v>0</v>
          </cell>
          <cell r="I2378">
            <v>8</v>
          </cell>
          <cell r="J2378">
            <v>0</v>
          </cell>
          <cell r="K2378">
            <v>48</v>
          </cell>
          <cell r="L2378">
            <v>0</v>
          </cell>
          <cell r="M2378">
            <v>0</v>
          </cell>
          <cell r="N2378">
            <v>0</v>
          </cell>
          <cell r="O2378">
            <v>16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 t="str">
            <v>WMPREMIUM</v>
          </cell>
          <cell r="AH2378" t="str">
            <v>WM_Premium</v>
          </cell>
          <cell r="AI2378" t="str">
            <v/>
          </cell>
          <cell r="AJ2378" t="str">
            <v/>
          </cell>
          <cell r="AK2378" t="str">
            <v>0.510098</v>
          </cell>
          <cell r="AL2378" t="str">
            <v>2</v>
          </cell>
          <cell r="AM2378" t="str">
            <v>Q</v>
          </cell>
          <cell r="AN2378" t="str">
            <v>M0</v>
          </cell>
          <cell r="AO2378" t="str">
            <v>Active(Model)</v>
          </cell>
          <cell r="AP2378" t="str">
            <v/>
          </cell>
          <cell r="AQ2378" t="str">
            <v/>
          </cell>
          <cell r="AR2378" t="str">
            <v>Y</v>
          </cell>
          <cell r="AS2378" t="str">
            <v/>
          </cell>
          <cell r="AT2378" t="str">
            <v>WM</v>
          </cell>
          <cell r="AU2378" t="str">
            <v>Washing Machine</v>
          </cell>
          <cell r="AV2378" t="str">
            <v>WMWL</v>
          </cell>
          <cell r="AW2378" t="str">
            <v>Clothes Washer</v>
          </cell>
          <cell r="AX2378" t="str">
            <v>WMWLTL</v>
          </cell>
          <cell r="AY2378" t="str">
            <v>Clothes Washer_Top Loader</v>
          </cell>
          <cell r="AZ2378" t="str">
            <v>WMWLTLTA</v>
          </cell>
          <cell r="BA2378" t="str">
            <v>Clothes Washer_Turbo Drum</v>
          </cell>
        </row>
        <row r="2379">
          <cell r="E2379" t="str">
            <v>T2315DX5G.DEGPEVN</v>
          </cell>
          <cell r="F2379">
            <v>225</v>
          </cell>
          <cell r="G2379">
            <v>0</v>
          </cell>
          <cell r="H2379">
            <v>0</v>
          </cell>
          <cell r="I2379">
            <v>733</v>
          </cell>
          <cell r="J2379">
            <v>30</v>
          </cell>
          <cell r="K2379">
            <v>0</v>
          </cell>
          <cell r="L2379">
            <v>0</v>
          </cell>
          <cell r="M2379">
            <v>40</v>
          </cell>
          <cell r="N2379">
            <v>407</v>
          </cell>
          <cell r="O2379">
            <v>47</v>
          </cell>
          <cell r="P2379">
            <v>447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50</v>
          </cell>
          <cell r="AE2379">
            <v>0</v>
          </cell>
          <cell r="AF2379">
            <v>50</v>
          </cell>
          <cell r="AG2379" t="str">
            <v>WMPREMIUM</v>
          </cell>
          <cell r="AH2379" t="str">
            <v>WM_Premium</v>
          </cell>
          <cell r="AI2379" t="str">
            <v/>
          </cell>
          <cell r="AJ2379" t="str">
            <v/>
          </cell>
          <cell r="AK2379" t="str">
            <v>0.510098</v>
          </cell>
          <cell r="AL2379" t="str">
            <v>2</v>
          </cell>
          <cell r="AM2379" t="str">
            <v>Q</v>
          </cell>
          <cell r="AN2379" t="str">
            <v>M0</v>
          </cell>
          <cell r="AO2379" t="str">
            <v>Active(Model)</v>
          </cell>
          <cell r="AP2379" t="str">
            <v/>
          </cell>
          <cell r="AQ2379" t="str">
            <v/>
          </cell>
          <cell r="AR2379" t="str">
            <v>Y</v>
          </cell>
          <cell r="AS2379" t="str">
            <v/>
          </cell>
          <cell r="AT2379" t="str">
            <v>WM</v>
          </cell>
          <cell r="AU2379" t="str">
            <v>Washing Machine</v>
          </cell>
          <cell r="AV2379" t="str">
            <v>WMWL</v>
          </cell>
          <cell r="AW2379" t="str">
            <v>Clothes Washer</v>
          </cell>
          <cell r="AX2379" t="str">
            <v>WMWLTL</v>
          </cell>
          <cell r="AY2379" t="str">
            <v>Clothes Washer_Top Loader</v>
          </cell>
          <cell r="AZ2379" t="str">
            <v>WMWLTLTA</v>
          </cell>
          <cell r="BA2379" t="str">
            <v>Clothes Washer_Turbo Drum</v>
          </cell>
        </row>
        <row r="2380">
          <cell r="E2380" t="str">
            <v>T2512VBTB.ABMPEVN</v>
          </cell>
          <cell r="F2380">
            <v>1</v>
          </cell>
          <cell r="G2380">
            <v>0</v>
          </cell>
          <cell r="H2380">
            <v>0</v>
          </cell>
          <cell r="I2380">
            <v>1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 t="str">
            <v>WMPREMIUM</v>
          </cell>
          <cell r="AH2380" t="str">
            <v>WM_Premium</v>
          </cell>
          <cell r="AI2380" t="str">
            <v/>
          </cell>
          <cell r="AJ2380" t="str">
            <v/>
          </cell>
          <cell r="AK2380" t="str">
            <v>0.557586</v>
          </cell>
          <cell r="AL2380" t="str">
            <v>0</v>
          </cell>
          <cell r="AM2380" t="str">
            <v>Q</v>
          </cell>
          <cell r="AN2380" t="str">
            <v>M0</v>
          </cell>
          <cell r="AO2380" t="str">
            <v>Active(Model)</v>
          </cell>
          <cell r="AP2380" t="str">
            <v/>
          </cell>
          <cell r="AQ2380" t="str">
            <v/>
          </cell>
          <cell r="AR2380" t="str">
            <v>Y</v>
          </cell>
          <cell r="AS2380" t="str">
            <v/>
          </cell>
          <cell r="AT2380" t="str">
            <v>WM</v>
          </cell>
          <cell r="AU2380" t="str">
            <v>Washing Machine</v>
          </cell>
          <cell r="AV2380" t="str">
            <v>WMWL</v>
          </cell>
          <cell r="AW2380" t="str">
            <v>Clothes Washer</v>
          </cell>
          <cell r="AX2380" t="str">
            <v>WMWLTL</v>
          </cell>
          <cell r="AY2380" t="str">
            <v>Clothes Washer_Top Loader</v>
          </cell>
          <cell r="AZ2380" t="str">
            <v>WMWLTLFA</v>
          </cell>
          <cell r="BA2380" t="str">
            <v>Clothes Washer_Pulsator(Auto)</v>
          </cell>
        </row>
        <row r="2381">
          <cell r="E2381" t="str">
            <v>T2516DX5G.AEGPEVN</v>
          </cell>
          <cell r="F2381">
            <v>0</v>
          </cell>
          <cell r="G2381">
            <v>0</v>
          </cell>
          <cell r="H2381">
            <v>0</v>
          </cell>
          <cell r="I2381">
            <v>5</v>
          </cell>
          <cell r="J2381">
            <v>0</v>
          </cell>
          <cell r="K2381">
            <v>37</v>
          </cell>
          <cell r="L2381">
            <v>0</v>
          </cell>
          <cell r="M2381">
            <v>0</v>
          </cell>
          <cell r="N2381">
            <v>1</v>
          </cell>
          <cell r="O2381">
            <v>0</v>
          </cell>
          <cell r="P2381">
            <v>1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0</v>
          </cell>
          <cell r="AE2381">
            <v>0</v>
          </cell>
          <cell r="AF2381">
            <v>0</v>
          </cell>
          <cell r="AG2381" t="str">
            <v>WMPREMIUM</v>
          </cell>
          <cell r="AH2381" t="str">
            <v>WM_Premium</v>
          </cell>
          <cell r="AI2381" t="str">
            <v/>
          </cell>
          <cell r="AJ2381" t="str">
            <v/>
          </cell>
          <cell r="AK2381" t="str">
            <v>0.599580</v>
          </cell>
          <cell r="AL2381" t="str">
            <v>2</v>
          </cell>
          <cell r="AM2381" t="str">
            <v>Q</v>
          </cell>
          <cell r="AN2381" t="str">
            <v>M0</v>
          </cell>
          <cell r="AO2381" t="str">
            <v>Active(Model)</v>
          </cell>
          <cell r="AP2381" t="str">
            <v/>
          </cell>
          <cell r="AQ2381" t="str">
            <v/>
          </cell>
          <cell r="AR2381" t="str">
            <v>Y</v>
          </cell>
          <cell r="AS2381" t="str">
            <v/>
          </cell>
          <cell r="AT2381" t="str">
            <v>WM</v>
          </cell>
          <cell r="AU2381" t="str">
            <v>Washing Machine</v>
          </cell>
          <cell r="AV2381" t="str">
            <v>WMWL</v>
          </cell>
          <cell r="AW2381" t="str">
            <v>Clothes Washer</v>
          </cell>
          <cell r="AX2381" t="str">
            <v>WMWLTL</v>
          </cell>
          <cell r="AY2381" t="str">
            <v>Clothes Washer_Top Loader</v>
          </cell>
          <cell r="AZ2381" t="str">
            <v>WMWLTLTA</v>
          </cell>
          <cell r="BA2381" t="str">
            <v>Clothes Washer_Turbo Drum</v>
          </cell>
        </row>
        <row r="2382">
          <cell r="E2382" t="str">
            <v>T2519SX5G.AEGPEVN</v>
          </cell>
          <cell r="F2382">
            <v>0</v>
          </cell>
          <cell r="G2382">
            <v>0</v>
          </cell>
          <cell r="H2382">
            <v>0</v>
          </cell>
          <cell r="I2382">
            <v>13</v>
          </cell>
          <cell r="J2382">
            <v>2</v>
          </cell>
          <cell r="K2382">
            <v>5</v>
          </cell>
          <cell r="L2382">
            <v>0</v>
          </cell>
          <cell r="M2382">
            <v>0</v>
          </cell>
          <cell r="N2382">
            <v>10</v>
          </cell>
          <cell r="O2382">
            <v>6</v>
          </cell>
          <cell r="P2382">
            <v>10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 t="str">
            <v>WMPREMIUM</v>
          </cell>
          <cell r="AH2382" t="str">
            <v>WM_Premium</v>
          </cell>
          <cell r="AI2382" t="str">
            <v/>
          </cell>
          <cell r="AJ2382" t="str">
            <v/>
          </cell>
          <cell r="AK2382" t="str">
            <v>0.599580</v>
          </cell>
          <cell r="AL2382" t="str">
            <v>2</v>
          </cell>
          <cell r="AM2382" t="str">
            <v>Q</v>
          </cell>
          <cell r="AN2382" t="str">
            <v>M0</v>
          </cell>
          <cell r="AO2382" t="str">
            <v>Active(Model)</v>
          </cell>
          <cell r="AP2382" t="str">
            <v/>
          </cell>
          <cell r="AQ2382" t="str">
            <v/>
          </cell>
          <cell r="AR2382" t="str">
            <v>Y</v>
          </cell>
          <cell r="AS2382" t="str">
            <v/>
          </cell>
          <cell r="AT2382" t="str">
            <v>WM</v>
          </cell>
          <cell r="AU2382" t="str">
            <v>Washing Machine</v>
          </cell>
          <cell r="AV2382" t="str">
            <v>WMWL</v>
          </cell>
          <cell r="AW2382" t="str">
            <v>Clothes Washer</v>
          </cell>
          <cell r="AX2382" t="str">
            <v>WMWLTL</v>
          </cell>
          <cell r="AY2382" t="str">
            <v>Clothes Washer_Top Loader</v>
          </cell>
          <cell r="AZ2382" t="str">
            <v>WMWLTLTA</v>
          </cell>
          <cell r="BA2382" t="str">
            <v>Clothes Washer_Turbo Drum</v>
          </cell>
        </row>
        <row r="2383">
          <cell r="E2383" t="str">
            <v>T2522AX7G.AEGPEVN</v>
          </cell>
          <cell r="F2383">
            <v>0</v>
          </cell>
          <cell r="G2383">
            <v>0</v>
          </cell>
          <cell r="H2383">
            <v>0</v>
          </cell>
          <cell r="I2383">
            <v>8</v>
          </cell>
          <cell r="J2383">
            <v>0</v>
          </cell>
          <cell r="K2383">
            <v>34</v>
          </cell>
          <cell r="L2383">
            <v>0</v>
          </cell>
          <cell r="M2383">
            <v>0</v>
          </cell>
          <cell r="N2383">
            <v>0</v>
          </cell>
          <cell r="O2383">
            <v>8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 t="str">
            <v>WMPREMIUM</v>
          </cell>
          <cell r="AH2383" t="str">
            <v>WM_Premium</v>
          </cell>
          <cell r="AI2383" t="str">
            <v/>
          </cell>
          <cell r="AJ2383" t="str">
            <v/>
          </cell>
          <cell r="AK2383" t="str">
            <v>0.599580</v>
          </cell>
          <cell r="AL2383" t="str">
            <v>2</v>
          </cell>
          <cell r="AM2383" t="str">
            <v>Q</v>
          </cell>
          <cell r="AN2383" t="str">
            <v>M0</v>
          </cell>
          <cell r="AO2383" t="str">
            <v>Active(Model)</v>
          </cell>
          <cell r="AP2383" t="str">
            <v/>
          </cell>
          <cell r="AQ2383" t="str">
            <v/>
          </cell>
          <cell r="AR2383" t="str">
            <v>Y</v>
          </cell>
          <cell r="AS2383" t="str">
            <v/>
          </cell>
          <cell r="AT2383" t="str">
            <v>WM</v>
          </cell>
          <cell r="AU2383" t="str">
            <v>Washing Machine</v>
          </cell>
          <cell r="AV2383" t="str">
            <v>WMWL</v>
          </cell>
          <cell r="AW2383" t="str">
            <v>Clothes Washer</v>
          </cell>
          <cell r="AX2383" t="str">
            <v>WMWLTL</v>
          </cell>
          <cell r="AY2383" t="str">
            <v>Clothes Washer_Top Loader</v>
          </cell>
          <cell r="AZ2383" t="str">
            <v>WMWLTLTA</v>
          </cell>
          <cell r="BA2383" t="str">
            <v>Clothes Washer_Turbo Drum</v>
          </cell>
        </row>
        <row r="2384">
          <cell r="E2384" t="str">
            <v>T26BG.AGKPEVN</v>
          </cell>
          <cell r="F2384">
            <v>257</v>
          </cell>
          <cell r="G2384">
            <v>0</v>
          </cell>
          <cell r="H2384">
            <v>0</v>
          </cell>
          <cell r="I2384">
            <v>320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50</v>
          </cell>
          <cell r="O2384">
            <v>0</v>
          </cell>
          <cell r="P2384">
            <v>50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3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 t="str">
            <v>REFBASIC</v>
          </cell>
          <cell r="AH2384" t="str">
            <v>REF_Basic</v>
          </cell>
          <cell r="AI2384" t="str">
            <v/>
          </cell>
          <cell r="AJ2384" t="str">
            <v/>
          </cell>
          <cell r="AK2384" t="str">
            <v>0.672945</v>
          </cell>
          <cell r="AL2384" t="str">
            <v>2</v>
          </cell>
          <cell r="AM2384" t="str">
            <v>Q</v>
          </cell>
          <cell r="AN2384" t="str">
            <v>M0</v>
          </cell>
          <cell r="AO2384" t="str">
            <v>Active(Model)</v>
          </cell>
          <cell r="AP2384" t="str">
            <v/>
          </cell>
          <cell r="AQ2384" t="str">
            <v/>
          </cell>
          <cell r="AR2384" t="str">
            <v>Y</v>
          </cell>
          <cell r="AS2384" t="str">
            <v/>
          </cell>
          <cell r="AT2384" t="str">
            <v>RF</v>
          </cell>
          <cell r="AU2384" t="str">
            <v>Refrigerator</v>
          </cell>
          <cell r="AV2384" t="str">
            <v>RFTM</v>
          </cell>
          <cell r="AW2384" t="str">
            <v>TMNF</v>
          </cell>
          <cell r="AX2384" t="str">
            <v>RFTMTM</v>
          </cell>
          <cell r="AY2384" t="str">
            <v>TMNF</v>
          </cell>
          <cell r="AZ2384" t="str">
            <v>RFTMTMMA</v>
          </cell>
          <cell r="BA2384" t="str">
            <v>Medium REF</v>
          </cell>
        </row>
        <row r="2385">
          <cell r="E2385" t="str">
            <v>T2725SX5G.AEGPEVN</v>
          </cell>
          <cell r="F2385">
            <v>0</v>
          </cell>
          <cell r="G2385">
            <v>0</v>
          </cell>
          <cell r="H2385">
            <v>0</v>
          </cell>
          <cell r="I2385">
            <v>23</v>
          </cell>
          <cell r="J2385">
            <v>0</v>
          </cell>
          <cell r="K2385">
            <v>40</v>
          </cell>
          <cell r="L2385">
            <v>0</v>
          </cell>
          <cell r="M2385">
            <v>0</v>
          </cell>
          <cell r="N2385">
            <v>20</v>
          </cell>
          <cell r="O2385">
            <v>45</v>
          </cell>
          <cell r="P2385">
            <v>20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 t="str">
            <v>WMPREPLUS</v>
          </cell>
          <cell r="AH2385" t="str">
            <v>WM_Premium_Plus</v>
          </cell>
          <cell r="AI2385" t="str">
            <v/>
          </cell>
          <cell r="AJ2385" t="str">
            <v/>
          </cell>
          <cell r="AK2385" t="str">
            <v>0.672840</v>
          </cell>
          <cell r="AL2385" t="str">
            <v>2</v>
          </cell>
          <cell r="AM2385" t="str">
            <v>Q</v>
          </cell>
          <cell r="AN2385" t="str">
            <v>M0</v>
          </cell>
          <cell r="AO2385" t="str">
            <v>Active(Model)</v>
          </cell>
          <cell r="AP2385" t="str">
            <v/>
          </cell>
          <cell r="AQ2385" t="str">
            <v/>
          </cell>
          <cell r="AR2385" t="str">
            <v>Y</v>
          </cell>
          <cell r="AS2385" t="str">
            <v/>
          </cell>
          <cell r="AT2385" t="str">
            <v>WM</v>
          </cell>
          <cell r="AU2385" t="str">
            <v>Washing Machine</v>
          </cell>
          <cell r="AV2385" t="str">
            <v>WMWL</v>
          </cell>
          <cell r="AW2385" t="str">
            <v>Clothes Washer</v>
          </cell>
          <cell r="AX2385" t="str">
            <v>WMWLTL</v>
          </cell>
          <cell r="AY2385" t="str">
            <v>Clothes Washer_Top Loader</v>
          </cell>
          <cell r="AZ2385" t="str">
            <v>WMWLTLTA</v>
          </cell>
          <cell r="BA2385" t="str">
            <v>Clothes Washer_Turbo Drum</v>
          </cell>
        </row>
        <row r="2386">
          <cell r="E2386" t="str">
            <v>T30SV.APYPEVN</v>
          </cell>
          <cell r="F2386">
            <v>319</v>
          </cell>
          <cell r="G2386">
            <v>0</v>
          </cell>
          <cell r="H2386">
            <v>0</v>
          </cell>
          <cell r="I2386">
            <v>343</v>
          </cell>
          <cell r="J2386">
            <v>1</v>
          </cell>
          <cell r="K2386">
            <v>0</v>
          </cell>
          <cell r="L2386">
            <v>0</v>
          </cell>
          <cell r="M2386">
            <v>0</v>
          </cell>
          <cell r="N2386">
            <v>10</v>
          </cell>
          <cell r="O2386">
            <v>16</v>
          </cell>
          <cell r="P2386">
            <v>10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0</v>
          </cell>
          <cell r="AF2386">
            <v>0</v>
          </cell>
          <cell r="AG2386" t="str">
            <v>REFBASIC</v>
          </cell>
          <cell r="AH2386" t="str">
            <v>REF_Basic</v>
          </cell>
          <cell r="AI2386" t="str">
            <v/>
          </cell>
          <cell r="AJ2386" t="str">
            <v/>
          </cell>
          <cell r="AK2386" t="str">
            <v>0.717709</v>
          </cell>
          <cell r="AL2386" t="str">
            <v>2</v>
          </cell>
          <cell r="AM2386" t="str">
            <v>Q</v>
          </cell>
          <cell r="AN2386" t="str">
            <v>M0</v>
          </cell>
          <cell r="AO2386" t="str">
            <v>Active(Model)</v>
          </cell>
          <cell r="AP2386" t="str">
            <v/>
          </cell>
          <cell r="AQ2386" t="str">
            <v/>
          </cell>
          <cell r="AR2386" t="str">
            <v>Y</v>
          </cell>
          <cell r="AS2386" t="str">
            <v/>
          </cell>
          <cell r="AT2386" t="str">
            <v>RF</v>
          </cell>
          <cell r="AU2386" t="str">
            <v>Refrigerator</v>
          </cell>
          <cell r="AV2386" t="str">
            <v>RFTM</v>
          </cell>
          <cell r="AW2386" t="str">
            <v>TMNF</v>
          </cell>
          <cell r="AX2386" t="str">
            <v>RFTMTM</v>
          </cell>
          <cell r="AY2386" t="str">
            <v>TMNF</v>
          </cell>
          <cell r="AZ2386" t="str">
            <v>RFTMTMMA</v>
          </cell>
          <cell r="BA2386" t="str">
            <v>Medium REF</v>
          </cell>
        </row>
        <row r="2387">
          <cell r="E2387" t="str">
            <v>T33SV.APYPEVN</v>
          </cell>
          <cell r="F2387">
            <v>0</v>
          </cell>
          <cell r="G2387">
            <v>0</v>
          </cell>
          <cell r="H2387">
            <v>0</v>
          </cell>
          <cell r="I2387">
            <v>2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 t="str">
            <v>REFBASIC</v>
          </cell>
          <cell r="AH2387" t="str">
            <v>REF_Basic</v>
          </cell>
          <cell r="AI2387" t="str">
            <v/>
          </cell>
          <cell r="AJ2387" t="str">
            <v/>
          </cell>
          <cell r="AK2387" t="str">
            <v>0.765556</v>
          </cell>
          <cell r="AL2387" t="str">
            <v>2</v>
          </cell>
          <cell r="AM2387" t="str">
            <v>Q</v>
          </cell>
          <cell r="AN2387" t="str">
            <v>M0</v>
          </cell>
          <cell r="AO2387" t="str">
            <v>Active(Model)</v>
          </cell>
          <cell r="AP2387" t="str">
            <v/>
          </cell>
          <cell r="AQ2387" t="str">
            <v/>
          </cell>
          <cell r="AR2387" t="str">
            <v>Y</v>
          </cell>
          <cell r="AS2387" t="str">
            <v/>
          </cell>
          <cell r="AT2387" t="str">
            <v>RF</v>
          </cell>
          <cell r="AU2387" t="str">
            <v>Refrigerator</v>
          </cell>
          <cell r="AV2387" t="str">
            <v>RFTM</v>
          </cell>
          <cell r="AW2387" t="str">
            <v>TMNF</v>
          </cell>
          <cell r="AX2387" t="str">
            <v>RFTMTM</v>
          </cell>
          <cell r="AY2387" t="str">
            <v>TMNF</v>
          </cell>
          <cell r="AZ2387" t="str">
            <v>RFTMTMLA</v>
          </cell>
          <cell r="BA2387" t="str">
            <v>Large REF</v>
          </cell>
        </row>
        <row r="2388">
          <cell r="E2388" t="str">
            <v>T33SV2.ADSPEVN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 t="str">
            <v>REFBASIC</v>
          </cell>
          <cell r="AH2388" t="str">
            <v>REF_Basic</v>
          </cell>
          <cell r="AI2388" t="str">
            <v/>
          </cell>
          <cell r="AJ2388" t="str">
            <v/>
          </cell>
          <cell r="AK2388" t="str">
            <v>0.872636</v>
          </cell>
          <cell r="AL2388" t="str">
            <v>2</v>
          </cell>
          <cell r="AM2388" t="str">
            <v>Q</v>
          </cell>
          <cell r="AN2388" t="str">
            <v>M0</v>
          </cell>
          <cell r="AO2388" t="str">
            <v>Active(Model)</v>
          </cell>
          <cell r="AP2388" t="str">
            <v/>
          </cell>
          <cell r="AQ2388" t="str">
            <v/>
          </cell>
          <cell r="AR2388" t="str">
            <v>Y</v>
          </cell>
          <cell r="AS2388" t="str">
            <v/>
          </cell>
          <cell r="AT2388" t="str">
            <v>RF</v>
          </cell>
          <cell r="AU2388" t="str">
            <v>Refrigerator</v>
          </cell>
          <cell r="AV2388" t="str">
            <v>RFTM</v>
          </cell>
          <cell r="AW2388" t="str">
            <v>TMNF</v>
          </cell>
          <cell r="AX2388" t="str">
            <v>RFTMTM</v>
          </cell>
          <cell r="AY2388" t="str">
            <v>TMNF</v>
          </cell>
          <cell r="AZ2388" t="str">
            <v>RFTMTMMA</v>
          </cell>
          <cell r="BA2388" t="str">
            <v>Medium REF</v>
          </cell>
        </row>
        <row r="2389">
          <cell r="E2389" t="str">
            <v>T39SV.ADSPEVN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 t="str">
            <v>REFBASIC</v>
          </cell>
          <cell r="AH2389" t="str">
            <v>REF_Basic</v>
          </cell>
          <cell r="AI2389" t="str">
            <v/>
          </cell>
          <cell r="AJ2389" t="str">
            <v/>
          </cell>
          <cell r="AK2389" t="str">
            <v>0.984785</v>
          </cell>
          <cell r="AL2389" t="str">
            <v>2</v>
          </cell>
          <cell r="AM2389" t="str">
            <v>Q</v>
          </cell>
          <cell r="AN2389" t="str">
            <v>M0</v>
          </cell>
          <cell r="AO2389" t="str">
            <v>Active(Model)</v>
          </cell>
          <cell r="AP2389" t="str">
            <v/>
          </cell>
          <cell r="AQ2389" t="str">
            <v/>
          </cell>
          <cell r="AR2389" t="str">
            <v>Y</v>
          </cell>
          <cell r="AS2389" t="str">
            <v/>
          </cell>
          <cell r="AT2389" t="str">
            <v>RF</v>
          </cell>
          <cell r="AU2389" t="str">
            <v>Refrigerator</v>
          </cell>
          <cell r="AV2389" t="str">
            <v>RFTM</v>
          </cell>
          <cell r="AW2389" t="str">
            <v>TMNF</v>
          </cell>
          <cell r="AX2389" t="str">
            <v>RFTMTM</v>
          </cell>
          <cell r="AY2389" t="str">
            <v>TMNF</v>
          </cell>
          <cell r="AZ2389" t="str">
            <v>RFTMTMLA</v>
          </cell>
          <cell r="BA2389" t="str">
            <v>Large REF</v>
          </cell>
        </row>
        <row r="2390">
          <cell r="E2390" t="str">
            <v>TK2109NKMO.DNBPEVN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 t="str">
            <v>WMBASIC</v>
          </cell>
          <cell r="AH2390" t="str">
            <v>WM_Basic</v>
          </cell>
          <cell r="AI2390" t="str">
            <v/>
          </cell>
          <cell r="AJ2390" t="str">
            <v/>
          </cell>
          <cell r="AK2390" t="str">
            <v>0.325206</v>
          </cell>
          <cell r="AL2390" t="str">
            <v>2</v>
          </cell>
          <cell r="AM2390" t="str">
            <v>Q</v>
          </cell>
          <cell r="AN2390" t="str">
            <v>M0</v>
          </cell>
          <cell r="AO2390" t="str">
            <v>Active(Model)</v>
          </cell>
          <cell r="AP2390" t="str">
            <v/>
          </cell>
          <cell r="AQ2390" t="str">
            <v/>
          </cell>
          <cell r="AR2390" t="str">
            <v>Y</v>
          </cell>
          <cell r="AS2390" t="str">
            <v/>
          </cell>
          <cell r="AT2390" t="str">
            <v>WM</v>
          </cell>
          <cell r="AU2390" t="str">
            <v>Washing Machine</v>
          </cell>
          <cell r="AV2390" t="str">
            <v>WMWL</v>
          </cell>
          <cell r="AW2390" t="str">
            <v>Clothes Washer</v>
          </cell>
          <cell r="AX2390" t="str">
            <v>WMWLTL</v>
          </cell>
          <cell r="AY2390" t="str">
            <v>Clothes Washer_Top Loader</v>
          </cell>
          <cell r="AZ2390" t="str">
            <v>WMWLTLFA</v>
          </cell>
          <cell r="BA2390" t="str">
            <v>Clothes Washer_Pulsator(Auto)</v>
          </cell>
        </row>
        <row r="2391">
          <cell r="E2391" t="str">
            <v>TK2110NKMO.DNBPEVN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 t="str">
            <v>WMBASIC</v>
          </cell>
          <cell r="AH2391" t="str">
            <v>WM_Basic</v>
          </cell>
          <cell r="AI2391" t="str">
            <v/>
          </cell>
          <cell r="AJ2391" t="str">
            <v/>
          </cell>
          <cell r="AK2391" t="str">
            <v>0.325206</v>
          </cell>
          <cell r="AL2391" t="str">
            <v>2</v>
          </cell>
          <cell r="AM2391" t="str">
            <v>Q</v>
          </cell>
          <cell r="AN2391" t="str">
            <v>M0</v>
          </cell>
          <cell r="AO2391" t="str">
            <v>Active(Model)</v>
          </cell>
          <cell r="AP2391" t="str">
            <v/>
          </cell>
          <cell r="AQ2391" t="str">
            <v/>
          </cell>
          <cell r="AR2391" t="str">
            <v>Y</v>
          </cell>
          <cell r="AS2391" t="str">
            <v/>
          </cell>
          <cell r="AT2391" t="str">
            <v>WM</v>
          </cell>
          <cell r="AU2391" t="str">
            <v>Washing Machine</v>
          </cell>
          <cell r="AV2391" t="str">
            <v>WMWL</v>
          </cell>
          <cell r="AW2391" t="str">
            <v>Clothes Washer</v>
          </cell>
          <cell r="AX2391" t="str">
            <v>WMWLTL</v>
          </cell>
          <cell r="AY2391" t="str">
            <v>Clothes Washer_Top Loader</v>
          </cell>
          <cell r="AZ2391" t="str">
            <v>WMWLTLFA</v>
          </cell>
          <cell r="BA2391" t="str">
            <v>Clothes Washer_Pulsator(Auto)</v>
          </cell>
        </row>
        <row r="2392">
          <cell r="E2392" t="str">
            <v>TX2312DT3O.DNBPEVN</v>
          </cell>
          <cell r="F2392">
            <v>343</v>
          </cell>
          <cell r="G2392">
            <v>0</v>
          </cell>
          <cell r="H2392">
            <v>0</v>
          </cell>
          <cell r="I2392">
            <v>546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200</v>
          </cell>
          <cell r="O2392">
            <v>100</v>
          </cell>
          <cell r="P2392">
            <v>200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170</v>
          </cell>
          <cell r="AF2392">
            <v>0</v>
          </cell>
          <cell r="AG2392" t="str">
            <v>WMPREMIUM</v>
          </cell>
          <cell r="AH2392" t="str">
            <v>WM_Premium</v>
          </cell>
          <cell r="AI2392" t="str">
            <v/>
          </cell>
          <cell r="AJ2392" t="str">
            <v/>
          </cell>
          <cell r="AK2392" t="str">
            <v>0.510098</v>
          </cell>
          <cell r="AL2392" t="str">
            <v>2</v>
          </cell>
          <cell r="AM2392" t="str">
            <v>Q</v>
          </cell>
          <cell r="AN2392" t="str">
            <v>M0</v>
          </cell>
          <cell r="AO2392" t="str">
            <v>Active(Model)</v>
          </cell>
          <cell r="AP2392" t="str">
            <v/>
          </cell>
          <cell r="AQ2392" t="str">
            <v/>
          </cell>
          <cell r="AR2392" t="str">
            <v>Y</v>
          </cell>
          <cell r="AS2392" t="str">
            <v/>
          </cell>
          <cell r="AT2392" t="str">
            <v>WM</v>
          </cell>
          <cell r="AU2392" t="str">
            <v>Washing Machine</v>
          </cell>
          <cell r="AV2392" t="str">
            <v>WMWL</v>
          </cell>
          <cell r="AW2392" t="str">
            <v>Clothes Washer</v>
          </cell>
          <cell r="AX2392" t="str">
            <v>WMWLTL</v>
          </cell>
          <cell r="AY2392" t="str">
            <v>Clothes Washer_Top Loader</v>
          </cell>
          <cell r="AZ2392" t="str">
            <v>WMWLTLTA</v>
          </cell>
          <cell r="BA2392" t="str">
            <v>Clothes Washer_Turbo Drum</v>
          </cell>
        </row>
        <row r="2393">
          <cell r="E2393" t="str">
            <v>TX2312DT5O.DNBPEVN</v>
          </cell>
          <cell r="F2393">
            <v>0</v>
          </cell>
          <cell r="G2393">
            <v>0</v>
          </cell>
          <cell r="H2393">
            <v>0</v>
          </cell>
          <cell r="I2393">
            <v>234</v>
          </cell>
          <cell r="J2393">
            <v>21</v>
          </cell>
          <cell r="K2393">
            <v>624</v>
          </cell>
          <cell r="L2393">
            <v>10</v>
          </cell>
          <cell r="M2393">
            <v>68</v>
          </cell>
          <cell r="N2393">
            <v>153</v>
          </cell>
          <cell r="O2393">
            <v>57</v>
          </cell>
          <cell r="P2393">
            <v>221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 t="str">
            <v>WMPREMIUM</v>
          </cell>
          <cell r="AH2393" t="str">
            <v>WM_Premium</v>
          </cell>
          <cell r="AI2393" t="str">
            <v/>
          </cell>
          <cell r="AJ2393" t="str">
            <v/>
          </cell>
          <cell r="AK2393" t="str">
            <v>0.510098</v>
          </cell>
          <cell r="AL2393" t="str">
            <v>2</v>
          </cell>
          <cell r="AM2393" t="str">
            <v>Q</v>
          </cell>
          <cell r="AN2393" t="str">
            <v>M0</v>
          </cell>
          <cell r="AO2393" t="str">
            <v>Active(Model)</v>
          </cell>
          <cell r="AP2393" t="str">
            <v/>
          </cell>
          <cell r="AQ2393" t="str">
            <v/>
          </cell>
          <cell r="AR2393" t="str">
            <v>Y</v>
          </cell>
          <cell r="AS2393" t="str">
            <v/>
          </cell>
          <cell r="AT2393" t="str">
            <v>WM</v>
          </cell>
          <cell r="AU2393" t="str">
            <v>Washing Machine</v>
          </cell>
          <cell r="AV2393" t="str">
            <v>WMWL</v>
          </cell>
          <cell r="AW2393" t="str">
            <v>Clothes Washer</v>
          </cell>
          <cell r="AX2393" t="str">
            <v>WMWLTL</v>
          </cell>
          <cell r="AY2393" t="str">
            <v>Clothes Washer_Top Loader</v>
          </cell>
          <cell r="AZ2393" t="str">
            <v>WMWLTLTA</v>
          </cell>
          <cell r="BA2393" t="str">
            <v>Clothes Washer_Turbo Drum</v>
          </cell>
        </row>
        <row r="2394">
          <cell r="E2394" t="str">
            <v>TX2516DT3O.ANBPEVN</v>
          </cell>
          <cell r="F2394">
            <v>45</v>
          </cell>
          <cell r="G2394">
            <v>0</v>
          </cell>
          <cell r="H2394">
            <v>0</v>
          </cell>
          <cell r="I2394">
            <v>123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70</v>
          </cell>
          <cell r="O2394">
            <v>0</v>
          </cell>
          <cell r="P2394">
            <v>70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 t="str">
            <v>WMPREMIUM</v>
          </cell>
          <cell r="AH2394" t="str">
            <v>WM_Premium</v>
          </cell>
          <cell r="AI2394" t="str">
            <v/>
          </cell>
          <cell r="AJ2394" t="str">
            <v/>
          </cell>
          <cell r="AK2394" t="str">
            <v>0.599580</v>
          </cell>
          <cell r="AL2394" t="str">
            <v>2</v>
          </cell>
          <cell r="AM2394" t="str">
            <v>Q</v>
          </cell>
          <cell r="AN2394" t="str">
            <v>M0</v>
          </cell>
          <cell r="AO2394" t="str">
            <v>Active(Model)</v>
          </cell>
          <cell r="AP2394" t="str">
            <v/>
          </cell>
          <cell r="AQ2394" t="str">
            <v/>
          </cell>
          <cell r="AR2394" t="str">
            <v>Y</v>
          </cell>
          <cell r="AS2394" t="str">
            <v/>
          </cell>
          <cell r="AT2394" t="str">
            <v>WM</v>
          </cell>
          <cell r="AU2394" t="str">
            <v>Washing Machine</v>
          </cell>
          <cell r="AV2394" t="str">
            <v>WMWL</v>
          </cell>
          <cell r="AW2394" t="str">
            <v>Clothes Washer</v>
          </cell>
          <cell r="AX2394" t="str">
            <v>WMWLTL</v>
          </cell>
          <cell r="AY2394" t="str">
            <v>Clothes Washer_Top Loader</v>
          </cell>
          <cell r="AZ2394" t="str">
            <v>WMWLTLTA</v>
          </cell>
          <cell r="BA2394" t="str">
            <v>Clothes Washer_Turbo Drum</v>
          </cell>
        </row>
        <row r="2395">
          <cell r="E2395" t="str">
            <v>TX2725AT9G.AEGPEVN</v>
          </cell>
          <cell r="F2395">
            <v>0</v>
          </cell>
          <cell r="G2395">
            <v>0</v>
          </cell>
          <cell r="H2395">
            <v>0</v>
          </cell>
          <cell r="I2395">
            <v>9</v>
          </cell>
          <cell r="J2395">
            <v>1</v>
          </cell>
          <cell r="K2395">
            <v>65</v>
          </cell>
          <cell r="L2395">
            <v>0</v>
          </cell>
          <cell r="M2395">
            <v>0</v>
          </cell>
          <cell r="N2395">
            <v>6</v>
          </cell>
          <cell r="O2395">
            <v>5</v>
          </cell>
          <cell r="P2395">
            <v>6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 t="str">
            <v>WMPREPLUS</v>
          </cell>
          <cell r="AH2395" t="str">
            <v>WM_Premium_Plus</v>
          </cell>
          <cell r="AI2395" t="str">
            <v/>
          </cell>
          <cell r="AJ2395" t="str">
            <v/>
          </cell>
          <cell r="AK2395" t="str">
            <v>0.672840</v>
          </cell>
          <cell r="AL2395" t="str">
            <v>2</v>
          </cell>
          <cell r="AM2395" t="str">
            <v>Q</v>
          </cell>
          <cell r="AN2395" t="str">
            <v>M0</v>
          </cell>
          <cell r="AO2395" t="str">
            <v>Active(Model)</v>
          </cell>
          <cell r="AP2395" t="str">
            <v/>
          </cell>
          <cell r="AQ2395" t="str">
            <v/>
          </cell>
          <cell r="AR2395" t="str">
            <v>Y</v>
          </cell>
          <cell r="AS2395" t="str">
            <v/>
          </cell>
          <cell r="AT2395" t="str">
            <v>WM</v>
          </cell>
          <cell r="AU2395" t="str">
            <v>Washing Machine</v>
          </cell>
          <cell r="AV2395" t="str">
            <v>WMWL</v>
          </cell>
          <cell r="AW2395" t="str">
            <v>Clothes Washer</v>
          </cell>
          <cell r="AX2395" t="str">
            <v>WMWLTL</v>
          </cell>
          <cell r="AY2395" t="str">
            <v>Clothes Washer_Top Loader</v>
          </cell>
          <cell r="AZ2395" t="str">
            <v>WMWLTLTA</v>
          </cell>
          <cell r="BA2395" t="str">
            <v>Clothes Washer_Turbo Drum</v>
          </cell>
        </row>
        <row r="2396">
          <cell r="E2396" t="str">
            <v>VK7317GHTPB.APBPLVN</v>
          </cell>
          <cell r="F2396">
            <v>2</v>
          </cell>
          <cell r="G2396">
            <v>0</v>
          </cell>
          <cell r="H2396">
            <v>0</v>
          </cell>
          <cell r="I2396">
            <v>28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 t="str">
            <v>VCBASIC</v>
          </cell>
          <cell r="AH2396" t="str">
            <v>VC_Basic</v>
          </cell>
          <cell r="AI2396" t="str">
            <v/>
          </cell>
          <cell r="AJ2396" t="str">
            <v/>
          </cell>
          <cell r="AK2396" t="str">
            <v>0.074003</v>
          </cell>
          <cell r="AL2396" t="str">
            <v>2</v>
          </cell>
          <cell r="AM2396" t="str">
            <v>F</v>
          </cell>
          <cell r="AN2396" t="str">
            <v>M0</v>
          </cell>
          <cell r="AO2396" t="str">
            <v>Active(Model)</v>
          </cell>
          <cell r="AP2396" t="str">
            <v/>
          </cell>
          <cell r="AQ2396" t="str">
            <v/>
          </cell>
          <cell r="AR2396" t="str">
            <v>Y</v>
          </cell>
          <cell r="AS2396" t="str">
            <v/>
          </cell>
          <cell r="AT2396" t="str">
            <v>VC</v>
          </cell>
          <cell r="AU2396" t="str">
            <v>Vacuum Cleaner</v>
          </cell>
          <cell r="AV2396" t="str">
            <v>VCVC</v>
          </cell>
          <cell r="AW2396" t="str">
            <v>Vacuum Cleaner</v>
          </cell>
          <cell r="AX2396" t="str">
            <v>VCVCCR</v>
          </cell>
          <cell r="AY2396" t="str">
            <v>Canister</v>
          </cell>
          <cell r="AZ2396" t="str">
            <v>VCVCCRMC</v>
          </cell>
          <cell r="BA2396" t="str">
            <v>Multi Cyclone(Canister)</v>
          </cell>
        </row>
        <row r="2397">
          <cell r="E2397" t="str">
            <v>VK7317GHTPS.APSPLVN</v>
          </cell>
          <cell r="F2397">
            <v>0</v>
          </cell>
          <cell r="G2397">
            <v>0</v>
          </cell>
          <cell r="H2397">
            <v>0</v>
          </cell>
          <cell r="I2397">
            <v>2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 t="str">
            <v>VCBASIC</v>
          </cell>
          <cell r="AH2397" t="str">
            <v>VC_Basic</v>
          </cell>
          <cell r="AI2397" t="str">
            <v/>
          </cell>
          <cell r="AJ2397" t="str">
            <v/>
          </cell>
          <cell r="AK2397" t="str">
            <v>0.074003</v>
          </cell>
          <cell r="AL2397" t="str">
            <v>2</v>
          </cell>
          <cell r="AM2397" t="str">
            <v>F</v>
          </cell>
          <cell r="AN2397" t="str">
            <v>M0</v>
          </cell>
          <cell r="AO2397" t="str">
            <v>Active(Model)</v>
          </cell>
          <cell r="AP2397" t="str">
            <v/>
          </cell>
          <cell r="AQ2397" t="str">
            <v/>
          </cell>
          <cell r="AR2397" t="str">
            <v>Y</v>
          </cell>
          <cell r="AS2397" t="str">
            <v/>
          </cell>
          <cell r="AT2397" t="str">
            <v>VC</v>
          </cell>
          <cell r="AU2397" t="str">
            <v>Vacuum Cleaner</v>
          </cell>
          <cell r="AV2397" t="str">
            <v>VCVC</v>
          </cell>
          <cell r="AW2397" t="str">
            <v>Vacuum Cleaner</v>
          </cell>
          <cell r="AX2397" t="str">
            <v>VCVCCR</v>
          </cell>
          <cell r="AY2397" t="str">
            <v>Canister</v>
          </cell>
          <cell r="AZ2397" t="str">
            <v>VCVCCRMC</v>
          </cell>
          <cell r="BA2397" t="str">
            <v>Multi Cyclone(Canister)</v>
          </cell>
        </row>
        <row r="2398">
          <cell r="E2398" t="str">
            <v>W60GLGG0.ABAE</v>
          </cell>
          <cell r="F2398">
            <v>98</v>
          </cell>
          <cell r="G2398">
            <v>0</v>
          </cell>
          <cell r="H2398">
            <v>0</v>
          </cell>
          <cell r="I2398">
            <v>100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2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1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 t="str">
            <v/>
          </cell>
          <cell r="AH2398" t="str">
            <v/>
          </cell>
          <cell r="AI2398" t="str">
            <v/>
          </cell>
          <cell r="AJ2398" t="str">
            <v/>
          </cell>
          <cell r="AK2398" t="str">
            <v>0.100242</v>
          </cell>
          <cell r="AL2398" t="str">
            <v>0</v>
          </cell>
          <cell r="AM2398" t="str">
            <v>Q</v>
          </cell>
          <cell r="AN2398" t="str">
            <v>M0</v>
          </cell>
          <cell r="AO2398" t="str">
            <v>Active(Model)</v>
          </cell>
          <cell r="AP2398" t="str">
            <v/>
          </cell>
          <cell r="AQ2398" t="str">
            <v/>
          </cell>
          <cell r="AR2398" t="str">
            <v>Y</v>
          </cell>
          <cell r="AS2398" t="str">
            <v/>
          </cell>
          <cell r="AT2398" t="str">
            <v>HC</v>
          </cell>
          <cell r="AU2398" t="str">
            <v>Healthcare</v>
          </cell>
          <cell r="AV2398" t="str">
            <v>HCWC</v>
          </cell>
          <cell r="AW2398" t="str">
            <v>Wellness care</v>
          </cell>
          <cell r="AX2398" t="str">
            <v>HCWCAS</v>
          </cell>
          <cell r="AY2398" t="str">
            <v>Air Solution</v>
          </cell>
          <cell r="AZ2398" t="str">
            <v>HCWCASCO</v>
          </cell>
          <cell r="BA2398" t="str">
            <v>Air Cleaner_ODM</v>
          </cell>
        </row>
        <row r="2399">
          <cell r="E2399" t="str">
            <v>WP601-B.ATV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 t="str">
            <v/>
          </cell>
          <cell r="AH2399" t="str">
            <v/>
          </cell>
          <cell r="AI2399" t="str">
            <v/>
          </cell>
          <cell r="AJ2399" t="str">
            <v/>
          </cell>
          <cell r="AK2399" t="str">
            <v>0.013978</v>
          </cell>
          <cell r="AL2399" t="str">
            <v>2</v>
          </cell>
          <cell r="AM2399" t="str">
            <v>Q</v>
          </cell>
          <cell r="AN2399" t="str">
            <v>M0</v>
          </cell>
          <cell r="AO2399" t="str">
            <v>Active(Model)</v>
          </cell>
          <cell r="AP2399" t="str">
            <v/>
          </cell>
          <cell r="AQ2399" t="str">
            <v/>
          </cell>
          <cell r="AR2399" t="str">
            <v>Y</v>
          </cell>
          <cell r="AS2399" t="str">
            <v/>
          </cell>
          <cell r="AT2399" t="str">
            <v>CS</v>
          </cell>
          <cell r="AU2399" t="str">
            <v>Commercial Display_Signage</v>
          </cell>
          <cell r="AV2399" t="str">
            <v>CSSB</v>
          </cell>
          <cell r="AW2399" t="str">
            <v>Commercial_Signage Board</v>
          </cell>
          <cell r="AX2399" t="str">
            <v>CSSBWP</v>
          </cell>
          <cell r="AY2399" t="str">
            <v>Commercial_Signage WP</v>
          </cell>
          <cell r="AZ2399" t="str">
            <v>CSSBWPNN</v>
          </cell>
          <cell r="BA2399" t="str">
            <v>Comercial Signage WP</v>
          </cell>
        </row>
        <row r="2400">
          <cell r="E2400" t="str">
            <v>WT1410NHB.APBPQVN</v>
          </cell>
          <cell r="F2400">
            <v>0</v>
          </cell>
          <cell r="G2400">
            <v>0</v>
          </cell>
          <cell r="H2400">
            <v>0</v>
          </cell>
          <cell r="I2400">
            <v>14</v>
          </cell>
          <cell r="J2400">
            <v>0</v>
          </cell>
          <cell r="K2400">
            <v>10</v>
          </cell>
          <cell r="L2400">
            <v>0</v>
          </cell>
          <cell r="M2400">
            <v>1</v>
          </cell>
          <cell r="N2400">
            <v>4</v>
          </cell>
          <cell r="O2400">
            <v>2</v>
          </cell>
          <cell r="P2400">
            <v>5</v>
          </cell>
          <cell r="Q2400">
            <v>25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2</v>
          </cell>
          <cell r="AF2400">
            <v>0</v>
          </cell>
          <cell r="AG2400" t="str">
            <v>WMPREPLUS</v>
          </cell>
          <cell r="AH2400" t="str">
            <v>WM_Premium_Plus</v>
          </cell>
          <cell r="AI2400" t="str">
            <v/>
          </cell>
          <cell r="AJ2400" t="str">
            <v/>
          </cell>
          <cell r="AK2400" t="str">
            <v>0.828623</v>
          </cell>
          <cell r="AL2400" t="str">
            <v>2</v>
          </cell>
          <cell r="AM2400" t="str">
            <v>Q</v>
          </cell>
          <cell r="AN2400" t="str">
            <v>M0</v>
          </cell>
          <cell r="AO2400" t="str">
            <v>Active(Model)</v>
          </cell>
          <cell r="AP2400" t="str">
            <v/>
          </cell>
          <cell r="AQ2400" t="str">
            <v/>
          </cell>
          <cell r="AR2400" t="str">
            <v>Y</v>
          </cell>
          <cell r="AS2400" t="str">
            <v/>
          </cell>
          <cell r="AT2400" t="str">
            <v>WM</v>
          </cell>
          <cell r="AU2400" t="str">
            <v>Washing Machine</v>
          </cell>
          <cell r="AV2400" t="str">
            <v>WMWL</v>
          </cell>
          <cell r="AW2400" t="str">
            <v>Clothes Washer</v>
          </cell>
          <cell r="AX2400" t="str">
            <v>WMWLCC</v>
          </cell>
          <cell r="AY2400" t="str">
            <v>Clothes Washer_Laundry Center</v>
          </cell>
          <cell r="AZ2400" t="str">
            <v>WMWLCCLC</v>
          </cell>
          <cell r="BA2400" t="str">
            <v>Clothes Stacked Washer Dryer</v>
          </cell>
        </row>
        <row r="2401">
          <cell r="E2401" t="str">
            <v>WT1410NHEG.ABGPEVN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5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 t="str">
            <v>WMPREPLUS</v>
          </cell>
          <cell r="AH2401" t="str">
            <v>WM_Premium_Plus</v>
          </cell>
          <cell r="AI2401" t="str">
            <v/>
          </cell>
          <cell r="AJ2401" t="str">
            <v/>
          </cell>
          <cell r="AK2401" t="str">
            <v>0.810080</v>
          </cell>
          <cell r="AL2401" t="str">
            <v>0</v>
          </cell>
          <cell r="AM2401" t="str">
            <v>Q</v>
          </cell>
          <cell r="AN2401" t="str">
            <v>M0</v>
          </cell>
          <cell r="AO2401" t="str">
            <v>Active(Model)</v>
          </cell>
          <cell r="AP2401" t="str">
            <v/>
          </cell>
          <cell r="AQ2401" t="str">
            <v/>
          </cell>
          <cell r="AR2401" t="str">
            <v>Y</v>
          </cell>
          <cell r="AS2401" t="str">
            <v/>
          </cell>
          <cell r="AT2401" t="str">
            <v>WM</v>
          </cell>
          <cell r="AU2401" t="str">
            <v>Washing Machine</v>
          </cell>
          <cell r="AV2401" t="str">
            <v>WMWL</v>
          </cell>
          <cell r="AW2401" t="str">
            <v>Clothes Washer</v>
          </cell>
          <cell r="AX2401" t="str">
            <v>WMWLCC</v>
          </cell>
          <cell r="AY2401" t="str">
            <v>Clothes Washer_Laundry Center</v>
          </cell>
          <cell r="AZ2401" t="str">
            <v>WMWLCCLC</v>
          </cell>
          <cell r="BA2401" t="str">
            <v>Clothes Stacked Washer Dryer</v>
          </cell>
        </row>
        <row r="2402">
          <cell r="E2402" t="str">
            <v>WT1410NHEG.ABGPQVN</v>
          </cell>
          <cell r="F2402">
            <v>0</v>
          </cell>
          <cell r="G2402">
            <v>0</v>
          </cell>
          <cell r="H2402">
            <v>0</v>
          </cell>
          <cell r="I2402">
            <v>11</v>
          </cell>
          <cell r="J2402">
            <v>0</v>
          </cell>
          <cell r="K2402">
            <v>5</v>
          </cell>
          <cell r="L2402">
            <v>0</v>
          </cell>
          <cell r="M2402">
            <v>2</v>
          </cell>
          <cell r="N2402">
            <v>2</v>
          </cell>
          <cell r="O2402">
            <v>2</v>
          </cell>
          <cell r="P2402">
            <v>4</v>
          </cell>
          <cell r="Q2402">
            <v>26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 t="str">
            <v>WMPREPLUS</v>
          </cell>
          <cell r="AH2402" t="str">
            <v>WM_Premium_Plus</v>
          </cell>
          <cell r="AI2402" t="str">
            <v/>
          </cell>
          <cell r="AJ2402" t="str">
            <v/>
          </cell>
          <cell r="AK2402" t="str">
            <v>0.809737</v>
          </cell>
          <cell r="AL2402" t="str">
            <v>2</v>
          </cell>
          <cell r="AM2402" t="str">
            <v>Q</v>
          </cell>
          <cell r="AN2402" t="str">
            <v>M0</v>
          </cell>
          <cell r="AO2402" t="str">
            <v>Active(Model)</v>
          </cell>
          <cell r="AP2402" t="str">
            <v/>
          </cell>
          <cell r="AQ2402" t="str">
            <v/>
          </cell>
          <cell r="AR2402" t="str">
            <v>Y</v>
          </cell>
          <cell r="AS2402" t="str">
            <v/>
          </cell>
          <cell r="AT2402" t="str">
            <v>WM</v>
          </cell>
          <cell r="AU2402" t="str">
            <v>Washing Machine</v>
          </cell>
          <cell r="AV2402" t="str">
            <v>WMWL</v>
          </cell>
          <cell r="AW2402" t="str">
            <v>Clothes Washer</v>
          </cell>
          <cell r="AX2402" t="str">
            <v>WMWLCC</v>
          </cell>
          <cell r="AY2402" t="str">
            <v>Clothes Washer_Laundry Center</v>
          </cell>
          <cell r="AZ2402" t="str">
            <v>WMWLCCLC</v>
          </cell>
          <cell r="BA2402" t="str">
            <v>Clothes Stacked Washer Dryer</v>
          </cell>
        </row>
        <row r="2403">
          <cell r="E2403" t="str">
            <v>WT2517NHEG.ABGPEVN</v>
          </cell>
          <cell r="F2403">
            <v>0</v>
          </cell>
          <cell r="G2403">
            <v>0</v>
          </cell>
          <cell r="H2403">
            <v>0</v>
          </cell>
          <cell r="I2403">
            <v>7</v>
          </cell>
          <cell r="J2403">
            <v>4</v>
          </cell>
          <cell r="K2403">
            <v>43</v>
          </cell>
          <cell r="L2403">
            <v>0</v>
          </cell>
          <cell r="M2403">
            <v>0</v>
          </cell>
          <cell r="N2403">
            <v>1</v>
          </cell>
          <cell r="O2403">
            <v>12</v>
          </cell>
          <cell r="P2403">
            <v>1</v>
          </cell>
          <cell r="Q2403">
            <v>42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 t="str">
            <v>WMPREPLUS</v>
          </cell>
          <cell r="AH2403" t="str">
            <v>WM_Premium_Plus</v>
          </cell>
          <cell r="AI2403" t="str">
            <v/>
          </cell>
          <cell r="AJ2403" t="str">
            <v/>
          </cell>
          <cell r="AK2403" t="str">
            <v>1.276866</v>
          </cell>
          <cell r="AL2403" t="str">
            <v>0</v>
          </cell>
          <cell r="AM2403" t="str">
            <v>Q</v>
          </cell>
          <cell r="AN2403" t="str">
            <v>M0</v>
          </cell>
          <cell r="AO2403" t="str">
            <v>Active(Model)</v>
          </cell>
          <cell r="AP2403" t="str">
            <v/>
          </cell>
          <cell r="AQ2403" t="str">
            <v/>
          </cell>
          <cell r="AR2403" t="str">
            <v>Y</v>
          </cell>
          <cell r="AS2403" t="str">
            <v/>
          </cell>
          <cell r="AT2403" t="str">
            <v>WM</v>
          </cell>
          <cell r="AU2403" t="str">
            <v>Washing Machine</v>
          </cell>
          <cell r="AV2403" t="str">
            <v>WMWL</v>
          </cell>
          <cell r="AW2403" t="str">
            <v>Clothes Washer</v>
          </cell>
          <cell r="AX2403" t="str">
            <v>WMWLCC</v>
          </cell>
          <cell r="AY2403" t="str">
            <v>Clothes Washer_Laundry Center</v>
          </cell>
          <cell r="AZ2403" t="str">
            <v>WMWLCCLC</v>
          </cell>
          <cell r="BA2403" t="str">
            <v>Clothes Stacked Washer Dryer</v>
          </cell>
        </row>
        <row r="2404">
          <cell r="E2404" t="str">
            <v>Z2UQ18GFD0.EWGHASA</v>
          </cell>
          <cell r="F2404">
            <v>0</v>
          </cell>
          <cell r="G2404">
            <v>0</v>
          </cell>
          <cell r="H2404">
            <v>0</v>
          </cell>
          <cell r="I2404">
            <v>1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 t="str">
            <v/>
          </cell>
          <cell r="AH2404" t="str">
            <v/>
          </cell>
          <cell r="AI2404" t="str">
            <v/>
          </cell>
          <cell r="AJ2404" t="str">
            <v/>
          </cell>
          <cell r="AK2404" t="str">
            <v>0.209892</v>
          </cell>
          <cell r="AL2404" t="str">
            <v>0</v>
          </cell>
          <cell r="AM2404" t="str">
            <v>Q</v>
          </cell>
          <cell r="AN2404" t="str">
            <v>M0</v>
          </cell>
          <cell r="AO2404" t="str">
            <v>Active(Model)</v>
          </cell>
          <cell r="AP2404" t="str">
            <v/>
          </cell>
          <cell r="AQ2404" t="str">
            <v/>
          </cell>
          <cell r="AR2404" t="str">
            <v>Y</v>
          </cell>
          <cell r="AS2404" t="str">
            <v/>
          </cell>
          <cell r="AT2404" t="str">
            <v>AC</v>
          </cell>
          <cell r="AU2404" t="str">
            <v>Airconditioner</v>
          </cell>
          <cell r="AV2404" t="str">
            <v>ACMT</v>
          </cell>
          <cell r="AW2404" t="str">
            <v>Multi</v>
          </cell>
          <cell r="AX2404" t="str">
            <v>ACMTOD</v>
          </cell>
          <cell r="AY2404" t="str">
            <v>Flexible Multi-O/D(Inv.)</v>
          </cell>
          <cell r="AZ2404" t="str">
            <v>ACMTODMF</v>
          </cell>
          <cell r="BA2404" t="str">
            <v>Flexible Multi_O/D_Multi F</v>
          </cell>
        </row>
        <row r="2405">
          <cell r="E2405" t="str">
            <v>Z2UQ18GFD2.EWGHASA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 t="str">
            <v/>
          </cell>
          <cell r="AH2405" t="str">
            <v/>
          </cell>
          <cell r="AI2405" t="str">
            <v/>
          </cell>
          <cell r="AJ2405" t="str">
            <v/>
          </cell>
          <cell r="AK2405" t="str">
            <v>0.212597</v>
          </cell>
          <cell r="AL2405" t="str">
            <v>0</v>
          </cell>
          <cell r="AM2405" t="str">
            <v>Q</v>
          </cell>
          <cell r="AN2405" t="str">
            <v>M0</v>
          </cell>
          <cell r="AO2405" t="str">
            <v>Active(Model)</v>
          </cell>
          <cell r="AP2405" t="str">
            <v/>
          </cell>
          <cell r="AQ2405" t="str">
            <v/>
          </cell>
          <cell r="AR2405" t="str">
            <v>Y</v>
          </cell>
          <cell r="AS2405" t="str">
            <v/>
          </cell>
          <cell r="AT2405" t="str">
            <v>AC</v>
          </cell>
          <cell r="AU2405" t="str">
            <v>Airconditioner</v>
          </cell>
          <cell r="AV2405" t="str">
            <v>ACMT</v>
          </cell>
          <cell r="AW2405" t="str">
            <v>Multi</v>
          </cell>
          <cell r="AX2405" t="str">
            <v>ACMTOD</v>
          </cell>
          <cell r="AY2405" t="str">
            <v>Flexible Multi-O/D(Inv.)</v>
          </cell>
          <cell r="AZ2405" t="str">
            <v>ACMTODMF</v>
          </cell>
          <cell r="BA2405" t="str">
            <v>Flexible Multi_O/D_Multi F</v>
          </cell>
        </row>
        <row r="2406">
          <cell r="E2406" t="str">
            <v>Z3UQ24GFD0.EWGHASA</v>
          </cell>
          <cell r="F2406">
            <v>20</v>
          </cell>
          <cell r="G2406">
            <v>0</v>
          </cell>
          <cell r="H2406">
            <v>0</v>
          </cell>
          <cell r="I2406">
            <v>27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7</v>
          </cell>
          <cell r="AE2406">
            <v>0</v>
          </cell>
          <cell r="AF2406">
            <v>7</v>
          </cell>
          <cell r="AG2406" t="str">
            <v/>
          </cell>
          <cell r="AH2406" t="str">
            <v/>
          </cell>
          <cell r="AI2406" t="str">
            <v/>
          </cell>
          <cell r="AJ2406" t="str">
            <v/>
          </cell>
          <cell r="AK2406" t="str">
            <v>0.209892</v>
          </cell>
          <cell r="AL2406" t="str">
            <v>0</v>
          </cell>
          <cell r="AM2406" t="str">
            <v>Q</v>
          </cell>
          <cell r="AN2406" t="str">
            <v>M0</v>
          </cell>
          <cell r="AO2406" t="str">
            <v>Active(Model)</v>
          </cell>
          <cell r="AP2406" t="str">
            <v/>
          </cell>
          <cell r="AQ2406" t="str">
            <v/>
          </cell>
          <cell r="AR2406" t="str">
            <v>Y</v>
          </cell>
          <cell r="AS2406" t="str">
            <v/>
          </cell>
          <cell r="AT2406" t="str">
            <v>AC</v>
          </cell>
          <cell r="AU2406" t="str">
            <v>Airconditioner</v>
          </cell>
          <cell r="AV2406" t="str">
            <v>ACMT</v>
          </cell>
          <cell r="AW2406" t="str">
            <v>Multi</v>
          </cell>
          <cell r="AX2406" t="str">
            <v>ACMTOD</v>
          </cell>
          <cell r="AY2406" t="str">
            <v>Flexible Multi-O/D(Inv.)</v>
          </cell>
          <cell r="AZ2406" t="str">
            <v>ACMTODMF</v>
          </cell>
          <cell r="BA2406" t="str">
            <v>Flexible Multi_O/D_Multi F</v>
          </cell>
        </row>
        <row r="2407">
          <cell r="E2407" t="str">
            <v>Z3UQ24GFD2.EWGHASA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 t="str">
            <v/>
          </cell>
          <cell r="AH2407" t="str">
            <v/>
          </cell>
          <cell r="AI2407" t="str">
            <v/>
          </cell>
          <cell r="AJ2407" t="str">
            <v/>
          </cell>
          <cell r="AK2407" t="str">
            <v>0.212597</v>
          </cell>
          <cell r="AL2407" t="str">
            <v>0</v>
          </cell>
          <cell r="AM2407" t="str">
            <v>Q</v>
          </cell>
          <cell r="AN2407" t="str">
            <v>M0</v>
          </cell>
          <cell r="AO2407" t="str">
            <v>Active(Model)</v>
          </cell>
          <cell r="AP2407" t="str">
            <v/>
          </cell>
          <cell r="AQ2407" t="str">
            <v/>
          </cell>
          <cell r="AR2407" t="str">
            <v>Y</v>
          </cell>
          <cell r="AS2407" t="str">
            <v/>
          </cell>
          <cell r="AT2407" t="str">
            <v>AC</v>
          </cell>
          <cell r="AU2407" t="str">
            <v>Airconditioner</v>
          </cell>
          <cell r="AV2407" t="str">
            <v>ACMT</v>
          </cell>
          <cell r="AW2407" t="str">
            <v>Multi</v>
          </cell>
          <cell r="AX2407" t="str">
            <v>ACMTOD</v>
          </cell>
          <cell r="AY2407" t="str">
            <v>Flexible Multi-O/D(Inv.)</v>
          </cell>
          <cell r="AZ2407" t="str">
            <v>ACMTODMF</v>
          </cell>
          <cell r="BA2407" t="str">
            <v>Flexible Multi_O/D_Multi F</v>
          </cell>
        </row>
        <row r="2408">
          <cell r="E2408" t="str">
            <v>Z3UQ30GFD0.EWGHASA</v>
          </cell>
          <cell r="F2408">
            <v>6</v>
          </cell>
          <cell r="G2408">
            <v>0</v>
          </cell>
          <cell r="H2408">
            <v>0</v>
          </cell>
          <cell r="I2408">
            <v>13</v>
          </cell>
          <cell r="J2408">
            <v>0</v>
          </cell>
          <cell r="K2408">
            <v>1</v>
          </cell>
          <cell r="L2408">
            <v>2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 t="str">
            <v/>
          </cell>
          <cell r="AH2408" t="str">
            <v/>
          </cell>
          <cell r="AI2408" t="str">
            <v/>
          </cell>
          <cell r="AJ2408" t="str">
            <v/>
          </cell>
          <cell r="AK2408" t="str">
            <v>0.343813</v>
          </cell>
          <cell r="AL2408" t="str">
            <v>0</v>
          </cell>
          <cell r="AM2408" t="str">
            <v>Q</v>
          </cell>
          <cell r="AN2408" t="str">
            <v>M0</v>
          </cell>
          <cell r="AO2408" t="str">
            <v>Active(Model)</v>
          </cell>
          <cell r="AP2408" t="str">
            <v/>
          </cell>
          <cell r="AQ2408" t="str">
            <v/>
          </cell>
          <cell r="AR2408" t="str">
            <v>Y</v>
          </cell>
          <cell r="AS2408" t="str">
            <v/>
          </cell>
          <cell r="AT2408" t="str">
            <v>AC</v>
          </cell>
          <cell r="AU2408" t="str">
            <v>Airconditioner</v>
          </cell>
          <cell r="AV2408" t="str">
            <v>ACMT</v>
          </cell>
          <cell r="AW2408" t="str">
            <v>Multi</v>
          </cell>
          <cell r="AX2408" t="str">
            <v>ACMTOD</v>
          </cell>
          <cell r="AY2408" t="str">
            <v>Flexible Multi-O/D(Inv.)</v>
          </cell>
          <cell r="AZ2408" t="str">
            <v>ACMTODMF</v>
          </cell>
          <cell r="BA2408" t="str">
            <v>Flexible Multi_O/D_Multi F</v>
          </cell>
        </row>
        <row r="2409">
          <cell r="E2409" t="str">
            <v>Z4UQ36GFD0.EWGHASA</v>
          </cell>
          <cell r="F2409">
            <v>1</v>
          </cell>
          <cell r="G2409">
            <v>0</v>
          </cell>
          <cell r="H2409">
            <v>0</v>
          </cell>
          <cell r="I2409">
            <v>1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 t="str">
            <v/>
          </cell>
          <cell r="AH2409" t="str">
            <v/>
          </cell>
          <cell r="AI2409" t="str">
            <v/>
          </cell>
          <cell r="AJ2409" t="str">
            <v/>
          </cell>
          <cell r="AK2409" t="str">
            <v>0.343813</v>
          </cell>
          <cell r="AL2409" t="str">
            <v>0</v>
          </cell>
          <cell r="AM2409" t="str">
            <v>Q</v>
          </cell>
          <cell r="AN2409" t="str">
            <v>M0</v>
          </cell>
          <cell r="AO2409" t="str">
            <v>Active(Model)</v>
          </cell>
          <cell r="AP2409" t="str">
            <v/>
          </cell>
          <cell r="AQ2409" t="str">
            <v/>
          </cell>
          <cell r="AR2409" t="str">
            <v>Y</v>
          </cell>
          <cell r="AS2409" t="str">
            <v/>
          </cell>
          <cell r="AT2409" t="str">
            <v>AC</v>
          </cell>
          <cell r="AU2409" t="str">
            <v>Airconditioner</v>
          </cell>
          <cell r="AV2409" t="str">
            <v>ACMT</v>
          </cell>
          <cell r="AW2409" t="str">
            <v>Multi</v>
          </cell>
          <cell r="AX2409" t="str">
            <v>ACMTOD</v>
          </cell>
          <cell r="AY2409" t="str">
            <v>Flexible Multi-O/D(Inv.)</v>
          </cell>
          <cell r="AZ2409" t="str">
            <v>ACMTODMF</v>
          </cell>
          <cell r="BA2409" t="str">
            <v>Flexible Multi_O/D_Multi F</v>
          </cell>
        </row>
        <row r="2410">
          <cell r="E2410" t="str">
            <v>Z5UQ48GFD0.EWGHASA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1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 t="str">
            <v/>
          </cell>
          <cell r="AH2410" t="str">
            <v/>
          </cell>
          <cell r="AI2410" t="str">
            <v/>
          </cell>
          <cell r="AJ2410" t="str">
            <v/>
          </cell>
          <cell r="AK2410" t="str">
            <v>0.482446</v>
          </cell>
          <cell r="AL2410" t="str">
            <v>0</v>
          </cell>
          <cell r="AM2410" t="str">
            <v>Q</v>
          </cell>
          <cell r="AN2410" t="str">
            <v>M0</v>
          </cell>
          <cell r="AO2410" t="str">
            <v>Active(Model)</v>
          </cell>
          <cell r="AP2410" t="str">
            <v/>
          </cell>
          <cell r="AQ2410" t="str">
            <v/>
          </cell>
          <cell r="AR2410" t="str">
            <v>Y</v>
          </cell>
          <cell r="AS2410" t="str">
            <v/>
          </cell>
          <cell r="AT2410" t="str">
            <v>AC</v>
          </cell>
          <cell r="AU2410" t="str">
            <v>Airconditioner</v>
          </cell>
          <cell r="AV2410" t="str">
            <v>ACMT</v>
          </cell>
          <cell r="AW2410" t="str">
            <v>Multi</v>
          </cell>
          <cell r="AX2410" t="str">
            <v>ACMTOD</v>
          </cell>
          <cell r="AY2410" t="str">
            <v>Flexible Multi-O/D(Inv.)</v>
          </cell>
          <cell r="AZ2410" t="str">
            <v>ACMTODMF</v>
          </cell>
          <cell r="BA2410" t="str">
            <v>Flexible Multi_O/D_Multi F</v>
          </cell>
        </row>
        <row r="2411">
          <cell r="E2411" t="str">
            <v>ZBNQ18GM1D1.ENCTEVH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 t="str">
            <v/>
          </cell>
          <cell r="AH2411" t="str">
            <v/>
          </cell>
          <cell r="AI2411" t="str">
            <v/>
          </cell>
          <cell r="AJ2411" t="str">
            <v/>
          </cell>
          <cell r="AK2411" t="str">
            <v>0.287401</v>
          </cell>
          <cell r="AL2411" t="str">
            <v>0</v>
          </cell>
          <cell r="AM2411" t="str">
            <v>Q</v>
          </cell>
          <cell r="AN2411" t="str">
            <v>M0</v>
          </cell>
          <cell r="AO2411" t="str">
            <v>Active(Model)</v>
          </cell>
          <cell r="AP2411" t="str">
            <v/>
          </cell>
          <cell r="AQ2411" t="str">
            <v/>
          </cell>
          <cell r="AR2411" t="str">
            <v>Y</v>
          </cell>
          <cell r="AS2411" t="str">
            <v/>
          </cell>
          <cell r="AT2411" t="str">
            <v>AC</v>
          </cell>
          <cell r="AU2411" t="str">
            <v>Airconditioner</v>
          </cell>
          <cell r="AV2411" t="str">
            <v>ACFS</v>
          </cell>
          <cell r="AW2411" t="str">
            <v>Fixed Single CAC</v>
          </cell>
          <cell r="AX2411" t="str">
            <v>ACFSCD</v>
          </cell>
          <cell r="AY2411" t="str">
            <v>Ceiling Concealed Duct</v>
          </cell>
          <cell r="AZ2411" t="str">
            <v>ACFSCDCO</v>
          </cell>
          <cell r="BA2411" t="str">
            <v>Duct_I/D_Inverter_C/O</v>
          </cell>
        </row>
        <row r="2412">
          <cell r="E2412" t="str">
            <v>ZBNQ24GM1D1.ENCTEVH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 t="str">
            <v/>
          </cell>
          <cell r="AH2412" t="str">
            <v/>
          </cell>
          <cell r="AI2412" t="str">
            <v/>
          </cell>
          <cell r="AJ2412" t="str">
            <v/>
          </cell>
          <cell r="AK2412" t="str">
            <v>0.287401</v>
          </cell>
          <cell r="AL2412" t="str">
            <v>0</v>
          </cell>
          <cell r="AM2412" t="str">
            <v>Q</v>
          </cell>
          <cell r="AN2412" t="str">
            <v>M0</v>
          </cell>
          <cell r="AO2412" t="str">
            <v>Active(Model)</v>
          </cell>
          <cell r="AP2412" t="str">
            <v/>
          </cell>
          <cell r="AQ2412" t="str">
            <v/>
          </cell>
          <cell r="AR2412" t="str">
            <v>Y</v>
          </cell>
          <cell r="AS2412" t="str">
            <v/>
          </cell>
          <cell r="AT2412" t="str">
            <v>AC</v>
          </cell>
          <cell r="AU2412" t="str">
            <v>Airconditioner</v>
          </cell>
          <cell r="AV2412" t="str">
            <v>ACFS</v>
          </cell>
          <cell r="AW2412" t="str">
            <v>Fixed Single CAC</v>
          </cell>
          <cell r="AX2412" t="str">
            <v>ACFSCD</v>
          </cell>
          <cell r="AY2412" t="str">
            <v>Ceiling Concealed Duct</v>
          </cell>
          <cell r="AZ2412" t="str">
            <v>ACFSCDCO</v>
          </cell>
          <cell r="BA2412" t="str">
            <v>Duct_I/D_Inverter_C/O</v>
          </cell>
        </row>
        <row r="2413">
          <cell r="E2413" t="str">
            <v>ZBNQ36GM3D1.ENCTEVH</v>
          </cell>
          <cell r="F2413">
            <v>1</v>
          </cell>
          <cell r="G2413">
            <v>0</v>
          </cell>
          <cell r="H2413">
            <v>0</v>
          </cell>
          <cell r="I2413">
            <v>3</v>
          </cell>
          <cell r="J2413">
            <v>0</v>
          </cell>
          <cell r="K2413">
            <v>0</v>
          </cell>
          <cell r="L2413">
            <v>0</v>
          </cell>
          <cell r="M2413">
            <v>2</v>
          </cell>
          <cell r="N2413">
            <v>0</v>
          </cell>
          <cell r="O2413">
            <v>1</v>
          </cell>
          <cell r="P2413">
            <v>2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 t="str">
            <v/>
          </cell>
          <cell r="AH2413" t="str">
            <v/>
          </cell>
          <cell r="AI2413" t="str">
            <v/>
          </cell>
          <cell r="AJ2413" t="str">
            <v/>
          </cell>
          <cell r="AK2413" t="str">
            <v>0.479724</v>
          </cell>
          <cell r="AL2413" t="str">
            <v>0</v>
          </cell>
          <cell r="AM2413" t="str">
            <v>Q</v>
          </cell>
          <cell r="AN2413" t="str">
            <v>M0</v>
          </cell>
          <cell r="AO2413" t="str">
            <v>Active(Model)</v>
          </cell>
          <cell r="AP2413" t="str">
            <v/>
          </cell>
          <cell r="AQ2413" t="str">
            <v/>
          </cell>
          <cell r="AR2413" t="str">
            <v>Y</v>
          </cell>
          <cell r="AS2413" t="str">
            <v/>
          </cell>
          <cell r="AT2413" t="str">
            <v>AC</v>
          </cell>
          <cell r="AU2413" t="str">
            <v>Airconditioner</v>
          </cell>
          <cell r="AV2413" t="str">
            <v>ACFS</v>
          </cell>
          <cell r="AW2413" t="str">
            <v>Fixed Single CAC</v>
          </cell>
          <cell r="AX2413" t="str">
            <v>ACFSCD</v>
          </cell>
          <cell r="AY2413" t="str">
            <v>Ceiling Concealed Duct</v>
          </cell>
          <cell r="AZ2413" t="str">
            <v>ACFSCDCO</v>
          </cell>
          <cell r="BA2413" t="str">
            <v>Duct_I/D_Inverter_C/O</v>
          </cell>
        </row>
        <row r="2414">
          <cell r="E2414" t="str">
            <v>ZBNQ48GM3D1.ENCTEVH</v>
          </cell>
          <cell r="F2414">
            <v>3</v>
          </cell>
          <cell r="G2414">
            <v>0</v>
          </cell>
          <cell r="H2414">
            <v>0</v>
          </cell>
          <cell r="I2414">
            <v>3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 t="str">
            <v/>
          </cell>
          <cell r="AH2414" t="str">
            <v/>
          </cell>
          <cell r="AI2414" t="str">
            <v/>
          </cell>
          <cell r="AJ2414" t="str">
            <v/>
          </cell>
          <cell r="AK2414" t="str">
            <v>0.479724</v>
          </cell>
          <cell r="AL2414" t="str">
            <v>0</v>
          </cell>
          <cell r="AM2414" t="str">
            <v>Q</v>
          </cell>
          <cell r="AN2414" t="str">
            <v>M0</v>
          </cell>
          <cell r="AO2414" t="str">
            <v>Active(Model)</v>
          </cell>
          <cell r="AP2414" t="str">
            <v/>
          </cell>
          <cell r="AQ2414" t="str">
            <v/>
          </cell>
          <cell r="AR2414" t="str">
            <v>Y</v>
          </cell>
          <cell r="AS2414" t="str">
            <v/>
          </cell>
          <cell r="AT2414" t="str">
            <v>AC</v>
          </cell>
          <cell r="AU2414" t="str">
            <v>Airconditioner</v>
          </cell>
          <cell r="AV2414" t="str">
            <v>ACFS</v>
          </cell>
          <cell r="AW2414" t="str">
            <v>Fixed Single CAC</v>
          </cell>
          <cell r="AX2414" t="str">
            <v>ACFSCD</v>
          </cell>
          <cell r="AY2414" t="str">
            <v>Ceiling Concealed Duct</v>
          </cell>
          <cell r="AZ2414" t="str">
            <v>ACFSCDCO</v>
          </cell>
          <cell r="BA2414" t="str">
            <v>Duct_I/D_Inverter_C/O</v>
          </cell>
        </row>
        <row r="2415">
          <cell r="E2415" t="str">
            <v>ZE050GUCCA0.ENWSLEU</v>
          </cell>
          <cell r="F2415">
            <v>23</v>
          </cell>
          <cell r="G2415">
            <v>0</v>
          </cell>
          <cell r="H2415">
            <v>0</v>
          </cell>
          <cell r="I2415">
            <v>25</v>
          </cell>
          <cell r="J2415">
            <v>0</v>
          </cell>
          <cell r="K2415">
            <v>0</v>
          </cell>
          <cell r="L2415">
            <v>2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 t="str">
            <v/>
          </cell>
          <cell r="AH2415" t="str">
            <v/>
          </cell>
          <cell r="AI2415" t="str">
            <v/>
          </cell>
          <cell r="AJ2415" t="str">
            <v/>
          </cell>
          <cell r="AK2415" t="str">
            <v>0.548960</v>
          </cell>
          <cell r="AL2415" t="str">
            <v>0</v>
          </cell>
          <cell r="AM2415" t="str">
            <v>Q</v>
          </cell>
          <cell r="AN2415" t="str">
            <v>M0</v>
          </cell>
          <cell r="AO2415" t="str">
            <v>Active(Model)</v>
          </cell>
          <cell r="AP2415" t="str">
            <v/>
          </cell>
          <cell r="AQ2415" t="str">
            <v/>
          </cell>
          <cell r="AR2415" t="str">
            <v>Y</v>
          </cell>
          <cell r="AS2415" t="str">
            <v/>
          </cell>
          <cell r="AT2415" t="str">
            <v>AC</v>
          </cell>
          <cell r="AU2415" t="str">
            <v>Airconditioner</v>
          </cell>
          <cell r="AV2415" t="str">
            <v>ACVT</v>
          </cell>
          <cell r="AW2415" t="str">
            <v>Ventilation</v>
          </cell>
          <cell r="AX2415" t="str">
            <v>ACVTVT</v>
          </cell>
          <cell r="AY2415" t="str">
            <v>Ventilation</v>
          </cell>
          <cell r="AZ2415" t="str">
            <v>ACVTVTZJ</v>
          </cell>
          <cell r="BA2415" t="str">
            <v>Ventilation</v>
          </cell>
        </row>
        <row r="2416">
          <cell r="E2416" t="str">
            <v>ZE080GUCDA0.ENWSLEU</v>
          </cell>
          <cell r="F2416">
            <v>12</v>
          </cell>
          <cell r="G2416">
            <v>0</v>
          </cell>
          <cell r="H2416">
            <v>0</v>
          </cell>
          <cell r="I2416">
            <v>13</v>
          </cell>
          <cell r="J2416">
            <v>0</v>
          </cell>
          <cell r="K2416">
            <v>0</v>
          </cell>
          <cell r="L2416">
            <v>1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 t="str">
            <v/>
          </cell>
          <cell r="AH2416" t="str">
            <v/>
          </cell>
          <cell r="AI2416" t="str">
            <v/>
          </cell>
          <cell r="AJ2416" t="str">
            <v/>
          </cell>
          <cell r="AK2416" t="str">
            <v>0.870382</v>
          </cell>
          <cell r="AL2416" t="str">
            <v>0</v>
          </cell>
          <cell r="AM2416" t="str">
            <v>Q</v>
          </cell>
          <cell r="AN2416" t="str">
            <v>M0</v>
          </cell>
          <cell r="AO2416" t="str">
            <v>Active(Model)</v>
          </cell>
          <cell r="AP2416" t="str">
            <v/>
          </cell>
          <cell r="AQ2416" t="str">
            <v/>
          </cell>
          <cell r="AR2416" t="str">
            <v>Y</v>
          </cell>
          <cell r="AS2416" t="str">
            <v/>
          </cell>
          <cell r="AT2416" t="str">
            <v>AC</v>
          </cell>
          <cell r="AU2416" t="str">
            <v>Airconditioner</v>
          </cell>
          <cell r="AV2416" t="str">
            <v>ACVT</v>
          </cell>
          <cell r="AW2416" t="str">
            <v>Ventilation</v>
          </cell>
          <cell r="AX2416" t="str">
            <v>ACVTVT</v>
          </cell>
          <cell r="AY2416" t="str">
            <v>Ventilation</v>
          </cell>
          <cell r="AZ2416" t="str">
            <v>ACVTVTZJ</v>
          </cell>
          <cell r="BA2416" t="str">
            <v>Ventilation</v>
          </cell>
        </row>
        <row r="2417">
          <cell r="E2417" t="str">
            <v>ZE100GUCDA0.ENWSLEU</v>
          </cell>
          <cell r="F2417">
            <v>3</v>
          </cell>
          <cell r="G2417">
            <v>0</v>
          </cell>
          <cell r="H2417">
            <v>0</v>
          </cell>
          <cell r="I2417">
            <v>3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 t="str">
            <v/>
          </cell>
          <cell r="AH2417" t="str">
            <v/>
          </cell>
          <cell r="AI2417" t="str">
            <v/>
          </cell>
          <cell r="AJ2417" t="str">
            <v/>
          </cell>
          <cell r="AK2417" t="str">
            <v>0.870382</v>
          </cell>
          <cell r="AL2417" t="str">
            <v>0</v>
          </cell>
          <cell r="AM2417" t="str">
            <v>Q</v>
          </cell>
          <cell r="AN2417" t="str">
            <v>M0</v>
          </cell>
          <cell r="AO2417" t="str">
            <v>Active(Model)</v>
          </cell>
          <cell r="AP2417" t="str">
            <v/>
          </cell>
          <cell r="AQ2417" t="str">
            <v/>
          </cell>
          <cell r="AR2417" t="str">
            <v>Y</v>
          </cell>
          <cell r="AS2417" t="str">
            <v/>
          </cell>
          <cell r="AT2417" t="str">
            <v>AC</v>
          </cell>
          <cell r="AU2417" t="str">
            <v>Airconditioner</v>
          </cell>
          <cell r="AV2417" t="str">
            <v>ACVT</v>
          </cell>
          <cell r="AW2417" t="str">
            <v>Ventilation</v>
          </cell>
          <cell r="AX2417" t="str">
            <v>ACVTVT</v>
          </cell>
          <cell r="AY2417" t="str">
            <v>Ventilation</v>
          </cell>
          <cell r="AZ2417" t="str">
            <v>ACVTVTZJ</v>
          </cell>
          <cell r="BA2417" t="str">
            <v>Ventilation</v>
          </cell>
        </row>
        <row r="2418">
          <cell r="E2418" t="str">
            <v>ZMNQ09GSJB1.ENWHASA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 t="str">
            <v/>
          </cell>
          <cell r="AH2418" t="str">
            <v/>
          </cell>
          <cell r="AI2418" t="str">
            <v/>
          </cell>
          <cell r="AJ2418" t="str">
            <v/>
          </cell>
          <cell r="AK2418" t="str">
            <v>0.084623</v>
          </cell>
          <cell r="AL2418" t="str">
            <v>0</v>
          </cell>
          <cell r="AM2418" t="str">
            <v>Q</v>
          </cell>
          <cell r="AN2418" t="str">
            <v>M0</v>
          </cell>
          <cell r="AO2418" t="str">
            <v>Active(Model)</v>
          </cell>
          <cell r="AP2418" t="str">
            <v/>
          </cell>
          <cell r="AQ2418" t="str">
            <v/>
          </cell>
          <cell r="AR2418" t="str">
            <v>Y</v>
          </cell>
          <cell r="AS2418" t="str">
            <v/>
          </cell>
          <cell r="AT2418" t="str">
            <v>AC</v>
          </cell>
          <cell r="AU2418" t="str">
            <v>Airconditioner</v>
          </cell>
          <cell r="AV2418" t="str">
            <v>ACMT</v>
          </cell>
          <cell r="AW2418" t="str">
            <v>Multi</v>
          </cell>
          <cell r="AX2418" t="str">
            <v>ACMTID</v>
          </cell>
          <cell r="AY2418" t="str">
            <v>Flexible Multi-I/D(Inv.&amp; MPS)</v>
          </cell>
          <cell r="AZ2418" t="str">
            <v>ACMTIDMS</v>
          </cell>
          <cell r="BA2418" t="str">
            <v>Flexible Multi_I/D_Wall Mounted</v>
          </cell>
        </row>
        <row r="2419">
          <cell r="E2419" t="str">
            <v>ZMNQ12GSJB1.ENWHASA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 t="str">
            <v/>
          </cell>
          <cell r="AH2419" t="str">
            <v/>
          </cell>
          <cell r="AI2419" t="str">
            <v/>
          </cell>
          <cell r="AJ2419" t="str">
            <v/>
          </cell>
          <cell r="AK2419" t="str">
            <v>0.084623</v>
          </cell>
          <cell r="AL2419" t="str">
            <v>0</v>
          </cell>
          <cell r="AM2419" t="str">
            <v>Q</v>
          </cell>
          <cell r="AN2419" t="str">
            <v>M0</v>
          </cell>
          <cell r="AO2419" t="str">
            <v>Active(Model)</v>
          </cell>
          <cell r="AP2419" t="str">
            <v/>
          </cell>
          <cell r="AQ2419" t="str">
            <v/>
          </cell>
          <cell r="AR2419" t="str">
            <v>Y</v>
          </cell>
          <cell r="AS2419" t="str">
            <v/>
          </cell>
          <cell r="AT2419" t="str">
            <v>AC</v>
          </cell>
          <cell r="AU2419" t="str">
            <v>Airconditioner</v>
          </cell>
          <cell r="AV2419" t="str">
            <v>ACMT</v>
          </cell>
          <cell r="AW2419" t="str">
            <v>Multi</v>
          </cell>
          <cell r="AX2419" t="str">
            <v>ACMTID</v>
          </cell>
          <cell r="AY2419" t="str">
            <v>Flexible Multi-I/D(Inv.&amp; MPS)</v>
          </cell>
          <cell r="AZ2419" t="str">
            <v>ACMTIDMS</v>
          </cell>
          <cell r="BA2419" t="str">
            <v>Flexible Multi_I/D_Wall Mounted</v>
          </cell>
        </row>
        <row r="2420">
          <cell r="E2420" t="str">
            <v>ZPNQ30GT3A1.EWGHEVH</v>
          </cell>
          <cell r="F2420">
            <v>16</v>
          </cell>
          <cell r="G2420">
            <v>0</v>
          </cell>
          <cell r="H2420">
            <v>0</v>
          </cell>
          <cell r="I2420">
            <v>20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 t="str">
            <v/>
          </cell>
          <cell r="AH2420" t="str">
            <v/>
          </cell>
          <cell r="AI2420" t="str">
            <v/>
          </cell>
          <cell r="AJ2420" t="str">
            <v/>
          </cell>
          <cell r="AK2420" t="str">
            <v>0.683702</v>
          </cell>
          <cell r="AL2420" t="str">
            <v>0</v>
          </cell>
          <cell r="AM2420" t="str">
            <v>Q</v>
          </cell>
          <cell r="AN2420" t="str">
            <v>M0</v>
          </cell>
          <cell r="AO2420" t="str">
            <v>Active(Model)</v>
          </cell>
          <cell r="AP2420" t="str">
            <v/>
          </cell>
          <cell r="AQ2420" t="str">
            <v/>
          </cell>
          <cell r="AR2420" t="str">
            <v>Y</v>
          </cell>
          <cell r="AS2420" t="str">
            <v/>
          </cell>
          <cell r="AT2420" t="str">
            <v>AC</v>
          </cell>
          <cell r="AU2420" t="str">
            <v>Airconditioner</v>
          </cell>
          <cell r="AV2420" t="str">
            <v>ACPC</v>
          </cell>
          <cell r="AW2420" t="str">
            <v>PAC</v>
          </cell>
          <cell r="AX2420" t="str">
            <v>ACPCDH</v>
          </cell>
          <cell r="AY2420" t="str">
            <v>PAC_Inverter Cooling</v>
          </cell>
          <cell r="AZ2420" t="str">
            <v>ACPCDHAA</v>
          </cell>
          <cell r="BA2420" t="str">
            <v>PAC_Inverter C/O_I/D</v>
          </cell>
        </row>
        <row r="2421">
          <cell r="E2421" t="str">
            <v>ZPNQ36GT3A1.EWGHEVH</v>
          </cell>
          <cell r="F2421">
            <v>0</v>
          </cell>
          <cell r="G2421">
            <v>0</v>
          </cell>
          <cell r="H2421">
            <v>0</v>
          </cell>
          <cell r="I2421">
            <v>12</v>
          </cell>
          <cell r="J2421">
            <v>0</v>
          </cell>
          <cell r="K2421">
            <v>0</v>
          </cell>
          <cell r="L2421">
            <v>0</v>
          </cell>
          <cell r="M2421">
            <v>10</v>
          </cell>
          <cell r="N2421">
            <v>0</v>
          </cell>
          <cell r="O2421">
            <v>0</v>
          </cell>
          <cell r="P2421">
            <v>10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 t="str">
            <v/>
          </cell>
          <cell r="AH2421" t="str">
            <v/>
          </cell>
          <cell r="AI2421" t="str">
            <v/>
          </cell>
          <cell r="AJ2421" t="str">
            <v/>
          </cell>
          <cell r="AK2421" t="str">
            <v>0.683702</v>
          </cell>
          <cell r="AL2421" t="str">
            <v>0</v>
          </cell>
          <cell r="AM2421" t="str">
            <v>Q</v>
          </cell>
          <cell r="AN2421" t="str">
            <v>M0</v>
          </cell>
          <cell r="AO2421" t="str">
            <v>Active(Model)</v>
          </cell>
          <cell r="AP2421" t="str">
            <v/>
          </cell>
          <cell r="AQ2421" t="str">
            <v/>
          </cell>
          <cell r="AR2421" t="str">
            <v>Y</v>
          </cell>
          <cell r="AS2421" t="str">
            <v/>
          </cell>
          <cell r="AT2421" t="str">
            <v>AC</v>
          </cell>
          <cell r="AU2421" t="str">
            <v>Airconditioner</v>
          </cell>
          <cell r="AV2421" t="str">
            <v>ACPC</v>
          </cell>
          <cell r="AW2421" t="str">
            <v>PAC</v>
          </cell>
          <cell r="AX2421" t="str">
            <v>ACPCDH</v>
          </cell>
          <cell r="AY2421" t="str">
            <v>PAC_Inverter Cooling</v>
          </cell>
          <cell r="AZ2421" t="str">
            <v>ACPCDHAA</v>
          </cell>
          <cell r="BA2421" t="str">
            <v>PAC_Inverter C/O_I/D</v>
          </cell>
        </row>
        <row r="2422">
          <cell r="E2422" t="str">
            <v>ZPNQ48GT3A1.EWGHEVH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26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 t="str">
            <v/>
          </cell>
          <cell r="AH2422" t="str">
            <v/>
          </cell>
          <cell r="AI2422" t="str">
            <v/>
          </cell>
          <cell r="AJ2422" t="str">
            <v/>
          </cell>
          <cell r="AK2422" t="str">
            <v>0.683702</v>
          </cell>
          <cell r="AL2422" t="str">
            <v>0</v>
          </cell>
          <cell r="AM2422" t="str">
            <v>Q</v>
          </cell>
          <cell r="AN2422" t="str">
            <v>M0</v>
          </cell>
          <cell r="AO2422" t="str">
            <v>Active(Model)</v>
          </cell>
          <cell r="AP2422" t="str">
            <v/>
          </cell>
          <cell r="AQ2422" t="str">
            <v/>
          </cell>
          <cell r="AR2422" t="str">
            <v>Y</v>
          </cell>
          <cell r="AS2422" t="str">
            <v/>
          </cell>
          <cell r="AT2422" t="str">
            <v>AC</v>
          </cell>
          <cell r="AU2422" t="str">
            <v>Airconditioner</v>
          </cell>
          <cell r="AV2422" t="str">
            <v>ACPC</v>
          </cell>
          <cell r="AW2422" t="str">
            <v>PAC</v>
          </cell>
          <cell r="AX2422" t="str">
            <v>ACPCDH</v>
          </cell>
          <cell r="AY2422" t="str">
            <v>PAC_Inverter Cooling</v>
          </cell>
          <cell r="AZ2422" t="str">
            <v>ACPCDHAA</v>
          </cell>
          <cell r="BA2422" t="str">
            <v>PAC_Inverter C/O_I/D</v>
          </cell>
        </row>
        <row r="2423">
          <cell r="E2423" t="str">
            <v>ZPNQ60GT3A1.EWGHEVH</v>
          </cell>
          <cell r="F2423">
            <v>0</v>
          </cell>
          <cell r="G2423">
            <v>0</v>
          </cell>
          <cell r="H2423">
            <v>0</v>
          </cell>
          <cell r="I2423">
            <v>6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6</v>
          </cell>
          <cell r="AE2423">
            <v>0</v>
          </cell>
          <cell r="AF2423">
            <v>6</v>
          </cell>
          <cell r="AG2423" t="str">
            <v/>
          </cell>
          <cell r="AH2423" t="str">
            <v/>
          </cell>
          <cell r="AI2423" t="str">
            <v/>
          </cell>
          <cell r="AJ2423" t="str">
            <v/>
          </cell>
          <cell r="AK2423" t="str">
            <v>0.683702</v>
          </cell>
          <cell r="AL2423" t="str">
            <v>0</v>
          </cell>
          <cell r="AM2423" t="str">
            <v>Q</v>
          </cell>
          <cell r="AN2423" t="str">
            <v>M0</v>
          </cell>
          <cell r="AO2423" t="str">
            <v>Active(Model)</v>
          </cell>
          <cell r="AP2423" t="str">
            <v/>
          </cell>
          <cell r="AQ2423" t="str">
            <v/>
          </cell>
          <cell r="AR2423" t="str">
            <v>Y</v>
          </cell>
          <cell r="AS2423" t="str">
            <v/>
          </cell>
          <cell r="AT2423" t="str">
            <v>AC</v>
          </cell>
          <cell r="AU2423" t="str">
            <v>Airconditioner</v>
          </cell>
          <cell r="AV2423" t="str">
            <v>ACPC</v>
          </cell>
          <cell r="AW2423" t="str">
            <v>PAC</v>
          </cell>
          <cell r="AX2423" t="str">
            <v>ACPCDH</v>
          </cell>
          <cell r="AY2423" t="str">
            <v>PAC_Inverter Cooling</v>
          </cell>
          <cell r="AZ2423" t="str">
            <v>ACPCDHAA</v>
          </cell>
          <cell r="BA2423" t="str">
            <v>PAC_Inverter C/O_I/D</v>
          </cell>
        </row>
        <row r="2424">
          <cell r="E2424" t="str">
            <v>ZTNQ09GULA1.ENWHEVH</v>
          </cell>
          <cell r="F2424">
            <v>47</v>
          </cell>
          <cell r="G2424">
            <v>0</v>
          </cell>
          <cell r="H2424">
            <v>0</v>
          </cell>
          <cell r="I2424">
            <v>51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 t="str">
            <v/>
          </cell>
          <cell r="AH2424" t="str">
            <v/>
          </cell>
          <cell r="AI2424" t="str">
            <v/>
          </cell>
          <cell r="AJ2424" t="str">
            <v/>
          </cell>
          <cell r="AK2424" t="str">
            <v>0.152523</v>
          </cell>
          <cell r="AL2424" t="str">
            <v>0</v>
          </cell>
          <cell r="AM2424" t="str">
            <v>Q</v>
          </cell>
          <cell r="AN2424" t="str">
            <v>M0</v>
          </cell>
          <cell r="AO2424" t="str">
            <v>Active(Model)</v>
          </cell>
          <cell r="AP2424" t="str">
            <v/>
          </cell>
          <cell r="AQ2424" t="str">
            <v/>
          </cell>
          <cell r="AR2424" t="str">
            <v>Y</v>
          </cell>
          <cell r="AS2424" t="str">
            <v/>
          </cell>
          <cell r="AT2424" t="str">
            <v>AC</v>
          </cell>
          <cell r="AU2424" t="str">
            <v>Airconditioner</v>
          </cell>
          <cell r="AV2424" t="str">
            <v>ACFS</v>
          </cell>
          <cell r="AW2424" t="str">
            <v>Fixed Single CAC</v>
          </cell>
          <cell r="AX2424" t="str">
            <v>ACFSCC</v>
          </cell>
          <cell r="AY2424" t="str">
            <v>Ceiling Cassette</v>
          </cell>
          <cell r="AZ2424" t="str">
            <v>ACFSCCCX</v>
          </cell>
          <cell r="BA2424" t="str">
            <v>Cassette_I/D_Inverter_C/O</v>
          </cell>
        </row>
        <row r="2425">
          <cell r="E2425" t="str">
            <v>ZTNQ12GULA1.ENWHEVH</v>
          </cell>
          <cell r="F2425">
            <v>0</v>
          </cell>
          <cell r="G2425">
            <v>0</v>
          </cell>
          <cell r="H2425">
            <v>0</v>
          </cell>
          <cell r="I2425">
            <v>11</v>
          </cell>
          <cell r="J2425">
            <v>0</v>
          </cell>
          <cell r="K2425">
            <v>0</v>
          </cell>
          <cell r="L2425">
            <v>11</v>
          </cell>
          <cell r="M2425">
            <v>0</v>
          </cell>
          <cell r="N2425">
            <v>0</v>
          </cell>
          <cell r="O2425">
            <v>6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 t="str">
            <v/>
          </cell>
          <cell r="AH2425" t="str">
            <v/>
          </cell>
          <cell r="AI2425" t="str">
            <v/>
          </cell>
          <cell r="AJ2425" t="str">
            <v/>
          </cell>
          <cell r="AK2425" t="str">
            <v>0.152523</v>
          </cell>
          <cell r="AL2425" t="str">
            <v>0</v>
          </cell>
          <cell r="AM2425" t="str">
            <v>Q</v>
          </cell>
          <cell r="AN2425" t="str">
            <v>M0</v>
          </cell>
          <cell r="AO2425" t="str">
            <v>Active(Model)</v>
          </cell>
          <cell r="AP2425" t="str">
            <v/>
          </cell>
          <cell r="AQ2425" t="str">
            <v/>
          </cell>
          <cell r="AR2425" t="str">
            <v>Y</v>
          </cell>
          <cell r="AS2425" t="str">
            <v/>
          </cell>
          <cell r="AT2425" t="str">
            <v>AC</v>
          </cell>
          <cell r="AU2425" t="str">
            <v>Airconditioner</v>
          </cell>
          <cell r="AV2425" t="str">
            <v>ACFS</v>
          </cell>
          <cell r="AW2425" t="str">
            <v>Fixed Single CAC</v>
          </cell>
          <cell r="AX2425" t="str">
            <v>ACFSCC</v>
          </cell>
          <cell r="AY2425" t="str">
            <v>Ceiling Cassette</v>
          </cell>
          <cell r="AZ2425" t="str">
            <v>ACFSCCCX</v>
          </cell>
          <cell r="BA2425" t="str">
            <v>Cassette_I/D_Inverter_C/O</v>
          </cell>
        </row>
        <row r="2426">
          <cell r="E2426" t="str">
            <v>ZTNQ18GPLA1.ENWHEVH</v>
          </cell>
          <cell r="F2426">
            <v>3</v>
          </cell>
          <cell r="G2426">
            <v>0</v>
          </cell>
          <cell r="H2426">
            <v>0</v>
          </cell>
          <cell r="I2426">
            <v>12</v>
          </cell>
          <cell r="J2426">
            <v>0</v>
          </cell>
          <cell r="K2426">
            <v>0</v>
          </cell>
          <cell r="L2426">
            <v>2</v>
          </cell>
          <cell r="M2426">
            <v>0</v>
          </cell>
          <cell r="N2426">
            <v>7</v>
          </cell>
          <cell r="O2426">
            <v>0</v>
          </cell>
          <cell r="P2426">
            <v>7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 t="str">
            <v/>
          </cell>
          <cell r="AH2426" t="str">
            <v/>
          </cell>
          <cell r="AI2426" t="str">
            <v/>
          </cell>
          <cell r="AJ2426" t="str">
            <v/>
          </cell>
          <cell r="AK2426" t="str">
            <v>0.233351</v>
          </cell>
          <cell r="AL2426" t="str">
            <v>0</v>
          </cell>
          <cell r="AM2426" t="str">
            <v>Q</v>
          </cell>
          <cell r="AN2426" t="str">
            <v>M0</v>
          </cell>
          <cell r="AO2426" t="str">
            <v>Active(Model)</v>
          </cell>
          <cell r="AP2426" t="str">
            <v/>
          </cell>
          <cell r="AQ2426" t="str">
            <v/>
          </cell>
          <cell r="AR2426" t="str">
            <v>Y</v>
          </cell>
          <cell r="AS2426" t="str">
            <v/>
          </cell>
          <cell r="AT2426" t="str">
            <v>AC</v>
          </cell>
          <cell r="AU2426" t="str">
            <v>Airconditioner</v>
          </cell>
          <cell r="AV2426" t="str">
            <v>ACFS</v>
          </cell>
          <cell r="AW2426" t="str">
            <v>Fixed Single CAC</v>
          </cell>
          <cell r="AX2426" t="str">
            <v>ACFSCC</v>
          </cell>
          <cell r="AY2426" t="str">
            <v>Ceiling Cassette</v>
          </cell>
          <cell r="AZ2426" t="str">
            <v>ACFSCCCX</v>
          </cell>
          <cell r="BA2426" t="str">
            <v>Cassette_I/D_Inverter_C/O</v>
          </cell>
        </row>
        <row r="2427">
          <cell r="E2427" t="str">
            <v>ZTNQ18GTLA1.ENWHEVH</v>
          </cell>
          <cell r="F2427">
            <v>0</v>
          </cell>
          <cell r="G2427">
            <v>0</v>
          </cell>
          <cell r="H2427">
            <v>0</v>
          </cell>
          <cell r="I2427">
            <v>3</v>
          </cell>
          <cell r="J2427">
            <v>0</v>
          </cell>
          <cell r="K2427">
            <v>9</v>
          </cell>
          <cell r="L2427">
            <v>3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 t="str">
            <v/>
          </cell>
          <cell r="AH2427" t="str">
            <v/>
          </cell>
          <cell r="AI2427" t="str">
            <v/>
          </cell>
          <cell r="AJ2427" t="str">
            <v/>
          </cell>
          <cell r="AK2427" t="str">
            <v>0.195907</v>
          </cell>
          <cell r="AL2427" t="str">
            <v>0</v>
          </cell>
          <cell r="AM2427" t="str">
            <v>Q</v>
          </cell>
          <cell r="AN2427" t="str">
            <v>M0</v>
          </cell>
          <cell r="AO2427" t="str">
            <v>Active(Model)</v>
          </cell>
          <cell r="AP2427" t="str">
            <v/>
          </cell>
          <cell r="AQ2427" t="str">
            <v/>
          </cell>
          <cell r="AR2427" t="str">
            <v>Y</v>
          </cell>
          <cell r="AS2427" t="str">
            <v/>
          </cell>
          <cell r="AT2427" t="str">
            <v>AC</v>
          </cell>
          <cell r="AU2427" t="str">
            <v>Airconditioner</v>
          </cell>
          <cell r="AV2427" t="str">
            <v>ACFS</v>
          </cell>
          <cell r="AW2427" t="str">
            <v>Fixed Single CAC</v>
          </cell>
          <cell r="AX2427" t="str">
            <v>ACFSCC</v>
          </cell>
          <cell r="AY2427" t="str">
            <v>Ceiling Cassette</v>
          </cell>
          <cell r="AZ2427" t="str">
            <v>ACFSCCCX</v>
          </cell>
          <cell r="BA2427" t="str">
            <v>Cassette_I/D_Inverter_C/O</v>
          </cell>
        </row>
        <row r="2428">
          <cell r="E2428" t="str">
            <v>ZTNQ24GNLA1.ENWHEVH</v>
          </cell>
          <cell r="F2428">
            <v>8</v>
          </cell>
          <cell r="G2428">
            <v>0</v>
          </cell>
          <cell r="H2428">
            <v>0</v>
          </cell>
          <cell r="I2428">
            <v>8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 t="str">
            <v/>
          </cell>
          <cell r="AH2428" t="str">
            <v/>
          </cell>
          <cell r="AI2428" t="str">
            <v/>
          </cell>
          <cell r="AJ2428" t="str">
            <v/>
          </cell>
          <cell r="AK2428" t="str">
            <v>0.268861</v>
          </cell>
          <cell r="AL2428" t="str">
            <v>0</v>
          </cell>
          <cell r="AM2428" t="str">
            <v>Q</v>
          </cell>
          <cell r="AN2428" t="str">
            <v>M0</v>
          </cell>
          <cell r="AO2428" t="str">
            <v>Active(Model)</v>
          </cell>
          <cell r="AP2428" t="str">
            <v/>
          </cell>
          <cell r="AQ2428" t="str">
            <v/>
          </cell>
          <cell r="AR2428" t="str">
            <v>Y</v>
          </cell>
          <cell r="AS2428" t="str">
            <v/>
          </cell>
          <cell r="AT2428" t="str">
            <v>AC</v>
          </cell>
          <cell r="AU2428" t="str">
            <v>Airconditioner</v>
          </cell>
          <cell r="AV2428" t="str">
            <v>ACFS</v>
          </cell>
          <cell r="AW2428" t="str">
            <v>Fixed Single CAC</v>
          </cell>
          <cell r="AX2428" t="str">
            <v>ACFSCC</v>
          </cell>
          <cell r="AY2428" t="str">
            <v>Ceiling Cassette</v>
          </cell>
          <cell r="AZ2428" t="str">
            <v>ACFSCCCX</v>
          </cell>
          <cell r="BA2428" t="str">
            <v>Cassette_I/D_Inverter_C/O</v>
          </cell>
        </row>
        <row r="2429">
          <cell r="E2429" t="str">
            <v>ZTNQ24GPLA0.ENWHASA</v>
          </cell>
          <cell r="F2429">
            <v>1</v>
          </cell>
          <cell r="G2429">
            <v>0</v>
          </cell>
          <cell r="H2429">
            <v>0</v>
          </cell>
          <cell r="I2429">
            <v>1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 t="str">
            <v/>
          </cell>
          <cell r="AH2429" t="str">
            <v/>
          </cell>
          <cell r="AI2429" t="str">
            <v/>
          </cell>
          <cell r="AJ2429" t="str">
            <v/>
          </cell>
          <cell r="AK2429" t="str">
            <v>0.233351</v>
          </cell>
          <cell r="AL2429" t="str">
            <v>0</v>
          </cell>
          <cell r="AM2429" t="str">
            <v>Q</v>
          </cell>
          <cell r="AN2429" t="str">
            <v>M0</v>
          </cell>
          <cell r="AO2429" t="str">
            <v>Active(Model)</v>
          </cell>
          <cell r="AP2429" t="str">
            <v/>
          </cell>
          <cell r="AQ2429" t="str">
            <v/>
          </cell>
          <cell r="AR2429" t="str">
            <v>Y</v>
          </cell>
          <cell r="AS2429" t="str">
            <v/>
          </cell>
          <cell r="AT2429" t="str">
            <v>AC</v>
          </cell>
          <cell r="AU2429" t="str">
            <v>Airconditioner</v>
          </cell>
          <cell r="AV2429" t="str">
            <v>ACFS</v>
          </cell>
          <cell r="AW2429" t="str">
            <v>Fixed Single CAC</v>
          </cell>
          <cell r="AX2429" t="str">
            <v>ACFSCC</v>
          </cell>
          <cell r="AY2429" t="str">
            <v>Ceiling Cassette</v>
          </cell>
          <cell r="AZ2429" t="str">
            <v>ACFSCCCX</v>
          </cell>
          <cell r="BA2429" t="str">
            <v>Cassette_I/D_Inverter_C/O</v>
          </cell>
        </row>
        <row r="2430">
          <cell r="E2430" t="str">
            <v>ZTNQ24GPLA1.ENWHEVH</v>
          </cell>
          <cell r="F2430">
            <v>6</v>
          </cell>
          <cell r="G2430">
            <v>0</v>
          </cell>
          <cell r="H2430">
            <v>0</v>
          </cell>
          <cell r="I2430">
            <v>33</v>
          </cell>
          <cell r="J2430">
            <v>0</v>
          </cell>
          <cell r="K2430">
            <v>8</v>
          </cell>
          <cell r="L2430">
            <v>0</v>
          </cell>
          <cell r="M2430">
            <v>0</v>
          </cell>
          <cell r="N2430">
            <v>27</v>
          </cell>
          <cell r="O2430">
            <v>6</v>
          </cell>
          <cell r="P2430">
            <v>27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 t="str">
            <v/>
          </cell>
          <cell r="AH2430" t="str">
            <v/>
          </cell>
          <cell r="AI2430" t="str">
            <v/>
          </cell>
          <cell r="AJ2430" t="str">
            <v/>
          </cell>
          <cell r="AK2430" t="str">
            <v>0.233351</v>
          </cell>
          <cell r="AL2430" t="str">
            <v>0</v>
          </cell>
          <cell r="AM2430" t="str">
            <v>Q</v>
          </cell>
          <cell r="AN2430" t="str">
            <v>M0</v>
          </cell>
          <cell r="AO2430" t="str">
            <v>Active(Model)</v>
          </cell>
          <cell r="AP2430" t="str">
            <v/>
          </cell>
          <cell r="AQ2430" t="str">
            <v/>
          </cell>
          <cell r="AR2430" t="str">
            <v>Y</v>
          </cell>
          <cell r="AS2430" t="str">
            <v/>
          </cell>
          <cell r="AT2430" t="str">
            <v>AC</v>
          </cell>
          <cell r="AU2430" t="str">
            <v>Airconditioner</v>
          </cell>
          <cell r="AV2430" t="str">
            <v>ACFS</v>
          </cell>
          <cell r="AW2430" t="str">
            <v>Fixed Single CAC</v>
          </cell>
          <cell r="AX2430" t="str">
            <v>ACFSCC</v>
          </cell>
          <cell r="AY2430" t="str">
            <v>Ceiling Cassette</v>
          </cell>
          <cell r="AZ2430" t="str">
            <v>ACFSCCCX</v>
          </cell>
          <cell r="BA2430" t="str">
            <v>Cassette_I/D_Inverter_C/O</v>
          </cell>
        </row>
        <row r="2431">
          <cell r="E2431" t="str">
            <v>ZTNQ24GTLA0.ENWHASA</v>
          </cell>
          <cell r="F2431">
            <v>1</v>
          </cell>
          <cell r="G2431">
            <v>0</v>
          </cell>
          <cell r="H2431">
            <v>0</v>
          </cell>
          <cell r="I2431">
            <v>1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 t="str">
            <v/>
          </cell>
          <cell r="AH2431" t="str">
            <v/>
          </cell>
          <cell r="AI2431" t="str">
            <v/>
          </cell>
          <cell r="AJ2431" t="str">
            <v/>
          </cell>
          <cell r="AK2431" t="str">
            <v>0.195907</v>
          </cell>
          <cell r="AL2431" t="str">
            <v>0</v>
          </cell>
          <cell r="AM2431" t="str">
            <v>Q</v>
          </cell>
          <cell r="AN2431" t="str">
            <v>M0</v>
          </cell>
          <cell r="AO2431" t="str">
            <v>Active(Model)</v>
          </cell>
          <cell r="AP2431" t="str">
            <v/>
          </cell>
          <cell r="AQ2431" t="str">
            <v/>
          </cell>
          <cell r="AR2431" t="str">
            <v>Y</v>
          </cell>
          <cell r="AS2431" t="str">
            <v/>
          </cell>
          <cell r="AT2431" t="str">
            <v>AC</v>
          </cell>
          <cell r="AU2431" t="str">
            <v>Airconditioner</v>
          </cell>
          <cell r="AV2431" t="str">
            <v>ACFS</v>
          </cell>
          <cell r="AW2431" t="str">
            <v>Fixed Single CAC</v>
          </cell>
          <cell r="AX2431" t="str">
            <v>ACFSCC</v>
          </cell>
          <cell r="AY2431" t="str">
            <v>Ceiling Cassette</v>
          </cell>
          <cell r="AZ2431" t="str">
            <v>ACFSCCCX</v>
          </cell>
          <cell r="BA2431" t="str">
            <v>Cassette_I/D_Inverter_C/O</v>
          </cell>
        </row>
        <row r="2432">
          <cell r="E2432" t="str">
            <v>ZTNQ24GTLA1.ENWHEVH</v>
          </cell>
          <cell r="F2432">
            <v>0</v>
          </cell>
          <cell r="G2432">
            <v>0</v>
          </cell>
          <cell r="H2432">
            <v>0</v>
          </cell>
          <cell r="I2432">
            <v>1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 t="str">
            <v/>
          </cell>
          <cell r="AH2432" t="str">
            <v/>
          </cell>
          <cell r="AI2432" t="str">
            <v/>
          </cell>
          <cell r="AJ2432" t="str">
            <v/>
          </cell>
          <cell r="AK2432" t="str">
            <v>0.195907</v>
          </cell>
          <cell r="AL2432" t="str">
            <v>0</v>
          </cell>
          <cell r="AM2432" t="str">
            <v>Q</v>
          </cell>
          <cell r="AN2432" t="str">
            <v>M0</v>
          </cell>
          <cell r="AO2432" t="str">
            <v>Active(Model)</v>
          </cell>
          <cell r="AP2432" t="str">
            <v/>
          </cell>
          <cell r="AQ2432" t="str">
            <v/>
          </cell>
          <cell r="AR2432" t="str">
            <v>Y</v>
          </cell>
          <cell r="AS2432" t="str">
            <v/>
          </cell>
          <cell r="AT2432" t="str">
            <v>AC</v>
          </cell>
          <cell r="AU2432" t="str">
            <v>Airconditioner</v>
          </cell>
          <cell r="AV2432" t="str">
            <v>ACFS</v>
          </cell>
          <cell r="AW2432" t="str">
            <v>Fixed Single CAC</v>
          </cell>
          <cell r="AX2432" t="str">
            <v>ACFSCC</v>
          </cell>
          <cell r="AY2432" t="str">
            <v>Ceiling Cassette</v>
          </cell>
          <cell r="AZ2432" t="str">
            <v>ACFSCCCX</v>
          </cell>
          <cell r="BA2432" t="str">
            <v>Cassette_I/D_Inverter_C/O</v>
          </cell>
        </row>
        <row r="2433">
          <cell r="E2433" t="str">
            <v>ZTNQ30GNLA1.ENWHEVH</v>
          </cell>
          <cell r="F2433">
            <v>58</v>
          </cell>
          <cell r="G2433">
            <v>0</v>
          </cell>
          <cell r="H2433">
            <v>0</v>
          </cell>
          <cell r="I2433">
            <v>64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4</v>
          </cell>
          <cell r="O2433">
            <v>0</v>
          </cell>
          <cell r="P2433">
            <v>4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 t="str">
            <v/>
          </cell>
          <cell r="AH2433" t="str">
            <v/>
          </cell>
          <cell r="AI2433" t="str">
            <v/>
          </cell>
          <cell r="AJ2433" t="str">
            <v/>
          </cell>
          <cell r="AK2433" t="str">
            <v>0.268861</v>
          </cell>
          <cell r="AL2433" t="str">
            <v>0</v>
          </cell>
          <cell r="AM2433" t="str">
            <v>Q</v>
          </cell>
          <cell r="AN2433" t="str">
            <v>M0</v>
          </cell>
          <cell r="AO2433" t="str">
            <v>Active(Model)</v>
          </cell>
          <cell r="AP2433" t="str">
            <v/>
          </cell>
          <cell r="AQ2433" t="str">
            <v/>
          </cell>
          <cell r="AR2433" t="str">
            <v>Y</v>
          </cell>
          <cell r="AS2433" t="str">
            <v/>
          </cell>
          <cell r="AT2433" t="str">
            <v>AC</v>
          </cell>
          <cell r="AU2433" t="str">
            <v>Airconditioner</v>
          </cell>
          <cell r="AV2433" t="str">
            <v>ACFS</v>
          </cell>
          <cell r="AW2433" t="str">
            <v>Fixed Single CAC</v>
          </cell>
          <cell r="AX2433" t="str">
            <v>ACFSCC</v>
          </cell>
          <cell r="AY2433" t="str">
            <v>Ceiling Cassette</v>
          </cell>
          <cell r="AZ2433" t="str">
            <v>ACFSCCCX</v>
          </cell>
          <cell r="BA2433" t="str">
            <v>Cassette_I/D_Inverter_C/O</v>
          </cell>
        </row>
        <row r="2434">
          <cell r="E2434" t="str">
            <v>ZTNQ30GNLE0.ENWHASA</v>
          </cell>
          <cell r="F2434">
            <v>5</v>
          </cell>
          <cell r="G2434">
            <v>0</v>
          </cell>
          <cell r="H2434">
            <v>0</v>
          </cell>
          <cell r="I2434">
            <v>5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 t="str">
            <v/>
          </cell>
          <cell r="AH2434" t="str">
            <v/>
          </cell>
          <cell r="AI2434" t="str">
            <v/>
          </cell>
          <cell r="AJ2434" t="str">
            <v/>
          </cell>
          <cell r="AK2434" t="str">
            <v>0.268861</v>
          </cell>
          <cell r="AL2434" t="str">
            <v>0</v>
          </cell>
          <cell r="AM2434" t="str">
            <v>Q</v>
          </cell>
          <cell r="AN2434" t="str">
            <v>M0</v>
          </cell>
          <cell r="AO2434" t="str">
            <v>Active(Model)</v>
          </cell>
          <cell r="AP2434" t="str">
            <v/>
          </cell>
          <cell r="AQ2434" t="str">
            <v/>
          </cell>
          <cell r="AR2434" t="str">
            <v>Y</v>
          </cell>
          <cell r="AS2434" t="str">
            <v/>
          </cell>
          <cell r="AT2434" t="str">
            <v>AC</v>
          </cell>
          <cell r="AU2434" t="str">
            <v>Airconditioner</v>
          </cell>
          <cell r="AV2434" t="str">
            <v>ACFS</v>
          </cell>
          <cell r="AW2434" t="str">
            <v>Fixed Single CAC</v>
          </cell>
          <cell r="AX2434" t="str">
            <v>ACFSCC</v>
          </cell>
          <cell r="AY2434" t="str">
            <v>Ceiling Cassette</v>
          </cell>
          <cell r="AZ2434" t="str">
            <v>ACFSCCCX</v>
          </cell>
          <cell r="BA2434" t="str">
            <v>Cassette_I/D_Inverter_C/O</v>
          </cell>
        </row>
        <row r="2435">
          <cell r="E2435" t="str">
            <v>ZTNQ36GNLA1.ENWHEVH</v>
          </cell>
          <cell r="F2435">
            <v>12</v>
          </cell>
          <cell r="G2435">
            <v>0</v>
          </cell>
          <cell r="H2435">
            <v>0</v>
          </cell>
          <cell r="I2435">
            <v>31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2</v>
          </cell>
          <cell r="O2435">
            <v>10</v>
          </cell>
          <cell r="P2435">
            <v>2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 t="str">
            <v/>
          </cell>
          <cell r="AH2435" t="str">
            <v/>
          </cell>
          <cell r="AI2435" t="str">
            <v/>
          </cell>
          <cell r="AJ2435" t="str">
            <v/>
          </cell>
          <cell r="AK2435" t="str">
            <v>0.268861</v>
          </cell>
          <cell r="AL2435" t="str">
            <v>0</v>
          </cell>
          <cell r="AM2435" t="str">
            <v>Q</v>
          </cell>
          <cell r="AN2435" t="str">
            <v>M0</v>
          </cell>
          <cell r="AO2435" t="str">
            <v>Active(Model)</v>
          </cell>
          <cell r="AP2435" t="str">
            <v/>
          </cell>
          <cell r="AQ2435" t="str">
            <v/>
          </cell>
          <cell r="AR2435" t="str">
            <v>Y</v>
          </cell>
          <cell r="AS2435" t="str">
            <v/>
          </cell>
          <cell r="AT2435" t="str">
            <v>AC</v>
          </cell>
          <cell r="AU2435" t="str">
            <v>Airconditioner</v>
          </cell>
          <cell r="AV2435" t="str">
            <v>ACFS</v>
          </cell>
          <cell r="AW2435" t="str">
            <v>Fixed Single CAC</v>
          </cell>
          <cell r="AX2435" t="str">
            <v>ACFSCC</v>
          </cell>
          <cell r="AY2435" t="str">
            <v>Ceiling Cassette</v>
          </cell>
          <cell r="AZ2435" t="str">
            <v>ACFSCCCX</v>
          </cell>
          <cell r="BA2435" t="str">
            <v>Cassette_I/D_Inverter_C/O</v>
          </cell>
        </row>
        <row r="2436">
          <cell r="E2436" t="str">
            <v>ZTNQ36GYLA1.ENWBEVH</v>
          </cell>
          <cell r="F2436">
            <v>2</v>
          </cell>
          <cell r="G2436">
            <v>0</v>
          </cell>
          <cell r="H2436">
            <v>0</v>
          </cell>
          <cell r="I2436">
            <v>2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 t="str">
            <v/>
          </cell>
          <cell r="AH2436" t="str">
            <v/>
          </cell>
          <cell r="AI2436" t="str">
            <v/>
          </cell>
          <cell r="AJ2436" t="str">
            <v/>
          </cell>
          <cell r="AK2436" t="str">
            <v>0.508398</v>
          </cell>
          <cell r="AL2436" t="str">
            <v>0</v>
          </cell>
          <cell r="AM2436" t="str">
            <v>Q</v>
          </cell>
          <cell r="AN2436" t="str">
            <v>M0</v>
          </cell>
          <cell r="AO2436" t="str">
            <v>Active(Model)</v>
          </cell>
          <cell r="AP2436" t="str">
            <v/>
          </cell>
          <cell r="AQ2436" t="str">
            <v/>
          </cell>
          <cell r="AR2436" t="str">
            <v>Y</v>
          </cell>
          <cell r="AS2436" t="str">
            <v/>
          </cell>
          <cell r="AT2436" t="str">
            <v>AC</v>
          </cell>
          <cell r="AU2436" t="str">
            <v>Airconditioner</v>
          </cell>
          <cell r="AV2436" t="str">
            <v>ACFS</v>
          </cell>
          <cell r="AW2436" t="str">
            <v>Fixed Single CAC</v>
          </cell>
          <cell r="AX2436" t="str">
            <v>ACFSCC</v>
          </cell>
          <cell r="AY2436" t="str">
            <v>Ceiling Cassette</v>
          </cell>
          <cell r="AZ2436" t="str">
            <v>ACFSCCCX</v>
          </cell>
          <cell r="BA2436" t="str">
            <v>Cassette_I/D_Inverter_C/O</v>
          </cell>
        </row>
        <row r="2437">
          <cell r="E2437" t="str">
            <v>ZTNQ36LNLA0.ENWHEVH</v>
          </cell>
          <cell r="F2437">
            <v>10</v>
          </cell>
          <cell r="G2437">
            <v>0</v>
          </cell>
          <cell r="H2437">
            <v>0</v>
          </cell>
          <cell r="I2437">
            <v>10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 t="str">
            <v/>
          </cell>
          <cell r="AH2437" t="str">
            <v/>
          </cell>
          <cell r="AI2437" t="str">
            <v/>
          </cell>
          <cell r="AJ2437" t="str">
            <v/>
          </cell>
          <cell r="AK2437" t="str">
            <v>0.268861</v>
          </cell>
          <cell r="AL2437" t="str">
            <v>0</v>
          </cell>
          <cell r="AM2437" t="str">
            <v>Q</v>
          </cell>
          <cell r="AN2437" t="str">
            <v>M0</v>
          </cell>
          <cell r="AO2437" t="str">
            <v>Active(Model)</v>
          </cell>
          <cell r="AP2437" t="str">
            <v/>
          </cell>
          <cell r="AQ2437" t="str">
            <v/>
          </cell>
          <cell r="AR2437" t="str">
            <v>Y</v>
          </cell>
          <cell r="AS2437" t="str">
            <v/>
          </cell>
          <cell r="AT2437" t="str">
            <v>AC</v>
          </cell>
          <cell r="AU2437" t="str">
            <v>Airconditioner</v>
          </cell>
          <cell r="AV2437" t="str">
            <v>ACFS</v>
          </cell>
          <cell r="AW2437" t="str">
            <v>Fixed Single CAC</v>
          </cell>
          <cell r="AX2437" t="str">
            <v>ACFSCC</v>
          </cell>
          <cell r="AY2437" t="str">
            <v>Ceiling Cassette</v>
          </cell>
          <cell r="AZ2437" t="str">
            <v>ACFSCCCX</v>
          </cell>
          <cell r="BA2437" t="str">
            <v>Cassette_I/D_Inverter_C/O</v>
          </cell>
        </row>
        <row r="2438">
          <cell r="E2438" t="str">
            <v>ZTNQ48GMLA1.ENWHEVH</v>
          </cell>
          <cell r="F2438">
            <v>82</v>
          </cell>
          <cell r="G2438">
            <v>0</v>
          </cell>
          <cell r="H2438">
            <v>0</v>
          </cell>
          <cell r="I2438">
            <v>110</v>
          </cell>
          <cell r="J2438">
            <v>0</v>
          </cell>
          <cell r="K2438">
            <v>0</v>
          </cell>
          <cell r="L2438">
            <v>1</v>
          </cell>
          <cell r="M2438">
            <v>0</v>
          </cell>
          <cell r="N2438">
            <v>0</v>
          </cell>
          <cell r="O2438">
            <v>12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12</v>
          </cell>
          <cell r="AE2438">
            <v>0</v>
          </cell>
          <cell r="AF2438">
            <v>12</v>
          </cell>
          <cell r="AG2438" t="str">
            <v/>
          </cell>
          <cell r="AH2438" t="str">
            <v/>
          </cell>
          <cell r="AI2438" t="str">
            <v/>
          </cell>
          <cell r="AJ2438" t="str">
            <v/>
          </cell>
          <cell r="AK2438" t="str">
            <v>0.304371</v>
          </cell>
          <cell r="AL2438" t="str">
            <v>0</v>
          </cell>
          <cell r="AM2438" t="str">
            <v>Q</v>
          </cell>
          <cell r="AN2438" t="str">
            <v>M0</v>
          </cell>
          <cell r="AO2438" t="str">
            <v>Active(Model)</v>
          </cell>
          <cell r="AP2438" t="str">
            <v/>
          </cell>
          <cell r="AQ2438" t="str">
            <v/>
          </cell>
          <cell r="AR2438" t="str">
            <v>Y</v>
          </cell>
          <cell r="AS2438" t="str">
            <v/>
          </cell>
          <cell r="AT2438" t="str">
            <v>AC</v>
          </cell>
          <cell r="AU2438" t="str">
            <v>Airconditioner</v>
          </cell>
          <cell r="AV2438" t="str">
            <v>ACFS</v>
          </cell>
          <cell r="AW2438" t="str">
            <v>Fixed Single CAC</v>
          </cell>
          <cell r="AX2438" t="str">
            <v>ACFSCC</v>
          </cell>
          <cell r="AY2438" t="str">
            <v>Ceiling Cassette</v>
          </cell>
          <cell r="AZ2438" t="str">
            <v>ACFSCCCX</v>
          </cell>
          <cell r="BA2438" t="str">
            <v>Cassette_I/D_Inverter_C/O</v>
          </cell>
        </row>
        <row r="2439">
          <cell r="E2439" t="str">
            <v>ZTNQ60GMLA1.ENWHEVH</v>
          </cell>
          <cell r="F2439">
            <v>33</v>
          </cell>
          <cell r="G2439">
            <v>0</v>
          </cell>
          <cell r="H2439">
            <v>0</v>
          </cell>
          <cell r="I2439">
            <v>35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 t="str">
            <v/>
          </cell>
          <cell r="AH2439" t="str">
            <v/>
          </cell>
          <cell r="AI2439" t="str">
            <v/>
          </cell>
          <cell r="AJ2439" t="str">
            <v/>
          </cell>
          <cell r="AK2439" t="str">
            <v>0.304371</v>
          </cell>
          <cell r="AL2439" t="str">
            <v>0</v>
          </cell>
          <cell r="AM2439" t="str">
            <v>Q</v>
          </cell>
          <cell r="AN2439" t="str">
            <v>M0</v>
          </cell>
          <cell r="AO2439" t="str">
            <v>Active(Model)</v>
          </cell>
          <cell r="AP2439" t="str">
            <v/>
          </cell>
          <cell r="AQ2439" t="str">
            <v/>
          </cell>
          <cell r="AR2439" t="str">
            <v>Y</v>
          </cell>
          <cell r="AS2439" t="str">
            <v/>
          </cell>
          <cell r="AT2439" t="str">
            <v>AC</v>
          </cell>
          <cell r="AU2439" t="str">
            <v>Airconditioner</v>
          </cell>
          <cell r="AV2439" t="str">
            <v>ACFS</v>
          </cell>
          <cell r="AW2439" t="str">
            <v>Fixed Single CAC</v>
          </cell>
          <cell r="AX2439" t="str">
            <v>ACFSCC</v>
          </cell>
          <cell r="AY2439" t="str">
            <v>Ceiling Cassette</v>
          </cell>
          <cell r="AZ2439" t="str">
            <v>ACFSCCCX</v>
          </cell>
          <cell r="BA2439" t="str">
            <v>Cassette_I/D_Inverter_C/O</v>
          </cell>
        </row>
        <row r="2440">
          <cell r="E2440" t="str">
            <v>ZUAA1.EWGHASA</v>
          </cell>
          <cell r="F2440">
            <v>17</v>
          </cell>
          <cell r="G2440">
            <v>0</v>
          </cell>
          <cell r="H2440">
            <v>0</v>
          </cell>
          <cell r="I2440">
            <v>17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 t="str">
            <v/>
          </cell>
          <cell r="AH2440" t="str">
            <v/>
          </cell>
          <cell r="AI2440" t="str">
            <v/>
          </cell>
          <cell r="AJ2440" t="str">
            <v/>
          </cell>
          <cell r="AK2440" t="str">
            <v>0.143696</v>
          </cell>
          <cell r="AL2440" t="str">
            <v>0</v>
          </cell>
          <cell r="AM2440" t="str">
            <v>Q</v>
          </cell>
          <cell r="AN2440" t="str">
            <v>M0</v>
          </cell>
          <cell r="AO2440" t="str">
            <v>Active(Model)</v>
          </cell>
          <cell r="AP2440" t="str">
            <v/>
          </cell>
          <cell r="AQ2440" t="str">
            <v/>
          </cell>
          <cell r="AR2440" t="str">
            <v>Y</v>
          </cell>
          <cell r="AS2440" t="str">
            <v/>
          </cell>
          <cell r="AT2440" t="str">
            <v>AC</v>
          </cell>
          <cell r="AU2440" t="str">
            <v>Airconditioner</v>
          </cell>
          <cell r="AV2440" t="str">
            <v>ACFS</v>
          </cell>
          <cell r="AW2440" t="str">
            <v>Fixed Single CAC</v>
          </cell>
          <cell r="AX2440" t="str">
            <v>ACFSCU</v>
          </cell>
          <cell r="AY2440" t="str">
            <v>Universal_O/D</v>
          </cell>
          <cell r="AZ2440" t="str">
            <v>ACFSCUCO</v>
          </cell>
          <cell r="BA2440" t="str">
            <v>Universal O/D_Inverter_C/O</v>
          </cell>
        </row>
        <row r="2441">
          <cell r="E2441" t="str">
            <v>ZUAB1.EWGHASA</v>
          </cell>
          <cell r="F2441">
            <v>5</v>
          </cell>
          <cell r="G2441">
            <v>0</v>
          </cell>
          <cell r="H2441">
            <v>0</v>
          </cell>
          <cell r="I2441">
            <v>5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 t="str">
            <v/>
          </cell>
          <cell r="AH2441" t="str">
            <v/>
          </cell>
          <cell r="AI2441" t="str">
            <v/>
          </cell>
          <cell r="AJ2441" t="str">
            <v/>
          </cell>
          <cell r="AK2441" t="str">
            <v>0.208822</v>
          </cell>
          <cell r="AL2441" t="str">
            <v>0</v>
          </cell>
          <cell r="AM2441" t="str">
            <v>Q</v>
          </cell>
          <cell r="AN2441" t="str">
            <v>M0</v>
          </cell>
          <cell r="AO2441" t="str">
            <v>Active(Model)</v>
          </cell>
          <cell r="AP2441" t="str">
            <v/>
          </cell>
          <cell r="AQ2441" t="str">
            <v/>
          </cell>
          <cell r="AR2441" t="str">
            <v>Y</v>
          </cell>
          <cell r="AS2441" t="str">
            <v/>
          </cell>
          <cell r="AT2441" t="str">
            <v>AC</v>
          </cell>
          <cell r="AU2441" t="str">
            <v>Airconditioner</v>
          </cell>
          <cell r="AV2441" t="str">
            <v>ACFS</v>
          </cell>
          <cell r="AW2441" t="str">
            <v>Fixed Single CAC</v>
          </cell>
          <cell r="AX2441" t="str">
            <v>ACFSCU</v>
          </cell>
          <cell r="AY2441" t="str">
            <v>Universal_O/D</v>
          </cell>
          <cell r="AZ2441" t="str">
            <v>ACFSCUCO</v>
          </cell>
          <cell r="BA2441" t="str">
            <v>Universal O/D_Inverter_C/O</v>
          </cell>
        </row>
        <row r="2442">
          <cell r="E2442" t="str">
            <v>ZUAD1.EWGHASA</v>
          </cell>
          <cell r="F2442">
            <v>21</v>
          </cell>
          <cell r="G2442">
            <v>0</v>
          </cell>
          <cell r="H2442">
            <v>0</v>
          </cell>
          <cell r="I2442">
            <v>21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 t="str">
            <v/>
          </cell>
          <cell r="AH2442" t="str">
            <v/>
          </cell>
          <cell r="AI2442" t="str">
            <v/>
          </cell>
          <cell r="AJ2442" t="str">
            <v/>
          </cell>
          <cell r="AK2442" t="str">
            <v>0.450706</v>
          </cell>
          <cell r="AL2442" t="str">
            <v>0</v>
          </cell>
          <cell r="AM2442" t="str">
            <v>Q</v>
          </cell>
          <cell r="AN2442" t="str">
            <v>M0</v>
          </cell>
          <cell r="AO2442" t="str">
            <v>Active(Model)</v>
          </cell>
          <cell r="AP2442" t="str">
            <v/>
          </cell>
          <cell r="AQ2442" t="str">
            <v/>
          </cell>
          <cell r="AR2442" t="str">
            <v>Y</v>
          </cell>
          <cell r="AS2442" t="str">
            <v/>
          </cell>
          <cell r="AT2442" t="str">
            <v>AC</v>
          </cell>
          <cell r="AU2442" t="str">
            <v>Airconditioner</v>
          </cell>
          <cell r="AV2442" t="str">
            <v>ACFS</v>
          </cell>
          <cell r="AW2442" t="str">
            <v>Fixed Single CAC</v>
          </cell>
          <cell r="AX2442" t="str">
            <v>ACFSCU</v>
          </cell>
          <cell r="AY2442" t="str">
            <v>Universal_O/D</v>
          </cell>
          <cell r="AZ2442" t="str">
            <v>ACFSCUCO</v>
          </cell>
          <cell r="BA2442" t="str">
            <v>Universal O/D_Inverter_C/O</v>
          </cell>
        </row>
        <row r="2443">
          <cell r="E2443" t="str">
            <v>ZUUQ09GV1.EWGHEVH</v>
          </cell>
          <cell r="F2443">
            <v>47</v>
          </cell>
          <cell r="G2443">
            <v>0</v>
          </cell>
          <cell r="H2443">
            <v>0</v>
          </cell>
          <cell r="I2443">
            <v>51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 t="str">
            <v/>
          </cell>
          <cell r="AH2443" t="str">
            <v/>
          </cell>
          <cell r="AI2443" t="str">
            <v/>
          </cell>
          <cell r="AJ2443" t="str">
            <v/>
          </cell>
          <cell r="AK2443" t="str">
            <v>0.143967</v>
          </cell>
          <cell r="AL2443" t="str">
            <v>0</v>
          </cell>
          <cell r="AM2443" t="str">
            <v>Q</v>
          </cell>
          <cell r="AN2443" t="str">
            <v>M0</v>
          </cell>
          <cell r="AO2443" t="str">
            <v>Active(Model)</v>
          </cell>
          <cell r="AP2443" t="str">
            <v/>
          </cell>
          <cell r="AQ2443" t="str">
            <v/>
          </cell>
          <cell r="AR2443" t="str">
            <v>Y</v>
          </cell>
          <cell r="AS2443" t="str">
            <v/>
          </cell>
          <cell r="AT2443" t="str">
            <v>AC</v>
          </cell>
          <cell r="AU2443" t="str">
            <v>Airconditioner</v>
          </cell>
          <cell r="AV2443" t="str">
            <v>ACFS</v>
          </cell>
          <cell r="AW2443" t="str">
            <v>Fixed Single CAC</v>
          </cell>
          <cell r="AX2443" t="str">
            <v>ACFSCU</v>
          </cell>
          <cell r="AY2443" t="str">
            <v>Universal_O/D</v>
          </cell>
          <cell r="AZ2443" t="str">
            <v>ACFSCUCO</v>
          </cell>
          <cell r="BA2443" t="str">
            <v>Universal O/D_Inverter_C/O</v>
          </cell>
        </row>
        <row r="2444">
          <cell r="E2444" t="str">
            <v>ZUUQ12GV1.EWGHEVH</v>
          </cell>
          <cell r="F2444">
            <v>1</v>
          </cell>
          <cell r="G2444">
            <v>0</v>
          </cell>
          <cell r="H2444">
            <v>0</v>
          </cell>
          <cell r="I2444">
            <v>12</v>
          </cell>
          <cell r="J2444">
            <v>0</v>
          </cell>
          <cell r="K2444">
            <v>0</v>
          </cell>
          <cell r="L2444">
            <v>11</v>
          </cell>
          <cell r="M2444">
            <v>0</v>
          </cell>
          <cell r="N2444">
            <v>0</v>
          </cell>
          <cell r="O2444">
            <v>6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 t="str">
            <v/>
          </cell>
          <cell r="AH2444" t="str">
            <v/>
          </cell>
          <cell r="AI2444" t="str">
            <v/>
          </cell>
          <cell r="AJ2444" t="str">
            <v/>
          </cell>
          <cell r="AK2444" t="str">
            <v>0.143967</v>
          </cell>
          <cell r="AL2444" t="str">
            <v>0</v>
          </cell>
          <cell r="AM2444" t="str">
            <v>Q</v>
          </cell>
          <cell r="AN2444" t="str">
            <v>M0</v>
          </cell>
          <cell r="AO2444" t="str">
            <v>Active(Model)</v>
          </cell>
          <cell r="AP2444" t="str">
            <v/>
          </cell>
          <cell r="AQ2444" t="str">
            <v/>
          </cell>
          <cell r="AR2444" t="str">
            <v>Y</v>
          </cell>
          <cell r="AS2444" t="str">
            <v/>
          </cell>
          <cell r="AT2444" t="str">
            <v>AC</v>
          </cell>
          <cell r="AU2444" t="str">
            <v>Airconditioner</v>
          </cell>
          <cell r="AV2444" t="str">
            <v>ACFS</v>
          </cell>
          <cell r="AW2444" t="str">
            <v>Fixed Single CAC</v>
          </cell>
          <cell r="AX2444" t="str">
            <v>ACFSCU</v>
          </cell>
          <cell r="AY2444" t="str">
            <v>Universal_O/D</v>
          </cell>
          <cell r="AZ2444" t="str">
            <v>ACFSCUCO</v>
          </cell>
          <cell r="BA2444" t="str">
            <v>Universal O/D_Inverter_C/O</v>
          </cell>
        </row>
        <row r="2445">
          <cell r="E2445" t="str">
            <v>ZUUQ18GE1.EWGHEVH</v>
          </cell>
          <cell r="F2445">
            <v>18</v>
          </cell>
          <cell r="G2445">
            <v>0</v>
          </cell>
          <cell r="H2445">
            <v>0</v>
          </cell>
          <cell r="I2445">
            <v>18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 t="str">
            <v/>
          </cell>
          <cell r="AH2445" t="str">
            <v/>
          </cell>
          <cell r="AI2445" t="str">
            <v/>
          </cell>
          <cell r="AJ2445" t="str">
            <v/>
          </cell>
          <cell r="AK2445" t="str">
            <v>0.143967</v>
          </cell>
          <cell r="AL2445" t="str">
            <v>0</v>
          </cell>
          <cell r="AM2445" t="str">
            <v>Q</v>
          </cell>
          <cell r="AN2445" t="str">
            <v>M0</v>
          </cell>
          <cell r="AO2445" t="str">
            <v>Active(Model)</v>
          </cell>
          <cell r="AP2445" t="str">
            <v/>
          </cell>
          <cell r="AQ2445" t="str">
            <v/>
          </cell>
          <cell r="AR2445" t="str">
            <v>Y</v>
          </cell>
          <cell r="AS2445" t="str">
            <v/>
          </cell>
          <cell r="AT2445" t="str">
            <v>AC</v>
          </cell>
          <cell r="AU2445" t="str">
            <v>Airconditioner</v>
          </cell>
          <cell r="AV2445" t="str">
            <v>ACFS</v>
          </cell>
          <cell r="AW2445" t="str">
            <v>Fixed Single CAC</v>
          </cell>
          <cell r="AX2445" t="str">
            <v>ACFSCC</v>
          </cell>
          <cell r="AY2445" t="str">
            <v>Ceiling Cassette</v>
          </cell>
          <cell r="AZ2445" t="str">
            <v>ACFSCCCZ</v>
          </cell>
          <cell r="BA2445" t="str">
            <v>Cassette_O/D_Inverter_C/O</v>
          </cell>
        </row>
        <row r="2446">
          <cell r="E2446" t="str">
            <v>ZUUQ18GV1.EWGHEVH</v>
          </cell>
          <cell r="F2446">
            <v>0</v>
          </cell>
          <cell r="G2446">
            <v>0</v>
          </cell>
          <cell r="H2446">
            <v>0</v>
          </cell>
          <cell r="I2446">
            <v>5</v>
          </cell>
          <cell r="J2446">
            <v>0</v>
          </cell>
          <cell r="K2446">
            <v>16</v>
          </cell>
          <cell r="L2446">
            <v>3</v>
          </cell>
          <cell r="M2446">
            <v>2</v>
          </cell>
          <cell r="N2446">
            <v>0</v>
          </cell>
          <cell r="O2446">
            <v>0</v>
          </cell>
          <cell r="P2446">
            <v>2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 t="str">
            <v/>
          </cell>
          <cell r="AH2446" t="str">
            <v/>
          </cell>
          <cell r="AI2446" t="str">
            <v/>
          </cell>
          <cell r="AJ2446" t="str">
            <v/>
          </cell>
          <cell r="AK2446" t="str">
            <v>0.212597</v>
          </cell>
          <cell r="AL2446" t="str">
            <v>0</v>
          </cell>
          <cell r="AM2446" t="str">
            <v>Q</v>
          </cell>
          <cell r="AN2446" t="str">
            <v>M0</v>
          </cell>
          <cell r="AO2446" t="str">
            <v>Active(Model)</v>
          </cell>
          <cell r="AP2446" t="str">
            <v/>
          </cell>
          <cell r="AQ2446" t="str">
            <v/>
          </cell>
          <cell r="AR2446" t="str">
            <v>Y</v>
          </cell>
          <cell r="AS2446" t="str">
            <v/>
          </cell>
          <cell r="AT2446" t="str">
            <v>AC</v>
          </cell>
          <cell r="AU2446" t="str">
            <v>Airconditioner</v>
          </cell>
          <cell r="AV2446" t="str">
            <v>ACFS</v>
          </cell>
          <cell r="AW2446" t="str">
            <v>Fixed Single CAC</v>
          </cell>
          <cell r="AX2446" t="str">
            <v>ACFSCU</v>
          </cell>
          <cell r="AY2446" t="str">
            <v>Universal_O/D</v>
          </cell>
          <cell r="AZ2446" t="str">
            <v>ACFSCUCO</v>
          </cell>
          <cell r="BA2446" t="str">
            <v>Universal O/D_Inverter_C/O</v>
          </cell>
        </row>
        <row r="2447">
          <cell r="E2447" t="str">
            <v>ZUUQ24GE1.EWGHEVH</v>
          </cell>
          <cell r="F2447">
            <v>5</v>
          </cell>
          <cell r="G2447">
            <v>0</v>
          </cell>
          <cell r="H2447">
            <v>0</v>
          </cell>
          <cell r="I2447">
            <v>5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 t="str">
            <v/>
          </cell>
          <cell r="AH2447" t="str">
            <v/>
          </cell>
          <cell r="AI2447" t="str">
            <v/>
          </cell>
          <cell r="AJ2447" t="str">
            <v/>
          </cell>
          <cell r="AK2447" t="str">
            <v>0.212597</v>
          </cell>
          <cell r="AL2447" t="str">
            <v>0</v>
          </cell>
          <cell r="AM2447" t="str">
            <v>Q</v>
          </cell>
          <cell r="AN2447" t="str">
            <v>M0</v>
          </cell>
          <cell r="AO2447" t="str">
            <v>Active(Model)</v>
          </cell>
          <cell r="AP2447" t="str">
            <v/>
          </cell>
          <cell r="AQ2447" t="str">
            <v/>
          </cell>
          <cell r="AR2447" t="str">
            <v>Y</v>
          </cell>
          <cell r="AS2447" t="str">
            <v/>
          </cell>
          <cell r="AT2447" t="str">
            <v>AC</v>
          </cell>
          <cell r="AU2447" t="str">
            <v>Airconditioner</v>
          </cell>
          <cell r="AV2447" t="str">
            <v>ACFS</v>
          </cell>
          <cell r="AW2447" t="str">
            <v>Fixed Single CAC</v>
          </cell>
          <cell r="AX2447" t="str">
            <v>ACFSCC</v>
          </cell>
          <cell r="AY2447" t="str">
            <v>Ceiling Cassette</v>
          </cell>
          <cell r="AZ2447" t="str">
            <v>ACFSCCCZ</v>
          </cell>
          <cell r="BA2447" t="str">
            <v>Cassette_O/D_Inverter_C/O</v>
          </cell>
        </row>
        <row r="2448">
          <cell r="E2448" t="str">
            <v>ZUUQ24GV1.EWGHEVH</v>
          </cell>
          <cell r="F2448">
            <v>7</v>
          </cell>
          <cell r="G2448">
            <v>0</v>
          </cell>
          <cell r="H2448">
            <v>0</v>
          </cell>
          <cell r="I2448">
            <v>34</v>
          </cell>
          <cell r="J2448">
            <v>0</v>
          </cell>
          <cell r="K2448">
            <v>8</v>
          </cell>
          <cell r="L2448">
            <v>0</v>
          </cell>
          <cell r="M2448">
            <v>0</v>
          </cell>
          <cell r="N2448">
            <v>27</v>
          </cell>
          <cell r="O2448">
            <v>6</v>
          </cell>
          <cell r="P2448">
            <v>27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 t="str">
            <v/>
          </cell>
          <cell r="AH2448" t="str">
            <v/>
          </cell>
          <cell r="AI2448" t="str">
            <v/>
          </cell>
          <cell r="AJ2448" t="str">
            <v/>
          </cell>
          <cell r="AK2448" t="str">
            <v>0.335972</v>
          </cell>
          <cell r="AL2448" t="str">
            <v>0</v>
          </cell>
          <cell r="AM2448" t="str">
            <v>Q</v>
          </cell>
          <cell r="AN2448" t="str">
            <v>M0</v>
          </cell>
          <cell r="AO2448" t="str">
            <v>Active(Model)</v>
          </cell>
          <cell r="AP2448" t="str">
            <v/>
          </cell>
          <cell r="AQ2448" t="str">
            <v/>
          </cell>
          <cell r="AR2448" t="str">
            <v>Y</v>
          </cell>
          <cell r="AS2448" t="str">
            <v/>
          </cell>
          <cell r="AT2448" t="str">
            <v>AC</v>
          </cell>
          <cell r="AU2448" t="str">
            <v>Airconditioner</v>
          </cell>
          <cell r="AV2448" t="str">
            <v>ACFS</v>
          </cell>
          <cell r="AW2448" t="str">
            <v>Fixed Single CAC</v>
          </cell>
          <cell r="AX2448" t="str">
            <v>ACFSCU</v>
          </cell>
          <cell r="AY2448" t="str">
            <v>Universal_O/D</v>
          </cell>
          <cell r="AZ2448" t="str">
            <v>ACFSCUCO</v>
          </cell>
          <cell r="BA2448" t="str">
            <v>Universal O/D_Inverter_C/O</v>
          </cell>
        </row>
        <row r="2449">
          <cell r="E2449" t="str">
            <v>ZUUQ30GV1.EWGHEVH</v>
          </cell>
          <cell r="F2449">
            <v>65</v>
          </cell>
          <cell r="G2449">
            <v>0</v>
          </cell>
          <cell r="H2449">
            <v>0</v>
          </cell>
          <cell r="I2449">
            <v>77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4</v>
          </cell>
          <cell r="O2449">
            <v>0</v>
          </cell>
          <cell r="P2449">
            <v>4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 t="str">
            <v/>
          </cell>
          <cell r="AH2449" t="str">
            <v/>
          </cell>
          <cell r="AI2449" t="str">
            <v/>
          </cell>
          <cell r="AJ2449" t="str">
            <v/>
          </cell>
          <cell r="AK2449" t="str">
            <v>0.335972</v>
          </cell>
          <cell r="AL2449" t="str">
            <v>0</v>
          </cell>
          <cell r="AM2449" t="str">
            <v>Q</v>
          </cell>
          <cell r="AN2449" t="str">
            <v>M0</v>
          </cell>
          <cell r="AO2449" t="str">
            <v>Active(Model)</v>
          </cell>
          <cell r="AP2449" t="str">
            <v/>
          </cell>
          <cell r="AQ2449" t="str">
            <v/>
          </cell>
          <cell r="AR2449" t="str">
            <v>Y</v>
          </cell>
          <cell r="AS2449" t="str">
            <v/>
          </cell>
          <cell r="AT2449" t="str">
            <v>AC</v>
          </cell>
          <cell r="AU2449" t="str">
            <v>Airconditioner</v>
          </cell>
          <cell r="AV2449" t="str">
            <v>ACFS</v>
          </cell>
          <cell r="AW2449" t="str">
            <v>Fixed Single CAC</v>
          </cell>
          <cell r="AX2449" t="str">
            <v>ACFSCU</v>
          </cell>
          <cell r="AY2449" t="str">
            <v>Universal_O/D</v>
          </cell>
          <cell r="AZ2449" t="str">
            <v>ACFSCUCO</v>
          </cell>
          <cell r="BA2449" t="str">
            <v>Universal O/D_Inverter_C/O</v>
          </cell>
        </row>
        <row r="2450">
          <cell r="E2450" t="str">
            <v>ZUUQ36GE1.EWGHEVH</v>
          </cell>
          <cell r="F2450">
            <v>17</v>
          </cell>
          <cell r="G2450">
            <v>0</v>
          </cell>
          <cell r="H2450">
            <v>0</v>
          </cell>
          <cell r="I2450">
            <v>17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 t="str">
            <v/>
          </cell>
          <cell r="AH2450" t="str">
            <v/>
          </cell>
          <cell r="AI2450" t="str">
            <v/>
          </cell>
          <cell r="AJ2450" t="str">
            <v/>
          </cell>
          <cell r="AK2450" t="str">
            <v>0.335972</v>
          </cell>
          <cell r="AL2450" t="str">
            <v>0</v>
          </cell>
          <cell r="AM2450" t="str">
            <v>Q</v>
          </cell>
          <cell r="AN2450" t="str">
            <v>M0</v>
          </cell>
          <cell r="AO2450" t="str">
            <v>Active(Model)</v>
          </cell>
          <cell r="AP2450" t="str">
            <v/>
          </cell>
          <cell r="AQ2450" t="str">
            <v/>
          </cell>
          <cell r="AR2450" t="str">
            <v>Y</v>
          </cell>
          <cell r="AS2450" t="str">
            <v/>
          </cell>
          <cell r="AT2450" t="str">
            <v>AC</v>
          </cell>
          <cell r="AU2450" t="str">
            <v>Airconditioner</v>
          </cell>
          <cell r="AV2450" t="str">
            <v>ACFS</v>
          </cell>
          <cell r="AW2450" t="str">
            <v>Fixed Single CAC</v>
          </cell>
          <cell r="AX2450" t="str">
            <v>ACFSCU</v>
          </cell>
          <cell r="AY2450" t="str">
            <v>Universal_O/D</v>
          </cell>
          <cell r="AZ2450" t="str">
            <v>ACFSCUCO</v>
          </cell>
          <cell r="BA2450" t="str">
            <v>Universal O/D_Inverter_C/O</v>
          </cell>
        </row>
        <row r="2451">
          <cell r="E2451" t="str">
            <v>ZUUQ36GV1.EWGHEVH</v>
          </cell>
          <cell r="F2451">
            <v>16</v>
          </cell>
          <cell r="G2451">
            <v>0</v>
          </cell>
          <cell r="H2451">
            <v>0</v>
          </cell>
          <cell r="I2451">
            <v>20</v>
          </cell>
          <cell r="J2451">
            <v>0</v>
          </cell>
          <cell r="K2451">
            <v>0</v>
          </cell>
          <cell r="L2451">
            <v>0</v>
          </cell>
          <cell r="M2451">
            <v>2</v>
          </cell>
          <cell r="N2451">
            <v>2</v>
          </cell>
          <cell r="O2451">
            <v>1</v>
          </cell>
          <cell r="P2451">
            <v>4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 t="str">
            <v/>
          </cell>
          <cell r="AH2451" t="str">
            <v/>
          </cell>
          <cell r="AI2451" t="str">
            <v/>
          </cell>
          <cell r="AJ2451" t="str">
            <v/>
          </cell>
          <cell r="AK2451" t="str">
            <v>0.482446</v>
          </cell>
          <cell r="AL2451" t="str">
            <v>0</v>
          </cell>
          <cell r="AM2451" t="str">
            <v>Q</v>
          </cell>
          <cell r="AN2451" t="str">
            <v>M0</v>
          </cell>
          <cell r="AO2451" t="str">
            <v>Active(Model)</v>
          </cell>
          <cell r="AP2451" t="str">
            <v/>
          </cell>
          <cell r="AQ2451" t="str">
            <v/>
          </cell>
          <cell r="AR2451" t="str">
            <v>Y</v>
          </cell>
          <cell r="AS2451" t="str">
            <v/>
          </cell>
          <cell r="AT2451" t="str">
            <v>AC</v>
          </cell>
          <cell r="AU2451" t="str">
            <v>Airconditioner</v>
          </cell>
          <cell r="AV2451" t="str">
            <v>ACFS</v>
          </cell>
          <cell r="AW2451" t="str">
            <v>Fixed Single CAC</v>
          </cell>
          <cell r="AX2451" t="str">
            <v>ACFSCU</v>
          </cell>
          <cell r="AY2451" t="str">
            <v>Universal_O/D</v>
          </cell>
          <cell r="AZ2451" t="str">
            <v>ACFSCUCO</v>
          </cell>
          <cell r="BA2451" t="str">
            <v>Universal O/D_Inverter_C/O</v>
          </cell>
        </row>
        <row r="2452">
          <cell r="E2452" t="str">
            <v>ZUUQ36LV1.EWGHEVH</v>
          </cell>
          <cell r="F2452">
            <v>2</v>
          </cell>
          <cell r="G2452">
            <v>0</v>
          </cell>
          <cell r="H2452">
            <v>0</v>
          </cell>
          <cell r="I2452">
            <v>16</v>
          </cell>
          <cell r="J2452">
            <v>0</v>
          </cell>
          <cell r="K2452">
            <v>0</v>
          </cell>
          <cell r="L2452">
            <v>0</v>
          </cell>
          <cell r="M2452">
            <v>10</v>
          </cell>
          <cell r="N2452">
            <v>0</v>
          </cell>
          <cell r="O2452">
            <v>10</v>
          </cell>
          <cell r="P2452">
            <v>10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 t="str">
            <v/>
          </cell>
          <cell r="AH2452" t="str">
            <v/>
          </cell>
          <cell r="AI2452" t="str">
            <v/>
          </cell>
          <cell r="AJ2452" t="str">
            <v/>
          </cell>
          <cell r="AK2452" t="str">
            <v>0.482446</v>
          </cell>
          <cell r="AL2452" t="str">
            <v>0</v>
          </cell>
          <cell r="AM2452" t="str">
            <v>Q</v>
          </cell>
          <cell r="AN2452" t="str">
            <v>M0</v>
          </cell>
          <cell r="AO2452" t="str">
            <v>Active(Model)</v>
          </cell>
          <cell r="AP2452" t="str">
            <v/>
          </cell>
          <cell r="AQ2452" t="str">
            <v/>
          </cell>
          <cell r="AR2452" t="str">
            <v>Y</v>
          </cell>
          <cell r="AS2452" t="str">
            <v/>
          </cell>
          <cell r="AT2452" t="str">
            <v>AC</v>
          </cell>
          <cell r="AU2452" t="str">
            <v>Airconditioner</v>
          </cell>
          <cell r="AV2452" t="str">
            <v>ACFS</v>
          </cell>
          <cell r="AW2452" t="str">
            <v>Fixed Single CAC</v>
          </cell>
          <cell r="AX2452" t="str">
            <v>ACFSCU</v>
          </cell>
          <cell r="AY2452" t="str">
            <v>Universal_O/D</v>
          </cell>
          <cell r="AZ2452" t="str">
            <v>ACFSCUCO</v>
          </cell>
          <cell r="BA2452" t="str">
            <v>Universal O/D_Inverter_C/O</v>
          </cell>
        </row>
        <row r="2453">
          <cell r="E2453" t="str">
            <v>ZUUQ48GV1.EWGHEVH</v>
          </cell>
          <cell r="F2453">
            <v>42</v>
          </cell>
          <cell r="G2453">
            <v>0</v>
          </cell>
          <cell r="H2453">
            <v>0</v>
          </cell>
          <cell r="I2453">
            <v>54</v>
          </cell>
          <cell r="J2453">
            <v>0</v>
          </cell>
          <cell r="K2453">
            <v>0</v>
          </cell>
          <cell r="L2453">
            <v>1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 t="str">
            <v/>
          </cell>
          <cell r="AH2453" t="str">
            <v/>
          </cell>
          <cell r="AI2453" t="str">
            <v/>
          </cell>
          <cell r="AJ2453" t="str">
            <v/>
          </cell>
          <cell r="AK2453" t="str">
            <v>0.482446</v>
          </cell>
          <cell r="AL2453" t="str">
            <v>0</v>
          </cell>
          <cell r="AM2453" t="str">
            <v>Q</v>
          </cell>
          <cell r="AN2453" t="str">
            <v>M0</v>
          </cell>
          <cell r="AO2453" t="str">
            <v>Active(Model)</v>
          </cell>
          <cell r="AP2453" t="str">
            <v/>
          </cell>
          <cell r="AQ2453" t="str">
            <v/>
          </cell>
          <cell r="AR2453" t="str">
            <v>Y</v>
          </cell>
          <cell r="AS2453" t="str">
            <v/>
          </cell>
          <cell r="AT2453" t="str">
            <v>AC</v>
          </cell>
          <cell r="AU2453" t="str">
            <v>Airconditioner</v>
          </cell>
          <cell r="AV2453" t="str">
            <v>ACFS</v>
          </cell>
          <cell r="AW2453" t="str">
            <v>Fixed Single CAC</v>
          </cell>
          <cell r="AX2453" t="str">
            <v>ACFSCU</v>
          </cell>
          <cell r="AY2453" t="str">
            <v>Universal_O/D</v>
          </cell>
          <cell r="AZ2453" t="str">
            <v>ACFSCUCO</v>
          </cell>
          <cell r="BA2453" t="str">
            <v>Universal O/D_Inverter_C/O</v>
          </cell>
        </row>
        <row r="2454">
          <cell r="E2454" t="str">
            <v>ZUUQ48LV1.EWGHEVH</v>
          </cell>
          <cell r="F2454">
            <v>17</v>
          </cell>
          <cell r="G2454">
            <v>0</v>
          </cell>
          <cell r="H2454">
            <v>0</v>
          </cell>
          <cell r="I2454">
            <v>43</v>
          </cell>
          <cell r="J2454">
            <v>0</v>
          </cell>
          <cell r="K2454">
            <v>0</v>
          </cell>
          <cell r="L2454">
            <v>0</v>
          </cell>
          <cell r="M2454">
            <v>26</v>
          </cell>
          <cell r="N2454">
            <v>0</v>
          </cell>
          <cell r="O2454">
            <v>12</v>
          </cell>
          <cell r="P2454">
            <v>26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 t="str">
            <v/>
          </cell>
          <cell r="AH2454" t="str">
            <v/>
          </cell>
          <cell r="AI2454" t="str">
            <v/>
          </cell>
          <cell r="AJ2454" t="str">
            <v/>
          </cell>
          <cell r="AK2454" t="str">
            <v>0.482446</v>
          </cell>
          <cell r="AL2454" t="str">
            <v>0</v>
          </cell>
          <cell r="AM2454" t="str">
            <v>Q</v>
          </cell>
          <cell r="AN2454" t="str">
            <v>M0</v>
          </cell>
          <cell r="AO2454" t="str">
            <v>Active(Model)</v>
          </cell>
          <cell r="AP2454" t="str">
            <v/>
          </cell>
          <cell r="AQ2454" t="str">
            <v/>
          </cell>
          <cell r="AR2454" t="str">
            <v>Y</v>
          </cell>
          <cell r="AS2454" t="str">
            <v/>
          </cell>
          <cell r="AT2454" t="str">
            <v>AC</v>
          </cell>
          <cell r="AU2454" t="str">
            <v>Airconditioner</v>
          </cell>
          <cell r="AV2454" t="str">
            <v>ACFS</v>
          </cell>
          <cell r="AW2454" t="str">
            <v>Fixed Single CAC</v>
          </cell>
          <cell r="AX2454" t="str">
            <v>ACFSCU</v>
          </cell>
          <cell r="AY2454" t="str">
            <v>Universal_O/D</v>
          </cell>
          <cell r="AZ2454" t="str">
            <v>ACFSCUCO</v>
          </cell>
          <cell r="BA2454" t="str">
            <v>Universal O/D_Inverter_C/O</v>
          </cell>
        </row>
        <row r="2455">
          <cell r="E2455" t="str">
            <v>ZUUQ60LV1.EWGHEVH</v>
          </cell>
          <cell r="F2455">
            <v>23</v>
          </cell>
          <cell r="G2455">
            <v>0</v>
          </cell>
          <cell r="H2455">
            <v>0</v>
          </cell>
          <cell r="I2455">
            <v>41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16</v>
          </cell>
          <cell r="AE2455">
            <v>0</v>
          </cell>
          <cell r="AF2455">
            <v>16</v>
          </cell>
          <cell r="AG2455" t="str">
            <v/>
          </cell>
          <cell r="AH2455" t="str">
            <v/>
          </cell>
          <cell r="AI2455" t="str">
            <v/>
          </cell>
          <cell r="AJ2455" t="str">
            <v/>
          </cell>
          <cell r="AK2455" t="str">
            <v>0.482446</v>
          </cell>
          <cell r="AL2455" t="str">
            <v>0</v>
          </cell>
          <cell r="AM2455" t="str">
            <v>Q</v>
          </cell>
          <cell r="AN2455" t="str">
            <v>M0</v>
          </cell>
          <cell r="AO2455" t="str">
            <v>Active(Model)</v>
          </cell>
          <cell r="AP2455" t="str">
            <v/>
          </cell>
          <cell r="AQ2455" t="str">
            <v/>
          </cell>
          <cell r="AR2455" t="str">
            <v>Y</v>
          </cell>
          <cell r="AS2455" t="str">
            <v/>
          </cell>
          <cell r="AT2455" t="str">
            <v>AC</v>
          </cell>
          <cell r="AU2455" t="str">
            <v>Airconditioner</v>
          </cell>
          <cell r="AV2455" t="str">
            <v>ACFS</v>
          </cell>
          <cell r="AW2455" t="str">
            <v>Fixed Single CAC</v>
          </cell>
          <cell r="AX2455" t="str">
            <v>ACFSCU</v>
          </cell>
          <cell r="AY2455" t="str">
            <v>Universal_O/D</v>
          </cell>
          <cell r="AZ2455" t="str">
            <v>ACFSCUCO</v>
          </cell>
          <cell r="BA2455" t="str">
            <v>Universal O/D_Inverter_C/O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workbookViewId="0">
      <selection activeCell="E23" sqref="E23"/>
    </sheetView>
  </sheetViews>
  <sheetFormatPr baseColWidth="10" defaultColWidth="8.83203125" defaultRowHeight="15" x14ac:dyDescent="0.2"/>
  <cols>
    <col min="1" max="1" width="8.83203125" style="25"/>
    <col min="4" max="4" width="21.33203125" bestFit="1" customWidth="1"/>
    <col min="5" max="5" width="21.6640625" style="1" bestFit="1" customWidth="1"/>
    <col min="6" max="6" width="9" style="24" customWidth="1"/>
    <col min="7" max="10" width="11.83203125" customWidth="1"/>
    <col min="11" max="11" width="4.1640625" customWidth="1"/>
    <col min="12" max="12" width="12" customWidth="1"/>
    <col min="13" max="14" width="11.5" customWidth="1"/>
    <col min="15" max="15" width="11.1640625" customWidth="1"/>
  </cols>
  <sheetData>
    <row r="1" spans="1:15" x14ac:dyDescent="0.2">
      <c r="F1" s="2"/>
    </row>
    <row r="2" spans="1:15" x14ac:dyDescent="0.2">
      <c r="A2" s="54" t="s">
        <v>0</v>
      </c>
      <c r="B2" s="54"/>
      <c r="C2" s="54"/>
      <c r="D2" s="54"/>
      <c r="E2" s="55"/>
      <c r="F2" s="3"/>
      <c r="G2" s="56" t="s">
        <v>1</v>
      </c>
      <c r="H2" s="57"/>
      <c r="I2" s="57"/>
      <c r="J2" s="58"/>
      <c r="L2" s="56" t="s">
        <v>2</v>
      </c>
      <c r="M2" s="57"/>
      <c r="N2" s="57"/>
      <c r="O2" s="58"/>
    </row>
    <row r="3" spans="1:15" ht="41.5" customHeight="1" x14ac:dyDescent="0.2">
      <c r="A3" s="4" t="s">
        <v>207</v>
      </c>
      <c r="B3" s="4" t="s">
        <v>0</v>
      </c>
      <c r="C3" s="5" t="s">
        <v>0</v>
      </c>
      <c r="D3" s="5" t="s">
        <v>208</v>
      </c>
      <c r="E3" s="6" t="s">
        <v>209</v>
      </c>
      <c r="F3" s="3"/>
      <c r="G3" s="7" t="s">
        <v>3</v>
      </c>
      <c r="H3" s="5">
        <v>12</v>
      </c>
      <c r="I3" s="5">
        <v>24</v>
      </c>
      <c r="J3" s="5">
        <v>36</v>
      </c>
      <c r="L3" s="4" t="s">
        <v>3</v>
      </c>
      <c r="M3" s="5">
        <v>12</v>
      </c>
      <c r="N3" s="5">
        <v>24</v>
      </c>
      <c r="O3" s="5">
        <v>36</v>
      </c>
    </row>
    <row r="4" spans="1:15" x14ac:dyDescent="0.2">
      <c r="A4" s="26">
        <v>1</v>
      </c>
      <c r="B4" s="8" t="s">
        <v>4</v>
      </c>
      <c r="C4" s="9" t="s">
        <v>5</v>
      </c>
      <c r="D4" s="9" t="s">
        <v>6</v>
      </c>
      <c r="E4" s="10" t="s">
        <v>7</v>
      </c>
      <c r="F4" s="11"/>
      <c r="G4" s="12">
        <v>14450000</v>
      </c>
      <c r="H4" s="9">
        <v>1250000</v>
      </c>
      <c r="I4" s="9">
        <v>660000</v>
      </c>
      <c r="J4" s="9">
        <v>480000</v>
      </c>
      <c r="L4" s="8">
        <v>14450000</v>
      </c>
      <c r="M4" s="9">
        <v>15000000</v>
      </c>
      <c r="N4" s="9">
        <v>15840000</v>
      </c>
      <c r="O4" s="9">
        <v>17280000</v>
      </c>
    </row>
    <row r="5" spans="1:15" x14ac:dyDescent="0.2">
      <c r="A5" s="26">
        <v>2</v>
      </c>
      <c r="B5" s="8" t="s">
        <v>4</v>
      </c>
      <c r="C5" s="9" t="s">
        <v>5</v>
      </c>
      <c r="D5" s="9" t="s">
        <v>8</v>
      </c>
      <c r="E5" s="10" t="s">
        <v>9</v>
      </c>
      <c r="F5" s="11"/>
      <c r="G5" s="12">
        <v>10300000</v>
      </c>
      <c r="H5" s="9">
        <v>890000</v>
      </c>
      <c r="I5" s="9">
        <v>480000</v>
      </c>
      <c r="J5" s="9">
        <v>350000</v>
      </c>
      <c r="L5" s="8">
        <v>10300000</v>
      </c>
      <c r="M5" s="9">
        <v>10680000</v>
      </c>
      <c r="N5" s="9">
        <v>11520000</v>
      </c>
      <c r="O5" s="9">
        <v>12600000</v>
      </c>
    </row>
    <row r="6" spans="1:15" x14ac:dyDescent="0.2">
      <c r="A6" s="26">
        <v>3</v>
      </c>
      <c r="B6" s="13" t="s">
        <v>4</v>
      </c>
      <c r="C6" s="14" t="s">
        <v>5</v>
      </c>
      <c r="D6" s="14" t="s">
        <v>10</v>
      </c>
      <c r="E6" s="15" t="s">
        <v>11</v>
      </c>
      <c r="F6" s="11"/>
      <c r="G6" s="16">
        <v>18010000</v>
      </c>
      <c r="H6" s="14">
        <v>1560000</v>
      </c>
      <c r="I6" s="14">
        <v>820000</v>
      </c>
      <c r="J6" s="14">
        <v>590000</v>
      </c>
      <c r="L6" s="13">
        <v>18010000</v>
      </c>
      <c r="M6" s="14">
        <v>18720000</v>
      </c>
      <c r="N6" s="14">
        <v>19680000</v>
      </c>
      <c r="O6" s="14">
        <v>21240000</v>
      </c>
    </row>
    <row r="7" spans="1:15" x14ac:dyDescent="0.2">
      <c r="A7" s="26">
        <v>4</v>
      </c>
      <c r="B7" s="13" t="s">
        <v>4</v>
      </c>
      <c r="C7" s="14" t="s">
        <v>12</v>
      </c>
      <c r="D7" s="14" t="s">
        <v>13</v>
      </c>
      <c r="E7" s="15" t="s">
        <v>14</v>
      </c>
      <c r="F7" s="11"/>
      <c r="G7" s="16">
        <v>20750100</v>
      </c>
      <c r="H7" s="14">
        <v>1800000</v>
      </c>
      <c r="I7" s="14">
        <v>950000</v>
      </c>
      <c r="J7" s="14">
        <v>720000</v>
      </c>
      <c r="L7" s="13">
        <v>20750100</v>
      </c>
      <c r="M7" s="14">
        <v>21600000</v>
      </c>
      <c r="N7" s="14">
        <v>22800000</v>
      </c>
      <c r="O7" s="14">
        <v>25920000</v>
      </c>
    </row>
    <row r="8" spans="1:15" x14ac:dyDescent="0.2">
      <c r="A8" s="26">
        <v>5</v>
      </c>
      <c r="B8" s="13" t="s">
        <v>4</v>
      </c>
      <c r="C8" s="14" t="s">
        <v>12</v>
      </c>
      <c r="D8" s="14" t="s">
        <v>15</v>
      </c>
      <c r="E8" s="15" t="s">
        <v>16</v>
      </c>
      <c r="F8" s="11"/>
      <c r="G8" s="16">
        <v>18110000</v>
      </c>
      <c r="H8" s="14">
        <v>1570000</v>
      </c>
      <c r="I8" s="14">
        <v>830000</v>
      </c>
      <c r="J8" s="14">
        <v>640000</v>
      </c>
      <c r="L8" s="13">
        <v>18110000</v>
      </c>
      <c r="M8" s="14">
        <v>18840000</v>
      </c>
      <c r="N8" s="14">
        <v>19920000</v>
      </c>
      <c r="O8" s="14">
        <v>23040000</v>
      </c>
    </row>
    <row r="9" spans="1:15" x14ac:dyDescent="0.2">
      <c r="A9" s="26">
        <v>6</v>
      </c>
      <c r="B9" s="13" t="s">
        <v>4</v>
      </c>
      <c r="C9" s="14" t="s">
        <v>12</v>
      </c>
      <c r="D9" s="14" t="s">
        <v>17</v>
      </c>
      <c r="E9" s="15" t="s">
        <v>18</v>
      </c>
      <c r="F9" s="11"/>
      <c r="G9" s="16">
        <v>17110000</v>
      </c>
      <c r="H9" s="14">
        <v>1480000</v>
      </c>
      <c r="I9" s="14">
        <v>790000</v>
      </c>
      <c r="J9" s="14">
        <v>610000</v>
      </c>
      <c r="L9" s="13">
        <v>17110000</v>
      </c>
      <c r="M9" s="14">
        <v>17760000</v>
      </c>
      <c r="N9" s="14">
        <v>18960000</v>
      </c>
      <c r="O9" s="14">
        <v>21960000</v>
      </c>
    </row>
    <row r="10" spans="1:15" x14ac:dyDescent="0.2">
      <c r="A10" s="26">
        <v>7</v>
      </c>
      <c r="B10" s="13" t="s">
        <v>4</v>
      </c>
      <c r="C10" s="14" t="s">
        <v>12</v>
      </c>
      <c r="D10" s="14" t="s">
        <v>19</v>
      </c>
      <c r="E10" s="15" t="s">
        <v>20</v>
      </c>
      <c r="F10" s="11"/>
      <c r="G10" s="16">
        <v>16110000</v>
      </c>
      <c r="H10" s="14">
        <v>1390000</v>
      </c>
      <c r="I10" s="14">
        <v>740000</v>
      </c>
      <c r="J10" s="14">
        <v>580000</v>
      </c>
      <c r="L10" s="13">
        <v>16110000</v>
      </c>
      <c r="M10" s="14">
        <v>16680000</v>
      </c>
      <c r="N10" s="14">
        <v>17760000</v>
      </c>
      <c r="O10" s="14">
        <v>20880000</v>
      </c>
    </row>
    <row r="11" spans="1:15" x14ac:dyDescent="0.2">
      <c r="A11" s="26">
        <v>8</v>
      </c>
      <c r="B11" s="13" t="s">
        <v>4</v>
      </c>
      <c r="C11" s="14" t="s">
        <v>21</v>
      </c>
      <c r="D11" s="14" t="s">
        <v>22</v>
      </c>
      <c r="E11" s="15" t="s">
        <v>23</v>
      </c>
      <c r="F11" s="11"/>
      <c r="G11" s="16">
        <v>36900100</v>
      </c>
      <c r="H11" s="14">
        <v>3190000</v>
      </c>
      <c r="I11" s="14">
        <v>1670000</v>
      </c>
      <c r="J11" s="14">
        <v>1200000</v>
      </c>
      <c r="L11" s="13">
        <v>36900100</v>
      </c>
      <c r="M11" s="14">
        <v>38280000</v>
      </c>
      <c r="N11" s="14">
        <v>40080000</v>
      </c>
      <c r="O11" s="14">
        <v>43200000</v>
      </c>
    </row>
    <row r="12" spans="1:15" x14ac:dyDescent="0.2">
      <c r="A12" s="26">
        <v>9</v>
      </c>
      <c r="B12" s="13" t="s">
        <v>4</v>
      </c>
      <c r="C12" s="14" t="s">
        <v>21</v>
      </c>
      <c r="D12" s="14" t="s">
        <v>24</v>
      </c>
      <c r="E12" s="15" t="s">
        <v>25</v>
      </c>
      <c r="F12" s="11"/>
      <c r="G12" s="16">
        <v>31430100</v>
      </c>
      <c r="H12" s="14">
        <v>2720000</v>
      </c>
      <c r="I12" s="14">
        <v>1430000</v>
      </c>
      <c r="J12" s="14">
        <v>1020000</v>
      </c>
      <c r="L12" s="13">
        <v>31430100</v>
      </c>
      <c r="M12" s="14">
        <v>32640000</v>
      </c>
      <c r="N12" s="14">
        <v>34320000</v>
      </c>
      <c r="O12" s="14">
        <v>36720000</v>
      </c>
    </row>
    <row r="13" spans="1:15" x14ac:dyDescent="0.2">
      <c r="A13" s="26">
        <v>10</v>
      </c>
      <c r="B13" s="13" t="s">
        <v>4</v>
      </c>
      <c r="C13" s="14" t="s">
        <v>21</v>
      </c>
      <c r="D13" s="14" t="s">
        <v>26</v>
      </c>
      <c r="E13" s="15" t="s">
        <v>27</v>
      </c>
      <c r="F13" s="11"/>
      <c r="G13" s="16">
        <v>25620000</v>
      </c>
      <c r="H13" s="14">
        <v>2220000</v>
      </c>
      <c r="I13" s="14">
        <v>1170000</v>
      </c>
      <c r="J13" s="14">
        <v>840000</v>
      </c>
      <c r="L13" s="13">
        <v>25620000</v>
      </c>
      <c r="M13" s="14">
        <v>26640000</v>
      </c>
      <c r="N13" s="14">
        <v>28080000</v>
      </c>
      <c r="O13" s="14">
        <v>30240000</v>
      </c>
    </row>
    <row r="14" spans="1:15" x14ac:dyDescent="0.2">
      <c r="A14" s="26">
        <v>11</v>
      </c>
      <c r="B14" s="13" t="s">
        <v>4</v>
      </c>
      <c r="C14" s="14" t="s">
        <v>21</v>
      </c>
      <c r="D14" s="14" t="s">
        <v>28</v>
      </c>
      <c r="E14" s="15" t="s">
        <v>29</v>
      </c>
      <c r="F14" s="11"/>
      <c r="G14" s="16">
        <v>25620000</v>
      </c>
      <c r="H14" s="14">
        <v>2220000</v>
      </c>
      <c r="I14" s="14">
        <v>1170000</v>
      </c>
      <c r="J14" s="14">
        <v>840000</v>
      </c>
      <c r="L14" s="13">
        <v>25620000</v>
      </c>
      <c r="M14" s="14">
        <v>26640000</v>
      </c>
      <c r="N14" s="14">
        <v>28080000</v>
      </c>
      <c r="O14" s="14">
        <v>30240000</v>
      </c>
    </row>
    <row r="15" spans="1:15" x14ac:dyDescent="0.2">
      <c r="A15" s="26">
        <v>12</v>
      </c>
      <c r="B15" s="13" t="s">
        <v>4</v>
      </c>
      <c r="C15" s="14" t="s">
        <v>21</v>
      </c>
      <c r="D15" s="14" t="s">
        <v>30</v>
      </c>
      <c r="E15" s="15" t="s">
        <v>31</v>
      </c>
      <c r="F15" s="11"/>
      <c r="G15" s="16">
        <v>22620000</v>
      </c>
      <c r="H15" s="14">
        <v>1960000</v>
      </c>
      <c r="I15" s="14">
        <v>1030000</v>
      </c>
      <c r="J15" s="14">
        <v>750000</v>
      </c>
      <c r="L15" s="13">
        <v>22620000</v>
      </c>
      <c r="M15" s="14">
        <v>23520000</v>
      </c>
      <c r="N15" s="14">
        <v>24720000</v>
      </c>
      <c r="O15" s="14">
        <v>27000000</v>
      </c>
    </row>
    <row r="16" spans="1:15" x14ac:dyDescent="0.2">
      <c r="A16" s="26">
        <v>13</v>
      </c>
      <c r="B16" s="13" t="s">
        <v>4</v>
      </c>
      <c r="C16" s="14" t="s">
        <v>21</v>
      </c>
      <c r="D16" s="14" t="s">
        <v>32</v>
      </c>
      <c r="E16" s="15" t="s">
        <v>33</v>
      </c>
      <c r="F16" s="11"/>
      <c r="G16" s="16">
        <v>21620000</v>
      </c>
      <c r="H16" s="14">
        <v>1870000</v>
      </c>
      <c r="I16" s="14">
        <v>990000</v>
      </c>
      <c r="J16" s="14">
        <v>720000</v>
      </c>
      <c r="L16" s="13">
        <v>21620000</v>
      </c>
      <c r="M16" s="14">
        <v>22440000</v>
      </c>
      <c r="N16" s="14">
        <v>23760000</v>
      </c>
      <c r="O16" s="14">
        <v>25920000</v>
      </c>
    </row>
    <row r="17" spans="1:15" x14ac:dyDescent="0.2">
      <c r="A17" s="26">
        <v>14</v>
      </c>
      <c r="B17" s="13" t="s">
        <v>4</v>
      </c>
      <c r="C17" s="14" t="s">
        <v>21</v>
      </c>
      <c r="D17" s="14" t="s">
        <v>34</v>
      </c>
      <c r="E17" s="15" t="s">
        <v>35</v>
      </c>
      <c r="F17" s="11"/>
      <c r="G17" s="16">
        <v>15500000</v>
      </c>
      <c r="H17" s="14">
        <v>1340000</v>
      </c>
      <c r="I17" s="14">
        <v>710000</v>
      </c>
      <c r="J17" s="14">
        <v>510000</v>
      </c>
      <c r="L17" s="13">
        <v>15500000</v>
      </c>
      <c r="M17" s="14">
        <v>16080000</v>
      </c>
      <c r="N17" s="14">
        <v>17040000</v>
      </c>
      <c r="O17" s="14">
        <v>18360000</v>
      </c>
    </row>
    <row r="18" spans="1:15" x14ac:dyDescent="0.2">
      <c r="A18" s="26">
        <v>15</v>
      </c>
      <c r="B18" s="13" t="s">
        <v>4</v>
      </c>
      <c r="C18" s="14" t="s">
        <v>36</v>
      </c>
      <c r="D18" s="14" t="s">
        <v>37</v>
      </c>
      <c r="E18" s="15" t="s">
        <v>38</v>
      </c>
      <c r="F18" s="11"/>
      <c r="G18" s="16">
        <v>36900100</v>
      </c>
      <c r="H18" s="14">
        <v>3190000</v>
      </c>
      <c r="I18" s="14">
        <v>1670000</v>
      </c>
      <c r="J18" s="14">
        <v>1200000</v>
      </c>
      <c r="L18" s="13">
        <v>36900100</v>
      </c>
      <c r="M18" s="14">
        <v>38280000</v>
      </c>
      <c r="N18" s="14">
        <v>40080000</v>
      </c>
      <c r="O18" s="14">
        <v>43200000</v>
      </c>
    </row>
    <row r="19" spans="1:15" x14ac:dyDescent="0.2">
      <c r="A19" s="26">
        <v>16</v>
      </c>
      <c r="B19" s="13" t="s">
        <v>4</v>
      </c>
      <c r="C19" s="14" t="s">
        <v>36</v>
      </c>
      <c r="D19" s="14" t="s">
        <v>39</v>
      </c>
      <c r="E19" s="15" t="s">
        <v>40</v>
      </c>
      <c r="F19" s="11"/>
      <c r="G19" s="16">
        <v>24620000</v>
      </c>
      <c r="H19" s="14">
        <v>2130000</v>
      </c>
      <c r="I19" s="14">
        <v>1120000</v>
      </c>
      <c r="J19" s="14">
        <v>810000</v>
      </c>
      <c r="L19" s="13">
        <v>24620000</v>
      </c>
      <c r="M19" s="14">
        <v>25560000</v>
      </c>
      <c r="N19" s="14">
        <v>26880000</v>
      </c>
      <c r="O19" s="14">
        <v>29160000</v>
      </c>
    </row>
    <row r="20" spans="1:15" x14ac:dyDescent="0.2">
      <c r="A20" s="26">
        <v>17</v>
      </c>
      <c r="B20" s="13" t="s">
        <v>4</v>
      </c>
      <c r="C20" s="14" t="s">
        <v>41</v>
      </c>
      <c r="D20" s="14" t="s">
        <v>42</v>
      </c>
      <c r="E20" s="15" t="s">
        <v>43</v>
      </c>
      <c r="F20" s="11"/>
      <c r="G20" s="16">
        <v>8070000</v>
      </c>
      <c r="H20" s="14">
        <v>700000</v>
      </c>
      <c r="I20" s="14">
        <v>380000</v>
      </c>
      <c r="J20" s="14">
        <v>280000</v>
      </c>
      <c r="L20" s="13">
        <v>8070000</v>
      </c>
      <c r="M20" s="14">
        <v>8400000</v>
      </c>
      <c r="N20" s="14">
        <v>9120000</v>
      </c>
      <c r="O20" s="14">
        <v>10080000</v>
      </c>
    </row>
    <row r="21" spans="1:15" x14ac:dyDescent="0.2">
      <c r="A21" s="26">
        <v>18</v>
      </c>
      <c r="B21" s="13" t="s">
        <v>4</v>
      </c>
      <c r="C21" s="14" t="s">
        <v>41</v>
      </c>
      <c r="D21" s="14" t="s">
        <v>44</v>
      </c>
      <c r="E21" s="15" t="s">
        <v>45</v>
      </c>
      <c r="F21" s="11"/>
      <c r="G21" s="16">
        <v>7570000</v>
      </c>
      <c r="H21" s="14">
        <v>660000</v>
      </c>
      <c r="I21" s="14">
        <v>360000</v>
      </c>
      <c r="J21" s="14">
        <v>260000</v>
      </c>
      <c r="L21" s="13">
        <v>7570000</v>
      </c>
      <c r="M21" s="14">
        <v>7920000</v>
      </c>
      <c r="N21" s="14">
        <v>8640000</v>
      </c>
      <c r="O21" s="14">
        <v>9360000</v>
      </c>
    </row>
    <row r="22" spans="1:15" x14ac:dyDescent="0.2">
      <c r="A22" s="26">
        <v>19</v>
      </c>
      <c r="B22" s="13" t="s">
        <v>4</v>
      </c>
      <c r="C22" s="14" t="s">
        <v>41</v>
      </c>
      <c r="D22" s="14" t="s">
        <v>46</v>
      </c>
      <c r="E22" s="15" t="s">
        <v>47</v>
      </c>
      <c r="F22" s="11"/>
      <c r="G22" s="16">
        <v>7180000</v>
      </c>
      <c r="H22" s="14">
        <v>620000</v>
      </c>
      <c r="I22" s="14">
        <v>340000</v>
      </c>
      <c r="J22" s="14">
        <v>250000</v>
      </c>
      <c r="L22" s="13">
        <v>7180000</v>
      </c>
      <c r="M22" s="14">
        <v>7440000</v>
      </c>
      <c r="N22" s="14">
        <v>8160000</v>
      </c>
      <c r="O22" s="14">
        <v>9000000</v>
      </c>
    </row>
    <row r="23" spans="1:15" x14ac:dyDescent="0.2">
      <c r="A23" s="26">
        <v>20</v>
      </c>
      <c r="B23" s="13" t="s">
        <v>4</v>
      </c>
      <c r="C23" s="14" t="s">
        <v>41</v>
      </c>
      <c r="D23" s="14" t="s">
        <v>48</v>
      </c>
      <c r="E23" s="15" t="s">
        <v>49</v>
      </c>
      <c r="F23" s="11"/>
      <c r="G23" s="16">
        <v>6780000</v>
      </c>
      <c r="H23" s="14">
        <v>590000</v>
      </c>
      <c r="I23" s="14">
        <v>320000</v>
      </c>
      <c r="J23" s="14">
        <v>240000</v>
      </c>
      <c r="L23" s="13">
        <v>6780000</v>
      </c>
      <c r="M23" s="14">
        <v>7080000</v>
      </c>
      <c r="N23" s="14">
        <v>7680000</v>
      </c>
      <c r="O23" s="14">
        <v>8640000</v>
      </c>
    </row>
    <row r="24" spans="1:15" x14ac:dyDescent="0.2">
      <c r="A24" s="26">
        <v>21</v>
      </c>
      <c r="B24" s="13" t="s">
        <v>50</v>
      </c>
      <c r="C24" s="14" t="s">
        <v>51</v>
      </c>
      <c r="D24" s="14" t="s">
        <v>52</v>
      </c>
      <c r="E24" s="15" t="s">
        <v>53</v>
      </c>
      <c r="F24" s="11"/>
      <c r="G24" s="16">
        <v>85150000</v>
      </c>
      <c r="H24" s="14">
        <v>7350000</v>
      </c>
      <c r="I24" s="14">
        <v>3830000</v>
      </c>
      <c r="J24" s="14">
        <v>2750000</v>
      </c>
      <c r="L24" s="13">
        <v>85150000</v>
      </c>
      <c r="M24" s="14">
        <v>88200000</v>
      </c>
      <c r="N24" s="14">
        <v>91920000</v>
      </c>
      <c r="O24" s="14">
        <v>99000000</v>
      </c>
    </row>
    <row r="25" spans="1:15" x14ac:dyDescent="0.2">
      <c r="A25" s="26">
        <v>22</v>
      </c>
      <c r="B25" s="13" t="s">
        <v>50</v>
      </c>
      <c r="C25" s="14" t="s">
        <v>51</v>
      </c>
      <c r="D25" s="14" t="s">
        <v>54</v>
      </c>
      <c r="E25" s="15" t="s">
        <v>55</v>
      </c>
      <c r="F25" s="11"/>
      <c r="G25" s="16">
        <v>60150000</v>
      </c>
      <c r="H25" s="14">
        <v>5190000</v>
      </c>
      <c r="I25" s="14">
        <v>2720000</v>
      </c>
      <c r="J25" s="14">
        <v>1990000</v>
      </c>
      <c r="L25" s="13">
        <v>60150000</v>
      </c>
      <c r="M25" s="14">
        <v>62280000</v>
      </c>
      <c r="N25" s="14">
        <v>65280000</v>
      </c>
      <c r="O25" s="14">
        <v>71640000</v>
      </c>
    </row>
    <row r="26" spans="1:15" x14ac:dyDescent="0.2">
      <c r="A26" s="26">
        <v>23</v>
      </c>
      <c r="B26" s="13" t="s">
        <v>50</v>
      </c>
      <c r="C26" s="14" t="s">
        <v>51</v>
      </c>
      <c r="D26" s="14" t="s">
        <v>56</v>
      </c>
      <c r="E26" s="15" t="s">
        <v>57</v>
      </c>
      <c r="F26" s="11"/>
      <c r="G26" s="16">
        <v>35600000</v>
      </c>
      <c r="H26" s="14">
        <v>3080000</v>
      </c>
      <c r="I26" s="14">
        <v>1610000</v>
      </c>
      <c r="J26" s="14">
        <v>1160000</v>
      </c>
      <c r="L26" s="13">
        <v>35600000</v>
      </c>
      <c r="M26" s="14">
        <v>36960000</v>
      </c>
      <c r="N26" s="14">
        <v>38640000</v>
      </c>
      <c r="O26" s="14">
        <v>41760000</v>
      </c>
    </row>
    <row r="27" spans="1:15" x14ac:dyDescent="0.2">
      <c r="A27" s="26">
        <v>24</v>
      </c>
      <c r="B27" s="13" t="s">
        <v>50</v>
      </c>
      <c r="C27" s="14" t="s">
        <v>58</v>
      </c>
      <c r="D27" s="14" t="s">
        <v>59</v>
      </c>
      <c r="E27" s="15" t="s">
        <v>60</v>
      </c>
      <c r="F27" s="11"/>
      <c r="G27" s="16">
        <v>222200000</v>
      </c>
      <c r="H27" s="14">
        <v>19180000</v>
      </c>
      <c r="I27" s="14">
        <v>9940000</v>
      </c>
      <c r="J27" s="14">
        <v>6930000</v>
      </c>
      <c r="L27" s="13">
        <v>222200000</v>
      </c>
      <c r="M27" s="14">
        <v>230160000</v>
      </c>
      <c r="N27" s="14">
        <v>238560000</v>
      </c>
      <c r="O27" s="14">
        <v>249480000</v>
      </c>
    </row>
    <row r="28" spans="1:15" x14ac:dyDescent="0.2">
      <c r="A28" s="26">
        <v>25</v>
      </c>
      <c r="B28" s="13" t="s">
        <v>50</v>
      </c>
      <c r="C28" s="14" t="s">
        <v>58</v>
      </c>
      <c r="D28" s="14" t="s">
        <v>61</v>
      </c>
      <c r="E28" s="15" t="s">
        <v>62</v>
      </c>
      <c r="F28" s="11"/>
      <c r="G28" s="16">
        <v>99250000</v>
      </c>
      <c r="H28" s="14">
        <v>8570000</v>
      </c>
      <c r="I28" s="14">
        <v>4450000</v>
      </c>
      <c r="J28" s="14">
        <v>3170000</v>
      </c>
      <c r="L28" s="13">
        <v>99250000</v>
      </c>
      <c r="M28" s="14">
        <v>102840000</v>
      </c>
      <c r="N28" s="14">
        <v>106800000</v>
      </c>
      <c r="O28" s="14">
        <v>114120000</v>
      </c>
    </row>
    <row r="29" spans="1:15" x14ac:dyDescent="0.2">
      <c r="A29" s="26">
        <v>26</v>
      </c>
      <c r="B29" s="13" t="s">
        <v>50</v>
      </c>
      <c r="C29" s="14" t="s">
        <v>58</v>
      </c>
      <c r="D29" s="14" t="s">
        <v>63</v>
      </c>
      <c r="E29" s="15" t="s">
        <v>64</v>
      </c>
      <c r="F29" s="11"/>
      <c r="G29" s="16">
        <v>55900000</v>
      </c>
      <c r="H29" s="14">
        <v>4830000</v>
      </c>
      <c r="I29" s="14">
        <v>2520000</v>
      </c>
      <c r="J29" s="14">
        <v>1850000</v>
      </c>
      <c r="L29" s="13">
        <v>55900000</v>
      </c>
      <c r="M29" s="14">
        <v>57960000</v>
      </c>
      <c r="N29" s="14">
        <v>60480000</v>
      </c>
      <c r="O29" s="14">
        <v>66600000</v>
      </c>
    </row>
    <row r="30" spans="1:15" x14ac:dyDescent="0.2">
      <c r="A30" s="26">
        <v>27</v>
      </c>
      <c r="B30" s="13" t="s">
        <v>50</v>
      </c>
      <c r="C30" s="14" t="s">
        <v>58</v>
      </c>
      <c r="D30" s="14" t="s">
        <v>65</v>
      </c>
      <c r="E30" s="15" t="s">
        <v>66</v>
      </c>
      <c r="F30" s="11"/>
      <c r="G30" s="16">
        <v>49900000</v>
      </c>
      <c r="H30" s="14">
        <v>4310000</v>
      </c>
      <c r="I30" s="14">
        <v>2260000</v>
      </c>
      <c r="J30" s="14">
        <v>1610000</v>
      </c>
      <c r="L30" s="13">
        <v>49900000</v>
      </c>
      <c r="M30" s="14">
        <v>51720000</v>
      </c>
      <c r="N30" s="14">
        <v>54240000</v>
      </c>
      <c r="O30" s="14">
        <v>57960000</v>
      </c>
    </row>
    <row r="31" spans="1:15" x14ac:dyDescent="0.2">
      <c r="A31" s="26">
        <v>28</v>
      </c>
      <c r="B31" s="13" t="s">
        <v>50</v>
      </c>
      <c r="C31" s="14" t="s">
        <v>58</v>
      </c>
      <c r="D31" s="14" t="s">
        <v>67</v>
      </c>
      <c r="E31" s="15" t="s">
        <v>68</v>
      </c>
      <c r="F31" s="11"/>
      <c r="G31" s="16">
        <v>90700000</v>
      </c>
      <c r="H31" s="14">
        <v>7830000</v>
      </c>
      <c r="I31" s="14">
        <v>4090000</v>
      </c>
      <c r="J31" s="14">
        <v>2940000</v>
      </c>
      <c r="L31" s="13">
        <v>90700000</v>
      </c>
      <c r="M31" s="14">
        <v>93960000</v>
      </c>
      <c r="N31" s="14">
        <v>98160000</v>
      </c>
      <c r="O31" s="14">
        <v>105840000</v>
      </c>
    </row>
    <row r="32" spans="1:15" x14ac:dyDescent="0.2">
      <c r="A32" s="26">
        <v>29</v>
      </c>
      <c r="B32" s="13" t="s">
        <v>50</v>
      </c>
      <c r="C32" s="14" t="s">
        <v>58</v>
      </c>
      <c r="D32" s="14" t="s">
        <v>69</v>
      </c>
      <c r="E32" s="15" t="s">
        <v>70</v>
      </c>
      <c r="F32" s="11"/>
      <c r="G32" s="16">
        <v>75150000</v>
      </c>
      <c r="H32" s="14">
        <v>6490000</v>
      </c>
      <c r="I32" s="14">
        <v>3380000</v>
      </c>
      <c r="J32" s="14">
        <v>2450000</v>
      </c>
      <c r="L32" s="13">
        <v>75150000</v>
      </c>
      <c r="M32" s="14">
        <v>77880000</v>
      </c>
      <c r="N32" s="14">
        <v>81120000</v>
      </c>
      <c r="O32" s="14">
        <v>88200000</v>
      </c>
    </row>
    <row r="33" spans="1:15" x14ac:dyDescent="0.2">
      <c r="A33" s="26">
        <v>30</v>
      </c>
      <c r="B33" s="13" t="s">
        <v>50</v>
      </c>
      <c r="C33" s="14" t="s">
        <v>58</v>
      </c>
      <c r="D33" s="14" t="s">
        <v>71</v>
      </c>
      <c r="E33" s="15" t="s">
        <v>72</v>
      </c>
      <c r="F33" s="11"/>
      <c r="G33" s="16">
        <v>42900000</v>
      </c>
      <c r="H33" s="14">
        <v>3710000</v>
      </c>
      <c r="I33" s="14">
        <v>1950000</v>
      </c>
      <c r="J33" s="14">
        <v>1400000</v>
      </c>
      <c r="L33" s="13">
        <v>42900000</v>
      </c>
      <c r="M33" s="14">
        <v>44520000</v>
      </c>
      <c r="N33" s="14">
        <v>46800000</v>
      </c>
      <c r="O33" s="14">
        <v>50400000</v>
      </c>
    </row>
    <row r="34" spans="1:15" x14ac:dyDescent="0.2">
      <c r="A34" s="26">
        <v>31</v>
      </c>
      <c r="B34" s="13" t="s">
        <v>50</v>
      </c>
      <c r="C34" s="14" t="s">
        <v>58</v>
      </c>
      <c r="D34" s="14" t="s">
        <v>73</v>
      </c>
      <c r="E34" s="15" t="s">
        <v>74</v>
      </c>
      <c r="F34" s="11"/>
      <c r="G34" s="16">
        <v>31720000</v>
      </c>
      <c r="H34" s="14">
        <v>2740000</v>
      </c>
      <c r="I34" s="14">
        <v>1440000</v>
      </c>
      <c r="J34" s="14">
        <v>1050000</v>
      </c>
      <c r="L34" s="13">
        <v>31720000</v>
      </c>
      <c r="M34" s="14">
        <v>32880000</v>
      </c>
      <c r="N34" s="14">
        <v>34560000</v>
      </c>
      <c r="O34" s="14">
        <v>37800000</v>
      </c>
    </row>
    <row r="35" spans="1:15" x14ac:dyDescent="0.2">
      <c r="A35" s="26">
        <v>32</v>
      </c>
      <c r="B35" s="13" t="s">
        <v>50</v>
      </c>
      <c r="C35" s="14" t="s">
        <v>58</v>
      </c>
      <c r="D35" s="14" t="s">
        <v>75</v>
      </c>
      <c r="E35" s="15" t="s">
        <v>76</v>
      </c>
      <c r="F35" s="11"/>
      <c r="G35" s="16">
        <v>59900000</v>
      </c>
      <c r="H35" s="14">
        <v>5170000</v>
      </c>
      <c r="I35" s="14">
        <v>2700000</v>
      </c>
      <c r="J35" s="14">
        <v>1970000</v>
      </c>
      <c r="L35" s="13">
        <v>59900000</v>
      </c>
      <c r="M35" s="14">
        <v>62040000</v>
      </c>
      <c r="N35" s="14">
        <v>64800000</v>
      </c>
      <c r="O35" s="14">
        <v>70920000</v>
      </c>
    </row>
    <row r="36" spans="1:15" x14ac:dyDescent="0.2">
      <c r="A36" s="26">
        <v>33</v>
      </c>
      <c r="B36" s="13" t="s">
        <v>50</v>
      </c>
      <c r="C36" s="14" t="s">
        <v>58</v>
      </c>
      <c r="D36" s="14" t="s">
        <v>77</v>
      </c>
      <c r="E36" s="15" t="s">
        <v>78</v>
      </c>
      <c r="F36" s="11"/>
      <c r="G36" s="16">
        <v>32690000</v>
      </c>
      <c r="H36" s="14">
        <v>2830000</v>
      </c>
      <c r="I36" s="14">
        <v>1480000</v>
      </c>
      <c r="J36" s="14">
        <v>1080000</v>
      </c>
      <c r="L36" s="13">
        <v>32690000</v>
      </c>
      <c r="M36" s="14">
        <v>33960000</v>
      </c>
      <c r="N36" s="14">
        <v>35520000</v>
      </c>
      <c r="O36" s="14">
        <v>38880000</v>
      </c>
    </row>
    <row r="37" spans="1:15" x14ac:dyDescent="0.2">
      <c r="A37" s="26">
        <v>34</v>
      </c>
      <c r="B37" s="13" t="s">
        <v>50</v>
      </c>
      <c r="C37" s="14" t="s">
        <v>58</v>
      </c>
      <c r="D37" s="14" t="s">
        <v>79</v>
      </c>
      <c r="E37" s="15" t="s">
        <v>80</v>
      </c>
      <c r="F37" s="11"/>
      <c r="G37" s="16">
        <v>24570000</v>
      </c>
      <c r="H37" s="14">
        <v>2120000</v>
      </c>
      <c r="I37" s="14">
        <v>1120000</v>
      </c>
      <c r="J37" s="14">
        <v>810000</v>
      </c>
      <c r="L37" s="13">
        <v>24570000</v>
      </c>
      <c r="M37" s="14">
        <v>25440000</v>
      </c>
      <c r="N37" s="14">
        <v>26880000</v>
      </c>
      <c r="O37" s="14">
        <v>29160000</v>
      </c>
    </row>
    <row r="38" spans="1:15" x14ac:dyDescent="0.2">
      <c r="A38" s="26">
        <v>35</v>
      </c>
      <c r="B38" s="13" t="s">
        <v>50</v>
      </c>
      <c r="C38" s="14" t="s">
        <v>81</v>
      </c>
      <c r="D38" s="14" t="s">
        <v>82</v>
      </c>
      <c r="E38" s="15" t="s">
        <v>83</v>
      </c>
      <c r="F38" s="11"/>
      <c r="G38" s="16">
        <v>90800000</v>
      </c>
      <c r="H38" s="14">
        <v>7840000</v>
      </c>
      <c r="I38" s="14">
        <v>4100000</v>
      </c>
      <c r="J38" s="14">
        <v>2950000</v>
      </c>
      <c r="L38" s="13">
        <v>90800000</v>
      </c>
      <c r="M38" s="14">
        <v>94080000</v>
      </c>
      <c r="N38" s="14">
        <v>98400000</v>
      </c>
      <c r="O38" s="14">
        <v>106200000</v>
      </c>
    </row>
    <row r="39" spans="1:15" x14ac:dyDescent="0.2">
      <c r="A39" s="26">
        <v>36</v>
      </c>
      <c r="B39" s="13" t="s">
        <v>50</v>
      </c>
      <c r="C39" s="14" t="s">
        <v>81</v>
      </c>
      <c r="D39" s="14" t="s">
        <v>84</v>
      </c>
      <c r="E39" s="15" t="s">
        <v>85</v>
      </c>
      <c r="F39" s="11"/>
      <c r="G39" s="16">
        <v>44900000</v>
      </c>
      <c r="H39" s="14">
        <v>3880000</v>
      </c>
      <c r="I39" s="14">
        <v>2030000</v>
      </c>
      <c r="J39" s="14">
        <v>1460000</v>
      </c>
      <c r="L39" s="13">
        <v>44900000</v>
      </c>
      <c r="M39" s="14">
        <v>46560000</v>
      </c>
      <c r="N39" s="14">
        <v>48720000</v>
      </c>
      <c r="O39" s="14">
        <v>52560000</v>
      </c>
    </row>
    <row r="40" spans="1:15" x14ac:dyDescent="0.2">
      <c r="A40" s="26">
        <v>37</v>
      </c>
      <c r="B40" s="13" t="s">
        <v>50</v>
      </c>
      <c r="C40" s="14" t="s">
        <v>81</v>
      </c>
      <c r="D40" s="14" t="s">
        <v>86</v>
      </c>
      <c r="E40" s="15" t="s">
        <v>87</v>
      </c>
      <c r="F40" s="11"/>
      <c r="G40" s="16">
        <v>30540000</v>
      </c>
      <c r="H40" s="14">
        <v>2640000</v>
      </c>
      <c r="I40" s="14">
        <v>1380000</v>
      </c>
      <c r="J40" s="14">
        <v>1000000</v>
      </c>
      <c r="L40" s="13">
        <v>30540000</v>
      </c>
      <c r="M40" s="14">
        <v>31680000</v>
      </c>
      <c r="N40" s="14">
        <v>33120000</v>
      </c>
      <c r="O40" s="14">
        <v>36000000</v>
      </c>
    </row>
    <row r="41" spans="1:15" x14ac:dyDescent="0.2">
      <c r="A41" s="26">
        <v>38</v>
      </c>
      <c r="B41" s="13" t="s">
        <v>50</v>
      </c>
      <c r="C41" s="14" t="s">
        <v>81</v>
      </c>
      <c r="D41" s="14" t="s">
        <v>88</v>
      </c>
      <c r="E41" s="15" t="s">
        <v>89</v>
      </c>
      <c r="F41" s="11"/>
      <c r="G41" s="16">
        <v>23480000</v>
      </c>
      <c r="H41" s="14">
        <v>2030000</v>
      </c>
      <c r="I41" s="14">
        <v>1070000</v>
      </c>
      <c r="J41" s="14">
        <v>780000</v>
      </c>
      <c r="L41" s="13">
        <v>23480000</v>
      </c>
      <c r="M41" s="14">
        <v>24360000</v>
      </c>
      <c r="N41" s="14">
        <v>25680000</v>
      </c>
      <c r="O41" s="14">
        <v>28080000</v>
      </c>
    </row>
    <row r="42" spans="1:15" x14ac:dyDescent="0.2">
      <c r="A42" s="26">
        <v>39</v>
      </c>
      <c r="B42" s="13" t="s">
        <v>50</v>
      </c>
      <c r="C42" s="14" t="s">
        <v>81</v>
      </c>
      <c r="D42" s="14" t="s">
        <v>90</v>
      </c>
      <c r="E42" s="15" t="s">
        <v>91</v>
      </c>
      <c r="F42" s="11"/>
      <c r="G42" s="16">
        <v>17420000</v>
      </c>
      <c r="H42" s="14">
        <v>1510000</v>
      </c>
      <c r="I42" s="14">
        <v>800000</v>
      </c>
      <c r="J42" s="14">
        <v>580000</v>
      </c>
      <c r="L42" s="13">
        <v>17420000</v>
      </c>
      <c r="M42" s="14">
        <v>18120000</v>
      </c>
      <c r="N42" s="14">
        <v>19200000</v>
      </c>
      <c r="O42" s="14">
        <v>20880000</v>
      </c>
    </row>
    <row r="43" spans="1:15" x14ac:dyDescent="0.2">
      <c r="A43" s="26">
        <v>40</v>
      </c>
      <c r="B43" s="13" t="s">
        <v>50</v>
      </c>
      <c r="C43" s="14" t="s">
        <v>81</v>
      </c>
      <c r="D43" s="14" t="s">
        <v>92</v>
      </c>
      <c r="E43" s="15" t="s">
        <v>93</v>
      </c>
      <c r="F43" s="11"/>
      <c r="G43" s="16">
        <v>31720000</v>
      </c>
      <c r="H43" s="14">
        <v>2740000</v>
      </c>
      <c r="I43" s="14">
        <v>1440000</v>
      </c>
      <c r="J43" s="14">
        <v>1050000</v>
      </c>
      <c r="L43" s="13">
        <v>31720000</v>
      </c>
      <c r="M43" s="14">
        <v>32880000</v>
      </c>
      <c r="N43" s="14">
        <v>34560000</v>
      </c>
      <c r="O43" s="14">
        <v>37800000</v>
      </c>
    </row>
    <row r="44" spans="1:15" x14ac:dyDescent="0.2">
      <c r="A44" s="26">
        <v>41</v>
      </c>
      <c r="B44" s="13" t="s">
        <v>50</v>
      </c>
      <c r="C44" s="14" t="s">
        <v>81</v>
      </c>
      <c r="D44" s="14" t="s">
        <v>94</v>
      </c>
      <c r="E44" s="15" t="s">
        <v>95</v>
      </c>
      <c r="F44" s="11"/>
      <c r="G44" s="16">
        <v>22480000</v>
      </c>
      <c r="H44" s="14">
        <v>1940000</v>
      </c>
      <c r="I44" s="14">
        <v>1020000</v>
      </c>
      <c r="J44" s="14">
        <v>750000</v>
      </c>
      <c r="L44" s="13">
        <v>22480000</v>
      </c>
      <c r="M44" s="14">
        <v>23280000</v>
      </c>
      <c r="N44" s="14">
        <v>24480000</v>
      </c>
      <c r="O44" s="14">
        <v>27000000</v>
      </c>
    </row>
    <row r="45" spans="1:15" x14ac:dyDescent="0.2">
      <c r="A45" s="26">
        <v>42</v>
      </c>
      <c r="B45" s="13" t="s">
        <v>50</v>
      </c>
      <c r="C45" s="14" t="s">
        <v>81</v>
      </c>
      <c r="D45" s="14" t="s">
        <v>96</v>
      </c>
      <c r="E45" s="15" t="s">
        <v>97</v>
      </c>
      <c r="F45" s="11"/>
      <c r="G45" s="16">
        <v>17420000</v>
      </c>
      <c r="H45" s="14">
        <v>1510000</v>
      </c>
      <c r="I45" s="14">
        <v>800000</v>
      </c>
      <c r="J45" s="14">
        <v>600000</v>
      </c>
      <c r="L45" s="13">
        <v>17420000</v>
      </c>
      <c r="M45" s="14">
        <v>18120000</v>
      </c>
      <c r="N45" s="14">
        <v>19200000</v>
      </c>
      <c r="O45" s="14">
        <v>21600000</v>
      </c>
    </row>
    <row r="46" spans="1:15" x14ac:dyDescent="0.2">
      <c r="A46" s="26">
        <v>43</v>
      </c>
      <c r="B46" s="13" t="s">
        <v>50</v>
      </c>
      <c r="C46" s="14" t="s">
        <v>81</v>
      </c>
      <c r="D46" s="14" t="s">
        <v>98</v>
      </c>
      <c r="E46" s="15" t="s">
        <v>99</v>
      </c>
      <c r="F46" s="11"/>
      <c r="G46" s="16">
        <v>13860000</v>
      </c>
      <c r="H46" s="14">
        <v>1200000</v>
      </c>
      <c r="I46" s="14">
        <v>640000</v>
      </c>
      <c r="J46" s="14">
        <v>470000</v>
      </c>
      <c r="L46" s="13">
        <v>13860000</v>
      </c>
      <c r="M46" s="14">
        <v>14400000</v>
      </c>
      <c r="N46" s="14">
        <v>15360000</v>
      </c>
      <c r="O46" s="14">
        <v>16920000</v>
      </c>
    </row>
    <row r="47" spans="1:15" x14ac:dyDescent="0.2">
      <c r="A47" s="26">
        <v>44</v>
      </c>
      <c r="B47" s="13" t="s">
        <v>50</v>
      </c>
      <c r="C47" s="14" t="s">
        <v>81</v>
      </c>
      <c r="D47" s="14" t="s">
        <v>100</v>
      </c>
      <c r="E47" s="15" t="s">
        <v>101</v>
      </c>
      <c r="F47" s="11"/>
      <c r="G47" s="16">
        <v>14860000</v>
      </c>
      <c r="H47" s="14">
        <v>1290000</v>
      </c>
      <c r="I47" s="14">
        <v>680000</v>
      </c>
      <c r="J47" s="14">
        <v>500000</v>
      </c>
      <c r="L47" s="13">
        <v>14860000</v>
      </c>
      <c r="M47" s="14">
        <v>15480000</v>
      </c>
      <c r="N47" s="14">
        <v>16320000</v>
      </c>
      <c r="O47" s="14">
        <v>18000000</v>
      </c>
    </row>
    <row r="48" spans="1:15" x14ac:dyDescent="0.2">
      <c r="A48" s="26">
        <v>45</v>
      </c>
      <c r="B48" s="13" t="s">
        <v>50</v>
      </c>
      <c r="C48" s="14" t="s">
        <v>81</v>
      </c>
      <c r="D48" s="14" t="s">
        <v>102</v>
      </c>
      <c r="E48" s="15" t="s">
        <v>103</v>
      </c>
      <c r="F48" s="11"/>
      <c r="G48" s="16">
        <v>12360000</v>
      </c>
      <c r="H48" s="14">
        <v>1070000</v>
      </c>
      <c r="I48" s="14">
        <v>570000</v>
      </c>
      <c r="J48" s="14">
        <v>420000</v>
      </c>
      <c r="L48" s="13">
        <v>12360000</v>
      </c>
      <c r="M48" s="14">
        <v>12840000</v>
      </c>
      <c r="N48" s="14">
        <v>13680000</v>
      </c>
      <c r="O48" s="14">
        <v>15120000</v>
      </c>
    </row>
    <row r="49" spans="1:15" x14ac:dyDescent="0.2">
      <c r="A49" s="26">
        <v>46</v>
      </c>
      <c r="B49" s="13" t="s">
        <v>50</v>
      </c>
      <c r="C49" s="14" t="s">
        <v>104</v>
      </c>
      <c r="D49" s="14" t="s">
        <v>105</v>
      </c>
      <c r="E49" s="15" t="s">
        <v>106</v>
      </c>
      <c r="F49" s="11"/>
      <c r="G49" s="16">
        <v>40900000</v>
      </c>
      <c r="H49" s="14">
        <v>3530000</v>
      </c>
      <c r="I49" s="14">
        <v>1860000</v>
      </c>
      <c r="J49" s="14">
        <v>1340000</v>
      </c>
      <c r="L49" s="13">
        <v>40900000</v>
      </c>
      <c r="M49" s="14">
        <v>42360000</v>
      </c>
      <c r="N49" s="14">
        <v>44640000</v>
      </c>
      <c r="O49" s="14">
        <v>48240000</v>
      </c>
    </row>
    <row r="50" spans="1:15" x14ac:dyDescent="0.2">
      <c r="A50" s="26">
        <v>47</v>
      </c>
      <c r="B50" s="13" t="s">
        <v>50</v>
      </c>
      <c r="C50" s="14" t="s">
        <v>104</v>
      </c>
      <c r="D50" s="14" t="s">
        <v>107</v>
      </c>
      <c r="E50" s="15" t="s">
        <v>108</v>
      </c>
      <c r="F50" s="11"/>
      <c r="G50" s="16">
        <v>27540000</v>
      </c>
      <c r="H50" s="14">
        <v>2380000</v>
      </c>
      <c r="I50" s="14">
        <v>1250000</v>
      </c>
      <c r="J50" s="14">
        <v>910000</v>
      </c>
      <c r="L50" s="13">
        <v>27540000</v>
      </c>
      <c r="M50" s="14">
        <v>28560000</v>
      </c>
      <c r="N50" s="14">
        <v>30000000</v>
      </c>
      <c r="O50" s="14">
        <v>32760000</v>
      </c>
    </row>
    <row r="51" spans="1:15" x14ac:dyDescent="0.2">
      <c r="A51" s="26">
        <v>48</v>
      </c>
      <c r="B51" s="13" t="s">
        <v>50</v>
      </c>
      <c r="C51" s="14" t="s">
        <v>104</v>
      </c>
      <c r="D51" s="14" t="s">
        <v>109</v>
      </c>
      <c r="E51" s="15" t="s">
        <v>110</v>
      </c>
      <c r="F51" s="11"/>
      <c r="G51" s="16">
        <v>19420000</v>
      </c>
      <c r="H51" s="14">
        <v>1680000</v>
      </c>
      <c r="I51" s="14">
        <v>890000</v>
      </c>
      <c r="J51" s="14">
        <v>660000</v>
      </c>
      <c r="L51" s="13">
        <v>19420000</v>
      </c>
      <c r="M51" s="14">
        <v>20160000</v>
      </c>
      <c r="N51" s="14">
        <v>21360000</v>
      </c>
      <c r="O51" s="14">
        <v>23760000</v>
      </c>
    </row>
    <row r="52" spans="1:15" x14ac:dyDescent="0.2">
      <c r="A52" s="26">
        <v>49</v>
      </c>
      <c r="B52" s="13" t="s">
        <v>50</v>
      </c>
      <c r="C52" s="14" t="s">
        <v>104</v>
      </c>
      <c r="D52" s="14" t="s">
        <v>111</v>
      </c>
      <c r="E52" s="15" t="s">
        <v>112</v>
      </c>
      <c r="F52" s="11"/>
      <c r="G52" s="16">
        <v>14360000</v>
      </c>
      <c r="H52" s="14">
        <v>1240000</v>
      </c>
      <c r="I52" s="14">
        <v>660000</v>
      </c>
      <c r="J52" s="14">
        <v>490000</v>
      </c>
      <c r="L52" s="13">
        <v>14360000</v>
      </c>
      <c r="M52" s="14">
        <v>14880000</v>
      </c>
      <c r="N52" s="14">
        <v>15840000</v>
      </c>
      <c r="O52" s="14">
        <v>17640000</v>
      </c>
    </row>
    <row r="53" spans="1:15" x14ac:dyDescent="0.2">
      <c r="A53" s="26">
        <v>50</v>
      </c>
      <c r="B53" s="13" t="s">
        <v>50</v>
      </c>
      <c r="C53" s="14" t="s">
        <v>104</v>
      </c>
      <c r="D53" s="14" t="s">
        <v>113</v>
      </c>
      <c r="E53" s="15" t="s">
        <v>114</v>
      </c>
      <c r="F53" s="11"/>
      <c r="G53" s="16">
        <v>12360000</v>
      </c>
      <c r="H53" s="14">
        <v>1070000</v>
      </c>
      <c r="I53" s="14">
        <v>570000</v>
      </c>
      <c r="J53" s="14">
        <v>420000</v>
      </c>
      <c r="L53" s="13">
        <v>12360000</v>
      </c>
      <c r="M53" s="14">
        <v>12840000</v>
      </c>
      <c r="N53" s="14">
        <v>13680000</v>
      </c>
      <c r="O53" s="14">
        <v>15120000</v>
      </c>
    </row>
    <row r="54" spans="1:15" x14ac:dyDescent="0.2">
      <c r="A54" s="26">
        <v>51</v>
      </c>
      <c r="B54" s="13" t="s">
        <v>50</v>
      </c>
      <c r="C54" s="14" t="s">
        <v>104</v>
      </c>
      <c r="D54" s="14" t="s">
        <v>115</v>
      </c>
      <c r="E54" s="15" t="s">
        <v>116</v>
      </c>
      <c r="F54" s="11"/>
      <c r="G54" s="16">
        <v>10860000</v>
      </c>
      <c r="H54" s="14">
        <v>940000</v>
      </c>
      <c r="I54" s="14">
        <v>500000</v>
      </c>
      <c r="J54" s="14">
        <v>380000</v>
      </c>
      <c r="L54" s="13">
        <v>10860000</v>
      </c>
      <c r="M54" s="14">
        <v>11280000</v>
      </c>
      <c r="N54" s="14">
        <v>12000000</v>
      </c>
      <c r="O54" s="14">
        <v>13680000</v>
      </c>
    </row>
    <row r="55" spans="1:15" x14ac:dyDescent="0.2">
      <c r="A55" s="26">
        <v>52</v>
      </c>
      <c r="B55" s="13" t="s">
        <v>50</v>
      </c>
      <c r="C55" s="14" t="s">
        <v>104</v>
      </c>
      <c r="D55" s="14" t="s">
        <v>117</v>
      </c>
      <c r="E55" s="15" t="s">
        <v>118</v>
      </c>
      <c r="F55" s="11"/>
      <c r="G55" s="16">
        <v>9300000</v>
      </c>
      <c r="H55" s="14">
        <v>810000</v>
      </c>
      <c r="I55" s="14">
        <v>430000</v>
      </c>
      <c r="J55" s="14">
        <v>320000</v>
      </c>
      <c r="L55" s="13">
        <v>9300000</v>
      </c>
      <c r="M55" s="14">
        <v>9720000</v>
      </c>
      <c r="N55" s="14">
        <v>10320000</v>
      </c>
      <c r="O55" s="14">
        <v>11520000</v>
      </c>
    </row>
    <row r="56" spans="1:15" x14ac:dyDescent="0.2">
      <c r="A56" s="27">
        <v>53</v>
      </c>
      <c r="B56" s="41" t="s">
        <v>50</v>
      </c>
      <c r="C56" s="42" t="s">
        <v>181</v>
      </c>
      <c r="D56" s="42" t="s">
        <v>183</v>
      </c>
      <c r="E56" s="42" t="s">
        <v>182</v>
      </c>
      <c r="F56" s="43" t="s">
        <v>210</v>
      </c>
      <c r="G56" s="44">
        <v>20439000</v>
      </c>
      <c r="H56" s="42">
        <v>1770000</v>
      </c>
      <c r="I56" s="42">
        <v>930000</v>
      </c>
      <c r="J56" s="42">
        <v>690000</v>
      </c>
      <c r="K56" s="33"/>
      <c r="L56" s="41">
        <v>20439000</v>
      </c>
      <c r="M56" s="42">
        <v>21240000</v>
      </c>
      <c r="N56" s="42">
        <v>22320000</v>
      </c>
      <c r="O56" s="42">
        <v>24840000</v>
      </c>
    </row>
    <row r="57" spans="1:15" ht="12.5" customHeight="1" x14ac:dyDescent="0.2">
      <c r="A57" s="26">
        <v>54</v>
      </c>
      <c r="B57" s="13" t="s">
        <v>119</v>
      </c>
      <c r="C57" s="14" t="s">
        <v>120</v>
      </c>
      <c r="D57" s="14" t="s">
        <v>121</v>
      </c>
      <c r="E57" s="15" t="s">
        <v>122</v>
      </c>
      <c r="F57" s="11"/>
      <c r="G57" s="16">
        <v>20917000</v>
      </c>
      <c r="H57" s="14">
        <v>1810000</v>
      </c>
      <c r="I57" s="14">
        <v>1030000</v>
      </c>
      <c r="J57" s="14">
        <v>790000</v>
      </c>
      <c r="L57" s="13">
        <v>20917000</v>
      </c>
      <c r="M57" s="14">
        <v>21720000</v>
      </c>
      <c r="N57" s="14">
        <v>24720000</v>
      </c>
      <c r="O57" s="14">
        <v>28440000</v>
      </c>
    </row>
    <row r="58" spans="1:15" x14ac:dyDescent="0.2">
      <c r="A58" s="26">
        <v>55</v>
      </c>
      <c r="B58" s="13" t="s">
        <v>119</v>
      </c>
      <c r="C58" s="14" t="s">
        <v>120</v>
      </c>
      <c r="D58" s="14" t="s">
        <v>123</v>
      </c>
      <c r="E58" s="15" t="s">
        <v>124</v>
      </c>
      <c r="F58" s="11"/>
      <c r="G58" s="16">
        <v>15293000</v>
      </c>
      <c r="H58" s="14">
        <v>1320000</v>
      </c>
      <c r="I58" s="14">
        <v>740000</v>
      </c>
      <c r="J58" s="14">
        <v>570000</v>
      </c>
      <c r="L58" s="13">
        <v>15293000</v>
      </c>
      <c r="M58" s="14">
        <v>15840000</v>
      </c>
      <c r="N58" s="14">
        <v>17760000</v>
      </c>
      <c r="O58" s="14">
        <v>20520000</v>
      </c>
    </row>
    <row r="59" spans="1:15" x14ac:dyDescent="0.2">
      <c r="A59" s="26">
        <v>56</v>
      </c>
      <c r="B59" s="13" t="s">
        <v>119</v>
      </c>
      <c r="C59" s="14" t="s">
        <v>120</v>
      </c>
      <c r="D59" s="14" t="s">
        <v>125</v>
      </c>
      <c r="E59" s="15" t="s">
        <v>126</v>
      </c>
      <c r="F59" s="11"/>
      <c r="G59" s="16">
        <v>10327500</v>
      </c>
      <c r="H59" s="14">
        <v>900000</v>
      </c>
      <c r="I59" s="14">
        <v>520000</v>
      </c>
      <c r="J59" s="14">
        <v>410000</v>
      </c>
      <c r="L59" s="13">
        <v>10327500</v>
      </c>
      <c r="M59" s="14">
        <v>10800000</v>
      </c>
      <c r="N59" s="14">
        <v>12480000</v>
      </c>
      <c r="O59" s="14">
        <v>14760000</v>
      </c>
    </row>
    <row r="60" spans="1:15" x14ac:dyDescent="0.2">
      <c r="A60" s="26">
        <v>57</v>
      </c>
      <c r="B60" s="13" t="s">
        <v>119</v>
      </c>
      <c r="C60" s="14" t="s">
        <v>120</v>
      </c>
      <c r="D60" s="14" t="s">
        <v>127</v>
      </c>
      <c r="E60" s="15" t="s">
        <v>128</v>
      </c>
      <c r="F60" s="11"/>
      <c r="G60" s="16">
        <v>10327500</v>
      </c>
      <c r="H60" s="14">
        <v>900000</v>
      </c>
      <c r="I60" s="14">
        <v>520000</v>
      </c>
      <c r="J60" s="14">
        <v>410000</v>
      </c>
      <c r="L60" s="13">
        <v>10327500</v>
      </c>
      <c r="M60" s="14">
        <v>10800000</v>
      </c>
      <c r="N60" s="14">
        <v>12480000</v>
      </c>
      <c r="O60" s="14">
        <v>14760000</v>
      </c>
    </row>
    <row r="61" spans="1:15" x14ac:dyDescent="0.2">
      <c r="A61" s="26">
        <v>58</v>
      </c>
      <c r="B61" s="13" t="s">
        <v>119</v>
      </c>
      <c r="C61" s="14" t="s">
        <v>120</v>
      </c>
      <c r="D61" s="14" t="s">
        <v>129</v>
      </c>
      <c r="E61" s="15" t="s">
        <v>130</v>
      </c>
      <c r="F61" s="11"/>
      <c r="G61" s="16">
        <v>12410000</v>
      </c>
      <c r="H61" s="14">
        <v>1080000</v>
      </c>
      <c r="I61" s="14">
        <v>610000</v>
      </c>
      <c r="J61" s="14">
        <v>480000</v>
      </c>
      <c r="L61" s="13">
        <v>12410000</v>
      </c>
      <c r="M61" s="14">
        <v>12960000</v>
      </c>
      <c r="N61" s="14">
        <v>14640000</v>
      </c>
      <c r="O61" s="14">
        <v>17280000</v>
      </c>
    </row>
    <row r="62" spans="1:15" x14ac:dyDescent="0.2">
      <c r="A62" s="26">
        <v>59</v>
      </c>
      <c r="B62" s="13" t="s">
        <v>119</v>
      </c>
      <c r="C62" s="14" t="s">
        <v>120</v>
      </c>
      <c r="D62" s="14" t="s">
        <v>131</v>
      </c>
      <c r="E62" s="15" t="s">
        <v>132</v>
      </c>
      <c r="F62" s="11"/>
      <c r="G62" s="16">
        <v>10755000</v>
      </c>
      <c r="H62" s="14">
        <v>930000</v>
      </c>
      <c r="I62" s="14">
        <v>540000</v>
      </c>
      <c r="J62" s="14">
        <v>420000</v>
      </c>
      <c r="L62" s="13">
        <v>10755000</v>
      </c>
      <c r="M62" s="14">
        <v>11160000</v>
      </c>
      <c r="N62" s="14">
        <v>12960000</v>
      </c>
      <c r="O62" s="14">
        <v>15120000</v>
      </c>
    </row>
    <row r="63" spans="1:15" x14ac:dyDescent="0.2">
      <c r="A63" s="26">
        <v>60</v>
      </c>
      <c r="B63" s="13" t="s">
        <v>119</v>
      </c>
      <c r="C63" s="14" t="s">
        <v>120</v>
      </c>
      <c r="D63" s="14" t="s">
        <v>133</v>
      </c>
      <c r="E63" s="15" t="s">
        <v>134</v>
      </c>
      <c r="F63" s="11"/>
      <c r="G63" s="16">
        <v>4313000</v>
      </c>
      <c r="H63" s="14">
        <v>380000</v>
      </c>
      <c r="I63" s="14">
        <v>240000</v>
      </c>
      <c r="J63" s="14">
        <v>200000</v>
      </c>
      <c r="L63" s="13">
        <v>4313000</v>
      </c>
      <c r="M63" s="14">
        <v>4560000</v>
      </c>
      <c r="N63" s="14">
        <v>5760000</v>
      </c>
      <c r="O63" s="14">
        <v>7200000</v>
      </c>
    </row>
    <row r="64" spans="1:15" x14ac:dyDescent="0.2">
      <c r="A64" s="26">
        <v>61</v>
      </c>
      <c r="B64" s="13" t="s">
        <v>119</v>
      </c>
      <c r="C64" s="14" t="s">
        <v>120</v>
      </c>
      <c r="D64" s="14" t="s">
        <v>135</v>
      </c>
      <c r="E64" s="15" t="s">
        <v>136</v>
      </c>
      <c r="F64" s="11"/>
      <c r="G64" s="16">
        <v>4313000</v>
      </c>
      <c r="H64" s="14">
        <v>380000</v>
      </c>
      <c r="I64" s="14">
        <v>240000</v>
      </c>
      <c r="J64" s="14">
        <v>200000</v>
      </c>
      <c r="L64" s="13">
        <v>4313000</v>
      </c>
      <c r="M64" s="14">
        <v>4560000</v>
      </c>
      <c r="N64" s="14">
        <v>5760000</v>
      </c>
      <c r="O64" s="14">
        <v>7200000</v>
      </c>
    </row>
    <row r="65" spans="1:16" x14ac:dyDescent="0.2">
      <c r="A65" s="26">
        <v>62</v>
      </c>
      <c r="B65" s="13" t="s">
        <v>137</v>
      </c>
      <c r="C65" s="14" t="s">
        <v>138</v>
      </c>
      <c r="D65" s="14" t="s">
        <v>139</v>
      </c>
      <c r="E65" s="15" t="s">
        <v>140</v>
      </c>
      <c r="F65" s="11"/>
      <c r="G65" s="16">
        <v>10984100</v>
      </c>
      <c r="H65" s="14">
        <v>950000</v>
      </c>
      <c r="I65" s="14">
        <v>510000</v>
      </c>
      <c r="J65" s="14">
        <v>380000</v>
      </c>
      <c r="L65" s="13">
        <v>10984100</v>
      </c>
      <c r="M65" s="14">
        <v>11400000</v>
      </c>
      <c r="N65" s="14">
        <v>12240000</v>
      </c>
      <c r="O65" s="14">
        <v>13680000</v>
      </c>
    </row>
    <row r="66" spans="1:16" x14ac:dyDescent="0.2">
      <c r="A66" s="26">
        <v>63</v>
      </c>
      <c r="B66" s="13" t="s">
        <v>137</v>
      </c>
      <c r="C66" s="14" t="s">
        <v>138</v>
      </c>
      <c r="D66" s="14" t="s">
        <v>141</v>
      </c>
      <c r="E66" s="15" t="s">
        <v>142</v>
      </c>
      <c r="F66" s="11"/>
      <c r="G66" s="16">
        <v>12568100</v>
      </c>
      <c r="H66" s="14">
        <v>1090000</v>
      </c>
      <c r="I66" s="14">
        <v>580000</v>
      </c>
      <c r="J66" s="14">
        <v>420000</v>
      </c>
      <c r="L66" s="13">
        <v>12568100</v>
      </c>
      <c r="M66" s="14">
        <v>13080000</v>
      </c>
      <c r="N66" s="14">
        <v>13920000</v>
      </c>
      <c r="O66" s="14">
        <v>15120000</v>
      </c>
    </row>
    <row r="67" spans="1:16" x14ac:dyDescent="0.2">
      <c r="A67" s="26">
        <v>64</v>
      </c>
      <c r="B67" s="13" t="s">
        <v>137</v>
      </c>
      <c r="C67" s="14" t="s">
        <v>138</v>
      </c>
      <c r="D67" s="14" t="s">
        <v>143</v>
      </c>
      <c r="E67" s="15" t="s">
        <v>144</v>
      </c>
      <c r="F67" s="11"/>
      <c r="G67" s="16">
        <v>20702100</v>
      </c>
      <c r="H67" s="14">
        <v>1790000</v>
      </c>
      <c r="I67" s="14">
        <v>950000</v>
      </c>
      <c r="J67" s="14">
        <v>690000</v>
      </c>
      <c r="L67" s="13">
        <v>20702100</v>
      </c>
      <c r="M67" s="14">
        <v>21480000</v>
      </c>
      <c r="N67" s="14">
        <v>22800000</v>
      </c>
      <c r="O67" s="14">
        <v>24840000</v>
      </c>
    </row>
    <row r="68" spans="1:16" x14ac:dyDescent="0.2">
      <c r="A68" s="26">
        <v>65</v>
      </c>
      <c r="B68" s="13" t="s">
        <v>137</v>
      </c>
      <c r="C68" s="14" t="s">
        <v>138</v>
      </c>
      <c r="D68" s="14" t="s">
        <v>145</v>
      </c>
      <c r="E68" s="15" t="s">
        <v>146</v>
      </c>
      <c r="F68" s="11"/>
      <c r="G68" s="16">
        <v>13558100</v>
      </c>
      <c r="H68" s="14">
        <v>1170000</v>
      </c>
      <c r="I68" s="14">
        <v>630000</v>
      </c>
      <c r="J68" s="14">
        <v>450000</v>
      </c>
      <c r="L68" s="13">
        <v>13558100</v>
      </c>
      <c r="M68" s="14">
        <v>14040000</v>
      </c>
      <c r="N68" s="14">
        <v>15120000</v>
      </c>
      <c r="O68" s="14">
        <v>16200000</v>
      </c>
    </row>
    <row r="69" spans="1:16" x14ac:dyDescent="0.2">
      <c r="A69" s="26">
        <v>66</v>
      </c>
      <c r="B69" s="13" t="s">
        <v>137</v>
      </c>
      <c r="C69" s="14" t="s">
        <v>138</v>
      </c>
      <c r="D69" s="14" t="s">
        <v>147</v>
      </c>
      <c r="E69" s="15" t="s">
        <v>148</v>
      </c>
      <c r="F69" s="11"/>
      <c r="G69" s="16">
        <v>16489100</v>
      </c>
      <c r="H69" s="14">
        <v>1430000</v>
      </c>
      <c r="I69" s="14">
        <v>760000</v>
      </c>
      <c r="J69" s="14">
        <v>550000</v>
      </c>
      <c r="L69" s="13">
        <v>16489100</v>
      </c>
      <c r="M69" s="14">
        <v>17160000</v>
      </c>
      <c r="N69" s="14">
        <v>18240000</v>
      </c>
      <c r="O69" s="14">
        <v>19800000</v>
      </c>
    </row>
    <row r="70" spans="1:16" x14ac:dyDescent="0.2">
      <c r="A70" s="26">
        <v>67</v>
      </c>
      <c r="B70" s="13" t="s">
        <v>137</v>
      </c>
      <c r="C70" s="14" t="s">
        <v>138</v>
      </c>
      <c r="D70" s="14" t="s">
        <v>149</v>
      </c>
      <c r="E70" s="15" t="s">
        <v>150</v>
      </c>
      <c r="F70" s="11"/>
      <c r="G70" s="16">
        <v>26603100</v>
      </c>
      <c r="H70" s="14">
        <v>2300000</v>
      </c>
      <c r="I70" s="14">
        <v>1210000</v>
      </c>
      <c r="J70" s="14">
        <v>870000</v>
      </c>
      <c r="L70" s="13">
        <v>26603100</v>
      </c>
      <c r="M70" s="14">
        <v>27600000</v>
      </c>
      <c r="N70" s="14">
        <v>29040000</v>
      </c>
      <c r="O70" s="14">
        <v>31320000</v>
      </c>
    </row>
    <row r="71" spans="1:16" x14ac:dyDescent="0.2">
      <c r="A71" s="26">
        <v>68</v>
      </c>
      <c r="B71" s="13" t="s">
        <v>137</v>
      </c>
      <c r="C71" s="14" t="s">
        <v>138</v>
      </c>
      <c r="D71" s="14" t="s">
        <v>151</v>
      </c>
      <c r="E71" s="15" t="s">
        <v>152</v>
      </c>
      <c r="F71" s="11"/>
      <c r="G71" s="16">
        <v>34930100</v>
      </c>
      <c r="H71" s="14">
        <v>3020000</v>
      </c>
      <c r="I71" s="14">
        <v>1580000</v>
      </c>
      <c r="J71" s="14">
        <v>1130000</v>
      </c>
      <c r="L71" s="13">
        <v>34930100</v>
      </c>
      <c r="M71" s="14">
        <v>36240000</v>
      </c>
      <c r="N71" s="14">
        <v>37920000</v>
      </c>
      <c r="O71" s="14">
        <v>40680000</v>
      </c>
    </row>
    <row r="72" spans="1:16" x14ac:dyDescent="0.2">
      <c r="A72" s="26">
        <v>69</v>
      </c>
      <c r="B72" s="13" t="s">
        <v>119</v>
      </c>
      <c r="C72" s="14" t="s">
        <v>119</v>
      </c>
      <c r="D72" s="14" t="s">
        <v>153</v>
      </c>
      <c r="E72" s="15" t="s">
        <v>154</v>
      </c>
      <c r="F72" s="11"/>
      <c r="G72" s="16">
        <v>22468000</v>
      </c>
      <c r="H72" s="14">
        <v>1940000</v>
      </c>
      <c r="I72" s="14">
        <v>1100000</v>
      </c>
      <c r="J72" s="14">
        <v>840000</v>
      </c>
      <c r="L72" s="13">
        <v>22468000</v>
      </c>
      <c r="M72" s="14">
        <v>23280000</v>
      </c>
      <c r="N72" s="14">
        <v>26400000</v>
      </c>
      <c r="O72" s="14">
        <v>30240000</v>
      </c>
    </row>
    <row r="73" spans="1:16" x14ac:dyDescent="0.2">
      <c r="A73" s="26">
        <v>70</v>
      </c>
      <c r="B73" s="13" t="s">
        <v>119</v>
      </c>
      <c r="C73" s="14" t="s">
        <v>119</v>
      </c>
      <c r="D73" s="14" t="s">
        <v>155</v>
      </c>
      <c r="E73" s="15" t="s">
        <v>156</v>
      </c>
      <c r="F73" s="11"/>
      <c r="G73" s="16">
        <v>20913100</v>
      </c>
      <c r="H73" s="14">
        <v>1810000</v>
      </c>
      <c r="I73" s="14">
        <v>1030000</v>
      </c>
      <c r="J73" s="14">
        <v>790000</v>
      </c>
      <c r="L73" s="13">
        <v>20913100</v>
      </c>
      <c r="M73" s="14">
        <v>21720000</v>
      </c>
      <c r="N73" s="14">
        <v>24720000</v>
      </c>
      <c r="O73" s="14">
        <v>28440000</v>
      </c>
    </row>
    <row r="74" spans="1:16" x14ac:dyDescent="0.2">
      <c r="A74" s="26">
        <v>71</v>
      </c>
      <c r="B74" s="13" t="s">
        <v>119</v>
      </c>
      <c r="C74" s="14" t="s">
        <v>119</v>
      </c>
      <c r="D74" s="14" t="s">
        <v>157</v>
      </c>
      <c r="E74" s="15" t="s">
        <v>158</v>
      </c>
      <c r="F74" s="11"/>
      <c r="G74" s="16">
        <v>17854100</v>
      </c>
      <c r="H74" s="14">
        <v>1550000</v>
      </c>
      <c r="I74" s="14">
        <v>900000</v>
      </c>
      <c r="J74" s="14">
        <v>700000</v>
      </c>
      <c r="L74" s="13">
        <v>17854100</v>
      </c>
      <c r="M74" s="14">
        <v>18600000</v>
      </c>
      <c r="N74" s="14">
        <v>21600000</v>
      </c>
      <c r="O74" s="14">
        <v>25200000</v>
      </c>
    </row>
    <row r="75" spans="1:16" x14ac:dyDescent="0.2">
      <c r="A75" s="26">
        <v>72</v>
      </c>
      <c r="B75" s="13" t="s">
        <v>119</v>
      </c>
      <c r="C75" s="14" t="s">
        <v>119</v>
      </c>
      <c r="D75" s="14" t="s">
        <v>159</v>
      </c>
      <c r="E75" s="15" t="s">
        <v>160</v>
      </c>
      <c r="F75" s="11"/>
      <c r="G75" s="16">
        <v>6735100</v>
      </c>
      <c r="H75" s="14">
        <v>590000</v>
      </c>
      <c r="I75" s="14">
        <v>400000</v>
      </c>
      <c r="J75" s="14">
        <v>350000</v>
      </c>
      <c r="L75" s="13">
        <v>6735100</v>
      </c>
      <c r="M75" s="14">
        <v>7080000</v>
      </c>
      <c r="N75" s="14">
        <v>9600000</v>
      </c>
      <c r="O75" s="14">
        <v>12600000</v>
      </c>
    </row>
    <row r="76" spans="1:16" x14ac:dyDescent="0.2">
      <c r="A76" s="34">
        <v>73</v>
      </c>
      <c r="B76" s="45" t="s">
        <v>119</v>
      </c>
      <c r="C76" s="46" t="s">
        <v>119</v>
      </c>
      <c r="D76" s="46" t="s">
        <v>161</v>
      </c>
      <c r="E76" s="47" t="s">
        <v>162</v>
      </c>
      <c r="F76" s="48"/>
      <c r="G76" s="49">
        <v>12829500</v>
      </c>
      <c r="H76" s="46">
        <v>1110000</v>
      </c>
      <c r="I76" s="46">
        <v>590000</v>
      </c>
      <c r="J76" s="46">
        <v>430000</v>
      </c>
      <c r="K76" s="40"/>
      <c r="L76" s="45">
        <v>12829500</v>
      </c>
      <c r="M76" s="46">
        <v>13320000</v>
      </c>
      <c r="N76" s="46">
        <v>14160000</v>
      </c>
      <c r="O76" s="46">
        <v>15480000</v>
      </c>
      <c r="P76" t="s">
        <v>212</v>
      </c>
    </row>
    <row r="77" spans="1:16" x14ac:dyDescent="0.2">
      <c r="A77" s="34">
        <v>74</v>
      </c>
      <c r="B77" s="45" t="s">
        <v>119</v>
      </c>
      <c r="C77" s="46" t="s">
        <v>119</v>
      </c>
      <c r="D77" s="46" t="s">
        <v>163</v>
      </c>
      <c r="E77" s="47" t="s">
        <v>164</v>
      </c>
      <c r="F77" s="48"/>
      <c r="G77" s="49">
        <v>13819500</v>
      </c>
      <c r="H77" s="46">
        <v>1200000</v>
      </c>
      <c r="I77" s="46">
        <v>630000</v>
      </c>
      <c r="J77" s="46">
        <v>460000</v>
      </c>
      <c r="K77" s="40"/>
      <c r="L77" s="45">
        <v>13819500</v>
      </c>
      <c r="M77" s="46">
        <v>14400000</v>
      </c>
      <c r="N77" s="46">
        <v>15120000</v>
      </c>
      <c r="O77" s="46">
        <v>16560000</v>
      </c>
      <c r="P77" t="s">
        <v>212</v>
      </c>
    </row>
    <row r="78" spans="1:16" x14ac:dyDescent="0.2">
      <c r="A78" s="26">
        <v>75</v>
      </c>
      <c r="B78" s="13" t="s">
        <v>165</v>
      </c>
      <c r="C78" s="14" t="s">
        <v>166</v>
      </c>
      <c r="D78" s="14" t="s">
        <v>167</v>
      </c>
      <c r="E78" s="15" t="s">
        <v>168</v>
      </c>
      <c r="F78" s="11"/>
      <c r="G78" s="16">
        <v>39699100</v>
      </c>
      <c r="H78" s="14">
        <v>3430000</v>
      </c>
      <c r="I78" s="14">
        <v>1810000</v>
      </c>
      <c r="J78" s="14">
        <v>1440000</v>
      </c>
      <c r="L78" s="13">
        <v>39699100</v>
      </c>
      <c r="M78" s="14">
        <v>41160000</v>
      </c>
      <c r="N78" s="14">
        <v>43440000</v>
      </c>
      <c r="O78" s="14">
        <v>51840000</v>
      </c>
    </row>
    <row r="79" spans="1:16" x14ac:dyDescent="0.2">
      <c r="A79" s="34">
        <v>76</v>
      </c>
      <c r="B79" s="50" t="s">
        <v>165</v>
      </c>
      <c r="C79" s="51" t="s">
        <v>169</v>
      </c>
      <c r="D79" s="51" t="s">
        <v>170</v>
      </c>
      <c r="E79" s="52" t="s">
        <v>171</v>
      </c>
      <c r="F79" s="38"/>
      <c r="G79" s="53">
        <v>21598100</v>
      </c>
      <c r="H79" s="51">
        <v>1870000</v>
      </c>
      <c r="I79" s="51">
        <v>1000000</v>
      </c>
      <c r="J79" s="51">
        <v>810000</v>
      </c>
      <c r="K79" s="40"/>
      <c r="L79" s="50">
        <v>21598100</v>
      </c>
      <c r="M79" s="51">
        <v>22440000</v>
      </c>
      <c r="N79" s="51">
        <v>24000000</v>
      </c>
      <c r="O79" s="51">
        <v>29160000</v>
      </c>
      <c r="P79" t="s">
        <v>213</v>
      </c>
    </row>
    <row r="80" spans="1:16" x14ac:dyDescent="0.2">
      <c r="A80" s="26">
        <v>77</v>
      </c>
      <c r="B80" s="18" t="s">
        <v>165</v>
      </c>
      <c r="C80" s="19" t="s">
        <v>172</v>
      </c>
      <c r="D80" s="19" t="s">
        <v>173</v>
      </c>
      <c r="E80" s="20" t="s">
        <v>174</v>
      </c>
      <c r="F80" s="17"/>
      <c r="G80" s="21">
        <v>58653100</v>
      </c>
      <c r="H80" s="19">
        <v>5070000</v>
      </c>
      <c r="I80" s="19">
        <v>2670000</v>
      </c>
      <c r="J80" s="19">
        <v>2020000</v>
      </c>
      <c r="L80" s="18">
        <v>58653100</v>
      </c>
      <c r="M80" s="19">
        <v>60840000</v>
      </c>
      <c r="N80" s="19">
        <v>64080000</v>
      </c>
      <c r="O80" s="19">
        <v>72720000</v>
      </c>
    </row>
    <row r="81" spans="1:16" x14ac:dyDescent="0.2">
      <c r="A81" s="26">
        <v>78</v>
      </c>
      <c r="B81" s="18" t="s">
        <v>165</v>
      </c>
      <c r="C81" s="19" t="s">
        <v>175</v>
      </c>
      <c r="D81" s="19" t="s">
        <v>176</v>
      </c>
      <c r="E81" s="20" t="s">
        <v>177</v>
      </c>
      <c r="F81" s="17"/>
      <c r="G81" s="21">
        <v>24073100</v>
      </c>
      <c r="H81" s="19">
        <v>2080000</v>
      </c>
      <c r="I81" s="19">
        <v>1100000</v>
      </c>
      <c r="J81" s="19">
        <v>810000</v>
      </c>
      <c r="L81" s="18">
        <v>24073100</v>
      </c>
      <c r="M81" s="19">
        <v>24960000</v>
      </c>
      <c r="N81" s="19">
        <v>26400000</v>
      </c>
      <c r="O81" s="19">
        <v>29160000</v>
      </c>
    </row>
    <row r="82" spans="1:16" x14ac:dyDescent="0.2">
      <c r="A82" s="26">
        <v>79</v>
      </c>
      <c r="B82" s="18" t="s">
        <v>165</v>
      </c>
      <c r="C82" s="19" t="s">
        <v>178</v>
      </c>
      <c r="D82" s="19" t="s">
        <v>179</v>
      </c>
      <c r="E82" s="20" t="s">
        <v>180</v>
      </c>
      <c r="F82" s="22"/>
      <c r="G82" s="21">
        <v>21598100</v>
      </c>
      <c r="H82" s="19">
        <v>1870000</v>
      </c>
      <c r="I82" s="19">
        <v>1000000</v>
      </c>
      <c r="J82" s="19">
        <v>740000</v>
      </c>
      <c r="K82" s="23"/>
      <c r="L82" s="18">
        <v>21598100</v>
      </c>
      <c r="M82" s="19">
        <v>22440000</v>
      </c>
      <c r="N82" s="19">
        <v>24000000</v>
      </c>
      <c r="O82" s="19">
        <v>26640000</v>
      </c>
    </row>
    <row r="83" spans="1:16" x14ac:dyDescent="0.2">
      <c r="A83" s="27">
        <v>80</v>
      </c>
      <c r="B83" s="28" t="s">
        <v>184</v>
      </c>
      <c r="C83" s="29" t="s">
        <v>185</v>
      </c>
      <c r="D83" s="29" t="s">
        <v>186</v>
      </c>
      <c r="E83" s="30" t="s">
        <v>187</v>
      </c>
      <c r="F83" s="31" t="s">
        <v>210</v>
      </c>
      <c r="G83" s="32">
        <v>3527500</v>
      </c>
      <c r="H83" s="29">
        <v>310000</v>
      </c>
      <c r="I83" s="29">
        <v>170000</v>
      </c>
      <c r="J83" s="29">
        <v>130000</v>
      </c>
      <c r="K83" s="33"/>
      <c r="L83" s="28">
        <v>3527500</v>
      </c>
      <c r="M83" s="29">
        <v>3720000</v>
      </c>
      <c r="N83" s="29">
        <v>4080000</v>
      </c>
      <c r="O83" s="29">
        <v>4680000</v>
      </c>
    </row>
    <row r="84" spans="1:16" x14ac:dyDescent="0.2">
      <c r="A84" s="27">
        <v>81</v>
      </c>
      <c r="B84" s="28" t="s">
        <v>184</v>
      </c>
      <c r="C84" s="29" t="s">
        <v>185</v>
      </c>
      <c r="D84" s="29" t="s">
        <v>188</v>
      </c>
      <c r="E84" s="30" t="s">
        <v>189</v>
      </c>
      <c r="F84" s="31" t="s">
        <v>210</v>
      </c>
      <c r="G84" s="32">
        <v>3027500</v>
      </c>
      <c r="H84" s="29">
        <v>270000</v>
      </c>
      <c r="I84" s="29">
        <v>150000</v>
      </c>
      <c r="J84" s="29">
        <v>120000</v>
      </c>
      <c r="K84" s="33"/>
      <c r="L84" s="28">
        <v>3027500</v>
      </c>
      <c r="M84" s="29">
        <v>3240000</v>
      </c>
      <c r="N84" s="29">
        <v>3600000</v>
      </c>
      <c r="O84" s="29">
        <v>4320000</v>
      </c>
    </row>
    <row r="85" spans="1:16" x14ac:dyDescent="0.2">
      <c r="A85" s="27">
        <v>82</v>
      </c>
      <c r="B85" s="28" t="s">
        <v>184</v>
      </c>
      <c r="C85" s="29" t="s">
        <v>185</v>
      </c>
      <c r="D85" s="29" t="s">
        <v>190</v>
      </c>
      <c r="E85" s="30" t="s">
        <v>191</v>
      </c>
      <c r="F85" s="31" t="s">
        <v>210</v>
      </c>
      <c r="G85" s="32">
        <v>2427500</v>
      </c>
      <c r="H85" s="29">
        <v>210000</v>
      </c>
      <c r="I85" s="29">
        <v>120000</v>
      </c>
      <c r="J85" s="29">
        <v>100000</v>
      </c>
      <c r="K85" s="33"/>
      <c r="L85" s="28">
        <v>2427500</v>
      </c>
      <c r="M85" s="29">
        <v>2520000</v>
      </c>
      <c r="N85" s="29">
        <v>2880000</v>
      </c>
      <c r="O85" s="29">
        <v>3600000</v>
      </c>
    </row>
    <row r="86" spans="1:16" x14ac:dyDescent="0.2">
      <c r="A86" s="27">
        <v>83</v>
      </c>
      <c r="B86" s="28" t="s">
        <v>184</v>
      </c>
      <c r="C86" s="29" t="s">
        <v>185</v>
      </c>
      <c r="D86" s="29" t="s">
        <v>192</v>
      </c>
      <c r="E86" s="30" t="s">
        <v>193</v>
      </c>
      <c r="F86" s="31" t="s">
        <v>210</v>
      </c>
      <c r="G86" s="32">
        <v>2192500</v>
      </c>
      <c r="H86" s="29">
        <v>190000</v>
      </c>
      <c r="I86" s="29">
        <v>110000</v>
      </c>
      <c r="J86" s="29">
        <v>90000</v>
      </c>
      <c r="K86" s="33"/>
      <c r="L86" s="28">
        <v>2192500</v>
      </c>
      <c r="M86" s="29">
        <v>2280000</v>
      </c>
      <c r="N86" s="29">
        <v>2640000</v>
      </c>
      <c r="O86" s="29">
        <v>3240000</v>
      </c>
    </row>
    <row r="87" spans="1:16" x14ac:dyDescent="0.2">
      <c r="A87" s="27">
        <v>84</v>
      </c>
      <c r="B87" s="28" t="s">
        <v>194</v>
      </c>
      <c r="C87" s="29" t="s">
        <v>195</v>
      </c>
      <c r="D87" s="29" t="s">
        <v>196</v>
      </c>
      <c r="E87" s="30" t="s">
        <v>197</v>
      </c>
      <c r="F87" s="31" t="s">
        <v>210</v>
      </c>
      <c r="G87" s="32">
        <v>16370000</v>
      </c>
      <c r="H87" s="29">
        <v>1420000</v>
      </c>
      <c r="I87" s="29">
        <v>740000</v>
      </c>
      <c r="J87" s="29">
        <v>550000</v>
      </c>
      <c r="K87" s="33"/>
      <c r="L87" s="28">
        <v>16370000</v>
      </c>
      <c r="M87" s="29">
        <v>17040000</v>
      </c>
      <c r="N87" s="29">
        <v>17760000</v>
      </c>
      <c r="O87" s="29">
        <v>19800000</v>
      </c>
    </row>
    <row r="88" spans="1:16" x14ac:dyDescent="0.2">
      <c r="A88" s="27">
        <v>85</v>
      </c>
      <c r="B88" s="28" t="s">
        <v>194</v>
      </c>
      <c r="C88" s="29" t="s">
        <v>195</v>
      </c>
      <c r="D88" s="29" t="s">
        <v>198</v>
      </c>
      <c r="E88" s="30" t="s">
        <v>199</v>
      </c>
      <c r="F88" s="31" t="s">
        <v>210</v>
      </c>
      <c r="G88" s="32">
        <v>8368000</v>
      </c>
      <c r="H88" s="29">
        <v>730000</v>
      </c>
      <c r="I88" s="29">
        <v>390000</v>
      </c>
      <c r="J88" s="29">
        <v>290000</v>
      </c>
      <c r="K88" s="33"/>
      <c r="L88" s="28">
        <v>8368000</v>
      </c>
      <c r="M88" s="29">
        <v>8760000</v>
      </c>
      <c r="N88" s="29">
        <v>9360000</v>
      </c>
      <c r="O88" s="29">
        <v>10440000</v>
      </c>
    </row>
    <row r="89" spans="1:16" x14ac:dyDescent="0.2">
      <c r="A89" s="34">
        <v>86</v>
      </c>
      <c r="B89" s="35" t="s">
        <v>194</v>
      </c>
      <c r="C89" s="36" t="s">
        <v>200</v>
      </c>
      <c r="D89" s="36" t="s">
        <v>201</v>
      </c>
      <c r="E89" s="37" t="s">
        <v>202</v>
      </c>
      <c r="F89" s="38" t="s">
        <v>210</v>
      </c>
      <c r="G89" s="39">
        <v>4750000</v>
      </c>
      <c r="H89" s="36">
        <v>410000</v>
      </c>
      <c r="I89" s="36">
        <v>230000</v>
      </c>
      <c r="J89" s="36">
        <v>170000</v>
      </c>
      <c r="K89" s="40"/>
      <c r="L89" s="35">
        <v>4750000</v>
      </c>
      <c r="M89" s="36">
        <v>4920000</v>
      </c>
      <c r="N89" s="36">
        <v>5520000</v>
      </c>
      <c r="O89" s="36">
        <v>6120000</v>
      </c>
      <c r="P89" t="s">
        <v>211</v>
      </c>
    </row>
    <row r="90" spans="1:16" x14ac:dyDescent="0.2">
      <c r="A90" s="27">
        <v>87</v>
      </c>
      <c r="B90" s="28" t="s">
        <v>194</v>
      </c>
      <c r="C90" s="29" t="s">
        <v>200</v>
      </c>
      <c r="D90" s="29" t="s">
        <v>203</v>
      </c>
      <c r="E90" s="30" t="s">
        <v>204</v>
      </c>
      <c r="F90" s="31" t="s">
        <v>210</v>
      </c>
      <c r="G90" s="32">
        <v>8750000</v>
      </c>
      <c r="H90" s="29">
        <v>760000</v>
      </c>
      <c r="I90" s="29">
        <v>400000</v>
      </c>
      <c r="J90" s="29">
        <v>300000</v>
      </c>
      <c r="K90" s="33"/>
      <c r="L90" s="28">
        <v>8750000</v>
      </c>
      <c r="M90" s="29">
        <v>9120000</v>
      </c>
      <c r="N90" s="29">
        <v>9600000</v>
      </c>
      <c r="O90" s="29">
        <v>10800000</v>
      </c>
    </row>
    <row r="91" spans="1:16" x14ac:dyDescent="0.2">
      <c r="A91" s="27">
        <v>88</v>
      </c>
      <c r="B91" s="28" t="s">
        <v>50</v>
      </c>
      <c r="C91" s="29" t="s">
        <v>104</v>
      </c>
      <c r="D91" s="29" t="s">
        <v>205</v>
      </c>
      <c r="E91" s="30" t="s">
        <v>206</v>
      </c>
      <c r="F91" s="31" t="s">
        <v>210</v>
      </c>
      <c r="G91" s="32">
        <v>25439000</v>
      </c>
      <c r="H91" s="29">
        <v>2200000</v>
      </c>
      <c r="I91" s="29">
        <v>1150000</v>
      </c>
      <c r="J91" s="29">
        <v>840000</v>
      </c>
      <c r="K91" s="33"/>
      <c r="L91" s="28">
        <v>25439000</v>
      </c>
      <c r="M91" s="29">
        <v>26400000</v>
      </c>
      <c r="N91" s="29">
        <v>27600000</v>
      </c>
      <c r="O91" s="29">
        <v>30240000</v>
      </c>
    </row>
  </sheetData>
  <mergeCells count="3">
    <mergeCell ref="G2:J2"/>
    <mergeCell ref="L2:O2"/>
    <mergeCell ref="A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01"/>
  <sheetViews>
    <sheetView tabSelected="1" topLeftCell="A2" zoomScale="110" zoomScaleNormal="110" workbookViewId="0">
      <selection activeCell="H14" sqref="H14"/>
    </sheetView>
  </sheetViews>
  <sheetFormatPr baseColWidth="10" defaultColWidth="8.83203125" defaultRowHeight="15" x14ac:dyDescent="0.2"/>
  <cols>
    <col min="1" max="1" width="8.83203125" style="59"/>
    <col min="2" max="3" width="8.83203125" style="60"/>
    <col min="4" max="4" width="21.33203125" style="60" bestFit="1" customWidth="1"/>
    <col min="5" max="5" width="30.5" style="62" customWidth="1"/>
    <col min="6" max="6" width="8.83203125" style="60"/>
    <col min="7" max="7" width="15.83203125" style="60" customWidth="1"/>
    <col min="8" max="8" width="23.1640625" style="60" customWidth="1"/>
    <col min="9" max="11" width="15.83203125" style="60" customWidth="1"/>
    <col min="12" max="12" width="24.1640625" style="60" customWidth="1"/>
    <col min="13" max="13" width="15.83203125" style="60" customWidth="1"/>
    <col min="14" max="14" width="38.83203125" style="60" bestFit="1" customWidth="1"/>
    <col min="15" max="15" width="8.83203125" style="60"/>
    <col min="16" max="16" width="26.6640625" style="60" customWidth="1"/>
    <col min="17" max="17" width="8.83203125" style="60" customWidth="1"/>
    <col min="18" max="16384" width="8.83203125" style="60"/>
  </cols>
  <sheetData>
    <row r="2" spans="1:16" ht="36" customHeight="1" x14ac:dyDescent="0.2">
      <c r="A2" s="63" t="s">
        <v>0</v>
      </c>
      <c r="B2" s="63"/>
      <c r="C2" s="63"/>
      <c r="D2" s="63"/>
      <c r="E2" s="64"/>
    </row>
    <row r="3" spans="1:16" ht="41.5" customHeight="1" x14ac:dyDescent="0.2">
      <c r="A3" s="65" t="s">
        <v>207</v>
      </c>
      <c r="B3" s="65" t="s">
        <v>0</v>
      </c>
      <c r="C3" s="66" t="s">
        <v>0</v>
      </c>
      <c r="D3" s="66" t="s">
        <v>208</v>
      </c>
      <c r="E3" s="66" t="s">
        <v>209</v>
      </c>
      <c r="G3" s="66" t="s">
        <v>214</v>
      </c>
      <c r="H3" s="66" t="s">
        <v>215</v>
      </c>
      <c r="I3" s="66" t="s">
        <v>216</v>
      </c>
      <c r="J3" s="66" t="s">
        <v>217</v>
      </c>
      <c r="K3" s="66" t="s">
        <v>218</v>
      </c>
      <c r="L3" s="66" t="s">
        <v>219</v>
      </c>
      <c r="M3" s="66" t="s">
        <v>220</v>
      </c>
      <c r="N3" s="66" t="s">
        <v>221</v>
      </c>
    </row>
    <row r="4" spans="1:16" x14ac:dyDescent="0.2">
      <c r="A4" s="67">
        <v>1</v>
      </c>
      <c r="B4" s="68" t="s">
        <v>4</v>
      </c>
      <c r="C4" s="69" t="s">
        <v>5</v>
      </c>
      <c r="D4" s="69" t="s">
        <v>6</v>
      </c>
      <c r="E4" s="69" t="s">
        <v>7</v>
      </c>
      <c r="G4" s="60" t="str">
        <f>VLOOKUP(E4,[1]Data!$E$4:$BA$2455,42,0)</f>
        <v>RF</v>
      </c>
      <c r="H4" s="60" t="str">
        <f>VLOOKUP($E4,[1]Data!$E$4:$BA$2455,43,0)</f>
        <v>Refrigerator</v>
      </c>
      <c r="I4" s="60" t="str">
        <f>VLOOKUP($E4,[1]Data!$E$4:$BA$2455,44,0)</f>
        <v>RFBF</v>
      </c>
      <c r="J4" s="60" t="str">
        <f>VLOOKUP($E4,[1]Data!$E$4:$BA$2455,45,0)</f>
        <v>Bottom Freezer</v>
      </c>
      <c r="K4" s="60" t="str">
        <f>VLOOKUP($E4,[1]Data!$E$4:$BA$2455,46,0)</f>
        <v>RFBFBF</v>
      </c>
      <c r="L4" s="60" t="str">
        <f>VLOOKUP($E4,[1]Data!$E$4:$BA$2455,47,0)</f>
        <v>Bottom Freezer</v>
      </c>
      <c r="M4" s="60" t="str">
        <f>VLOOKUP($E4,[1]Data!$E$4:$BA$2455,48,0)</f>
        <v>RFBFBF2D</v>
      </c>
      <c r="N4" s="60" t="str">
        <f>VLOOKUP($E4,[1]Data!$E$4:$BA$2455,49,0)</f>
        <v>2D Bottom Freezer</v>
      </c>
      <c r="P4" s="60" t="s">
        <v>237</v>
      </c>
    </row>
    <row r="5" spans="1:16" x14ac:dyDescent="0.2">
      <c r="A5" s="67">
        <v>2</v>
      </c>
      <c r="B5" s="68" t="s">
        <v>4</v>
      </c>
      <c r="C5" s="69" t="s">
        <v>5</v>
      </c>
      <c r="D5" s="69" t="s">
        <v>8</v>
      </c>
      <c r="E5" s="69" t="s">
        <v>9</v>
      </c>
      <c r="G5" s="60" t="str">
        <f>VLOOKUP(E5,[1]Data!$E$4:$BA$2455,42,0)</f>
        <v>RF</v>
      </c>
      <c r="H5" s="60" t="str">
        <f>VLOOKUP($E5,[1]Data!$E$4:$BA$2455,43,0)</f>
        <v>Refrigerator</v>
      </c>
      <c r="I5" s="60" t="str">
        <f>VLOOKUP($E5,[1]Data!$E$4:$BA$2455,44,0)</f>
        <v>RFBF</v>
      </c>
      <c r="J5" s="60" t="str">
        <f>VLOOKUP($E5,[1]Data!$E$4:$BA$2455,45,0)</f>
        <v>Bottom Freezer</v>
      </c>
      <c r="K5" s="60" t="str">
        <f>VLOOKUP($E5,[1]Data!$E$4:$BA$2455,46,0)</f>
        <v>RFBFBF</v>
      </c>
      <c r="L5" s="60" t="str">
        <f>VLOOKUP($E5,[1]Data!$E$4:$BA$2455,47,0)</f>
        <v>Bottom Freezer</v>
      </c>
      <c r="M5" s="60" t="str">
        <f>VLOOKUP($E5,[1]Data!$E$4:$BA$2455,48,0)</f>
        <v>RFBFBF2D</v>
      </c>
      <c r="N5" s="60" t="str">
        <f>VLOOKUP($E5,[1]Data!$E$4:$BA$2455,49,0)</f>
        <v>2D Bottom Freezer</v>
      </c>
      <c r="P5" s="60" t="s">
        <v>237</v>
      </c>
    </row>
    <row r="6" spans="1:16" x14ac:dyDescent="0.2">
      <c r="A6" s="67">
        <v>3</v>
      </c>
      <c r="B6" s="70" t="s">
        <v>4</v>
      </c>
      <c r="C6" s="71" t="s">
        <v>5</v>
      </c>
      <c r="D6" s="71" t="s">
        <v>10</v>
      </c>
      <c r="E6" s="71" t="s">
        <v>11</v>
      </c>
      <c r="G6" s="60" t="str">
        <f>VLOOKUP(E6,[1]Data!$E$4:$BA$2455,42,0)</f>
        <v>RF</v>
      </c>
      <c r="H6" s="60" t="str">
        <f>VLOOKUP($E6,[1]Data!$E$4:$BA$2455,43,0)</f>
        <v>Refrigerator</v>
      </c>
      <c r="I6" s="60" t="str">
        <f>VLOOKUP($E6,[1]Data!$E$4:$BA$2455,44,0)</f>
        <v>RFBF</v>
      </c>
      <c r="J6" s="60" t="str">
        <f>VLOOKUP($E6,[1]Data!$E$4:$BA$2455,45,0)</f>
        <v>Bottom Freezer</v>
      </c>
      <c r="K6" s="60" t="str">
        <f>VLOOKUP($E6,[1]Data!$E$4:$BA$2455,46,0)</f>
        <v>RFBFBF</v>
      </c>
      <c r="L6" s="60" t="str">
        <f>VLOOKUP($E6,[1]Data!$E$4:$BA$2455,47,0)</f>
        <v>Bottom Freezer</v>
      </c>
      <c r="M6" s="60" t="str">
        <f>VLOOKUP($E6,[1]Data!$E$4:$BA$2455,48,0)</f>
        <v>RFBFBF2D</v>
      </c>
      <c r="N6" s="60" t="str">
        <f>VLOOKUP($E6,[1]Data!$E$4:$BA$2455,49,0)</f>
        <v>2D Bottom Freezer</v>
      </c>
      <c r="P6" s="60" t="s">
        <v>237</v>
      </c>
    </row>
    <row r="7" spans="1:16" x14ac:dyDescent="0.2">
      <c r="A7" s="67">
        <v>4</v>
      </c>
      <c r="B7" s="70" t="s">
        <v>4</v>
      </c>
      <c r="C7" s="71" t="s">
        <v>12</v>
      </c>
      <c r="D7" s="71" t="s">
        <v>13</v>
      </c>
      <c r="E7" s="71" t="s">
        <v>14</v>
      </c>
      <c r="G7" s="60" t="str">
        <f>VLOOKUP(E7,[1]Data!$E$4:$BA$2455,42,0)</f>
        <v>WM</v>
      </c>
      <c r="H7" s="60" t="str">
        <f>VLOOKUP($E7,[1]Data!$E$4:$BA$2455,43,0)</f>
        <v>Washing Machine</v>
      </c>
      <c r="I7" s="60" t="str">
        <f>VLOOKUP($E7,[1]Data!$E$4:$BA$2455,44,0)</f>
        <v>WMWK</v>
      </c>
      <c r="J7" s="60" t="str">
        <f>VLOOKUP($E7,[1]Data!$E$4:$BA$2455,45,0)</f>
        <v>Dishwasher</v>
      </c>
      <c r="K7" s="60" t="str">
        <f>VLOOKUP($E7,[1]Data!$E$4:$BA$2455,46,0)</f>
        <v>WMWKWK</v>
      </c>
      <c r="L7" s="60" t="str">
        <f>VLOOKUP($E7,[1]Data!$E$4:$BA$2455,47,0)</f>
        <v>Dishwasher</v>
      </c>
      <c r="M7" s="60" t="str">
        <f>VLOOKUP($E7,[1]Data!$E$4:$BA$2455,48,0)</f>
        <v>WMWKWKDA</v>
      </c>
      <c r="N7" s="60" t="str">
        <f>VLOOKUP($E7,[1]Data!$E$4:$BA$2455,49,0)</f>
        <v>Dishwasher</v>
      </c>
    </row>
    <row r="8" spans="1:16" x14ac:dyDescent="0.2">
      <c r="A8" s="67">
        <v>5</v>
      </c>
      <c r="B8" s="70" t="s">
        <v>4</v>
      </c>
      <c r="C8" s="71" t="s">
        <v>12</v>
      </c>
      <c r="D8" s="71" t="s">
        <v>15</v>
      </c>
      <c r="E8" s="71" t="s">
        <v>16</v>
      </c>
      <c r="G8" s="60" t="str">
        <f>VLOOKUP(E8,[1]Data!$E$4:$BA$2455,42,0)</f>
        <v>WM</v>
      </c>
      <c r="H8" s="60" t="str">
        <f>VLOOKUP($E8,[1]Data!$E$4:$BA$2455,43,0)</f>
        <v>Washing Machine</v>
      </c>
      <c r="I8" s="60" t="str">
        <f>VLOOKUP($E8,[1]Data!$E$4:$BA$2455,44,0)</f>
        <v>WMWK</v>
      </c>
      <c r="J8" s="60" t="str">
        <f>VLOOKUP($E8,[1]Data!$E$4:$BA$2455,45,0)</f>
        <v>Dishwasher</v>
      </c>
      <c r="K8" s="60" t="str">
        <f>VLOOKUP($E8,[1]Data!$E$4:$BA$2455,46,0)</f>
        <v>WMWKWK</v>
      </c>
      <c r="L8" s="60" t="str">
        <f>VLOOKUP($E8,[1]Data!$E$4:$BA$2455,47,0)</f>
        <v>Dishwasher</v>
      </c>
      <c r="M8" s="60" t="str">
        <f>VLOOKUP($E8,[1]Data!$E$4:$BA$2455,48,0)</f>
        <v>WMWKWKDA</v>
      </c>
      <c r="N8" s="60" t="str">
        <f>VLOOKUP($E8,[1]Data!$E$4:$BA$2455,49,0)</f>
        <v>Dishwasher</v>
      </c>
    </row>
    <row r="9" spans="1:16" x14ac:dyDescent="0.2">
      <c r="A9" s="67">
        <v>6</v>
      </c>
      <c r="B9" s="70" t="s">
        <v>4</v>
      </c>
      <c r="C9" s="71" t="s">
        <v>12</v>
      </c>
      <c r="D9" s="71" t="s">
        <v>17</v>
      </c>
      <c r="E9" s="71" t="s">
        <v>18</v>
      </c>
      <c r="G9" s="60" t="str">
        <f>VLOOKUP(E9,[1]Data!$E$4:$BA$2455,42,0)</f>
        <v>WM</v>
      </c>
      <c r="H9" s="60" t="str">
        <f>VLOOKUP($E9,[1]Data!$E$4:$BA$2455,43,0)</f>
        <v>Washing Machine</v>
      </c>
      <c r="I9" s="60" t="str">
        <f>VLOOKUP($E9,[1]Data!$E$4:$BA$2455,44,0)</f>
        <v>WMWK</v>
      </c>
      <c r="J9" s="60" t="str">
        <f>VLOOKUP($E9,[1]Data!$E$4:$BA$2455,45,0)</f>
        <v>Dishwasher</v>
      </c>
      <c r="K9" s="60" t="str">
        <f>VLOOKUP($E9,[1]Data!$E$4:$BA$2455,46,0)</f>
        <v>WMWKWK</v>
      </c>
      <c r="L9" s="60" t="str">
        <f>VLOOKUP($E9,[1]Data!$E$4:$BA$2455,47,0)</f>
        <v>Dishwasher</v>
      </c>
      <c r="M9" s="60" t="str">
        <f>VLOOKUP($E9,[1]Data!$E$4:$BA$2455,48,0)</f>
        <v>WMWKWKDA</v>
      </c>
      <c r="N9" s="60" t="str">
        <f>VLOOKUP($E9,[1]Data!$E$4:$BA$2455,49,0)</f>
        <v>Dishwasher</v>
      </c>
    </row>
    <row r="10" spans="1:16" x14ac:dyDescent="0.2">
      <c r="A10" s="67">
        <v>7</v>
      </c>
      <c r="B10" s="70" t="s">
        <v>4</v>
      </c>
      <c r="C10" s="71" t="s">
        <v>12</v>
      </c>
      <c r="D10" s="71" t="s">
        <v>19</v>
      </c>
      <c r="E10" s="71" t="s">
        <v>20</v>
      </c>
      <c r="G10" s="60" t="str">
        <f>VLOOKUP(E10,[1]Data!$E$4:$BA$2455,42,0)</f>
        <v>WM</v>
      </c>
      <c r="H10" s="60" t="str">
        <f>VLOOKUP($E10,[1]Data!$E$4:$BA$2455,43,0)</f>
        <v>Washing Machine</v>
      </c>
      <c r="I10" s="60" t="str">
        <f>VLOOKUP($E10,[1]Data!$E$4:$BA$2455,44,0)</f>
        <v>WMWK</v>
      </c>
      <c r="J10" s="60" t="str">
        <f>VLOOKUP($E10,[1]Data!$E$4:$BA$2455,45,0)</f>
        <v>Dishwasher</v>
      </c>
      <c r="K10" s="60" t="str">
        <f>VLOOKUP($E10,[1]Data!$E$4:$BA$2455,46,0)</f>
        <v>WMWKWK</v>
      </c>
      <c r="L10" s="60" t="str">
        <f>VLOOKUP($E10,[1]Data!$E$4:$BA$2455,47,0)</f>
        <v>Dishwasher</v>
      </c>
      <c r="M10" s="60" t="str">
        <f>VLOOKUP($E10,[1]Data!$E$4:$BA$2455,48,0)</f>
        <v>WMWKWKDA</v>
      </c>
      <c r="N10" s="60" t="str">
        <f>VLOOKUP($E10,[1]Data!$E$4:$BA$2455,49,0)</f>
        <v>Dishwasher</v>
      </c>
    </row>
    <row r="11" spans="1:16" x14ac:dyDescent="0.2">
      <c r="A11" s="67">
        <v>8</v>
      </c>
      <c r="B11" s="70" t="s">
        <v>4</v>
      </c>
      <c r="C11" s="71" t="s">
        <v>21</v>
      </c>
      <c r="D11" s="71" t="s">
        <v>22</v>
      </c>
      <c r="E11" s="71" t="s">
        <v>23</v>
      </c>
      <c r="G11" s="60" t="str">
        <f>VLOOKUP(E11,[1]Data!$E$4:$BA$2455,42,0)</f>
        <v>RF</v>
      </c>
      <c r="H11" s="60" t="str">
        <f>VLOOKUP($E11,[1]Data!$E$4:$BA$2455,43,0)</f>
        <v>Refrigerator</v>
      </c>
      <c r="I11" s="60" t="str">
        <f>VLOOKUP($E11,[1]Data!$E$4:$BA$2455,44,0)</f>
        <v>RFBF</v>
      </c>
      <c r="J11" s="60" t="str">
        <f>VLOOKUP($E11,[1]Data!$E$4:$BA$2455,45,0)</f>
        <v>Bottom Freezer</v>
      </c>
      <c r="K11" s="60" t="str">
        <f>VLOOKUP($E11,[1]Data!$E$4:$BA$2455,46,0)</f>
        <v>RFBFMD</v>
      </c>
      <c r="L11" s="60" t="str">
        <f>VLOOKUP($E11,[1]Data!$E$4:$BA$2455,47,0)</f>
        <v>French Door Swing</v>
      </c>
      <c r="M11" s="60" t="str">
        <f>VLOOKUP($E11,[1]Data!$E$4:$BA$2455,48,0)</f>
        <v>RFBFMD4D</v>
      </c>
      <c r="N11" s="60" t="str">
        <f>VLOOKUP($E11,[1]Data!$E$4:$BA$2455,49,0)</f>
        <v>4D F/D Swing</v>
      </c>
    </row>
    <row r="12" spans="1:16" x14ac:dyDescent="0.2">
      <c r="A12" s="67">
        <v>9</v>
      </c>
      <c r="B12" s="70" t="s">
        <v>4</v>
      </c>
      <c r="C12" s="71" t="s">
        <v>21</v>
      </c>
      <c r="D12" s="71" t="s">
        <v>24</v>
      </c>
      <c r="E12" s="71" t="s">
        <v>25</v>
      </c>
      <c r="G12" s="60" t="str">
        <f>VLOOKUP(E12,[1]Data!$E$4:$BA$2455,42,0)</f>
        <v>RF</v>
      </c>
      <c r="H12" s="60" t="str">
        <f>VLOOKUP($E12,[1]Data!$E$4:$BA$2455,43,0)</f>
        <v>Refrigerator</v>
      </c>
      <c r="I12" s="60" t="str">
        <f>VLOOKUP($E12,[1]Data!$E$4:$BA$2455,44,0)</f>
        <v>RFBF</v>
      </c>
      <c r="J12" s="60" t="str">
        <f>VLOOKUP($E12,[1]Data!$E$4:$BA$2455,45,0)</f>
        <v>Bottom Freezer</v>
      </c>
      <c r="K12" s="60" t="str">
        <f>VLOOKUP($E12,[1]Data!$E$4:$BA$2455,46,0)</f>
        <v>RFBFMD</v>
      </c>
      <c r="L12" s="60" t="str">
        <f>VLOOKUP($E12,[1]Data!$E$4:$BA$2455,47,0)</f>
        <v>French Door Swing</v>
      </c>
      <c r="M12" s="60" t="str">
        <f>VLOOKUP($E12,[1]Data!$E$4:$BA$2455,48,0)</f>
        <v>RFBFMD4D</v>
      </c>
      <c r="N12" s="60" t="str">
        <f>VLOOKUP($E12,[1]Data!$E$4:$BA$2455,49,0)</f>
        <v>4D F/D Swing</v>
      </c>
    </row>
    <row r="13" spans="1:16" x14ac:dyDescent="0.2">
      <c r="A13" s="67">
        <v>10</v>
      </c>
      <c r="B13" s="70" t="s">
        <v>4</v>
      </c>
      <c r="C13" s="71" t="s">
        <v>21</v>
      </c>
      <c r="D13" s="71" t="s">
        <v>26</v>
      </c>
      <c r="E13" s="71" t="s">
        <v>27</v>
      </c>
      <c r="G13" s="60" t="str">
        <f>VLOOKUP(E13,[1]Data!$E$4:$BA$2455,42,0)</f>
        <v>RF</v>
      </c>
      <c r="H13" s="60" t="str">
        <f>VLOOKUP($E13,[1]Data!$E$4:$BA$2455,43,0)</f>
        <v>Refrigerator</v>
      </c>
      <c r="I13" s="60" t="str">
        <f>VLOOKUP($E13,[1]Data!$E$4:$BA$2455,44,0)</f>
        <v>RFBF</v>
      </c>
      <c r="J13" s="60" t="str">
        <f>VLOOKUP($E13,[1]Data!$E$4:$BA$2455,45,0)</f>
        <v>Bottom Freezer</v>
      </c>
      <c r="K13" s="60" t="str">
        <f>VLOOKUP($E13,[1]Data!$E$4:$BA$2455,46,0)</f>
        <v>RFBFMD</v>
      </c>
      <c r="L13" s="60" t="str">
        <f>VLOOKUP($E13,[1]Data!$E$4:$BA$2455,47,0)</f>
        <v>French Door Swing</v>
      </c>
      <c r="M13" s="60" t="str">
        <f>VLOOKUP($E13,[1]Data!$E$4:$BA$2455,48,0)</f>
        <v>RFBFMD4D</v>
      </c>
      <c r="N13" s="60" t="str">
        <f>VLOOKUP($E13,[1]Data!$E$4:$BA$2455,49,0)</f>
        <v>4D F/D Swing</v>
      </c>
    </row>
    <row r="14" spans="1:16" x14ac:dyDescent="0.2">
      <c r="A14" s="67">
        <v>11</v>
      </c>
      <c r="B14" s="70" t="s">
        <v>4</v>
      </c>
      <c r="C14" s="71" t="s">
        <v>21</v>
      </c>
      <c r="D14" s="71" t="s">
        <v>28</v>
      </c>
      <c r="E14" s="71" t="s">
        <v>29</v>
      </c>
      <c r="G14" s="60" t="str">
        <f>VLOOKUP(E14,[1]Data!$E$4:$BA$2455,42,0)</f>
        <v>RF</v>
      </c>
      <c r="H14" s="60" t="str">
        <f>VLOOKUP($E14,[1]Data!$E$4:$BA$2455,43,0)</f>
        <v>Refrigerator</v>
      </c>
      <c r="I14" s="60" t="str">
        <f>VLOOKUP($E14,[1]Data!$E$4:$BA$2455,44,0)</f>
        <v>RFBF</v>
      </c>
      <c r="J14" s="60" t="str">
        <f>VLOOKUP($E14,[1]Data!$E$4:$BA$2455,45,0)</f>
        <v>Bottom Freezer</v>
      </c>
      <c r="K14" s="60" t="str">
        <f>VLOOKUP($E14,[1]Data!$E$4:$BA$2455,46,0)</f>
        <v>RFBFMD</v>
      </c>
      <c r="L14" s="60" t="str">
        <f>VLOOKUP($E14,[1]Data!$E$4:$BA$2455,47,0)</f>
        <v>French Door Swing</v>
      </c>
      <c r="M14" s="60" t="str">
        <f>VLOOKUP($E14,[1]Data!$E$4:$BA$2455,48,0)</f>
        <v>RFBFMD4D</v>
      </c>
      <c r="N14" s="60" t="str">
        <f>VLOOKUP($E14,[1]Data!$E$4:$BA$2455,49,0)</f>
        <v>4D F/D Swing</v>
      </c>
    </row>
    <row r="15" spans="1:16" x14ac:dyDescent="0.2">
      <c r="A15" s="67">
        <v>12</v>
      </c>
      <c r="B15" s="70" t="s">
        <v>4</v>
      </c>
      <c r="C15" s="71" t="s">
        <v>21</v>
      </c>
      <c r="D15" s="71" t="s">
        <v>30</v>
      </c>
      <c r="E15" s="71" t="s">
        <v>31</v>
      </c>
      <c r="G15" s="60" t="str">
        <f>VLOOKUP(E15,[1]Data!$E$4:$BA$2455,42,0)</f>
        <v>RF</v>
      </c>
      <c r="H15" s="60" t="str">
        <f>VLOOKUP($E15,[1]Data!$E$4:$BA$2455,43,0)</f>
        <v>Refrigerator</v>
      </c>
      <c r="I15" s="60" t="str">
        <f>VLOOKUP($E15,[1]Data!$E$4:$BA$2455,44,0)</f>
        <v>RFBF</v>
      </c>
      <c r="J15" s="60" t="str">
        <f>VLOOKUP($E15,[1]Data!$E$4:$BA$2455,45,0)</f>
        <v>Bottom Freezer</v>
      </c>
      <c r="K15" s="60" t="str">
        <f>VLOOKUP($E15,[1]Data!$E$4:$BA$2455,46,0)</f>
        <v>RFBFMD</v>
      </c>
      <c r="L15" s="60" t="str">
        <f>VLOOKUP($E15,[1]Data!$E$4:$BA$2455,47,0)</f>
        <v>French Door Swing</v>
      </c>
      <c r="M15" s="60" t="str">
        <f>VLOOKUP($E15,[1]Data!$E$4:$BA$2455,48,0)</f>
        <v>RFBFMD4D</v>
      </c>
      <c r="N15" s="60" t="str">
        <f>VLOOKUP($E15,[1]Data!$E$4:$BA$2455,49,0)</f>
        <v>4D F/D Swing</v>
      </c>
    </row>
    <row r="16" spans="1:16" x14ac:dyDescent="0.2">
      <c r="A16" s="67">
        <v>13</v>
      </c>
      <c r="B16" s="70" t="s">
        <v>4</v>
      </c>
      <c r="C16" s="71" t="s">
        <v>21</v>
      </c>
      <c r="D16" s="71" t="s">
        <v>32</v>
      </c>
      <c r="E16" s="71" t="s">
        <v>33</v>
      </c>
      <c r="G16" s="60" t="str">
        <f>VLOOKUP(E16,[1]Data!$E$4:$BA$2455,42,0)</f>
        <v>RF</v>
      </c>
      <c r="H16" s="60" t="str">
        <f>VLOOKUP($E16,[1]Data!$E$4:$BA$2455,43,0)</f>
        <v>Refrigerator</v>
      </c>
      <c r="I16" s="60" t="str">
        <f>VLOOKUP($E16,[1]Data!$E$4:$BA$2455,44,0)</f>
        <v>RFBF</v>
      </c>
      <c r="J16" s="60" t="str">
        <f>VLOOKUP($E16,[1]Data!$E$4:$BA$2455,45,0)</f>
        <v>Bottom Freezer</v>
      </c>
      <c r="K16" s="60" t="str">
        <f>VLOOKUP($E16,[1]Data!$E$4:$BA$2455,46,0)</f>
        <v>RFBFMD</v>
      </c>
      <c r="L16" s="60" t="str">
        <f>VLOOKUP($E16,[1]Data!$E$4:$BA$2455,47,0)</f>
        <v>French Door Swing</v>
      </c>
      <c r="M16" s="60" t="str">
        <f>VLOOKUP($E16,[1]Data!$E$4:$BA$2455,48,0)</f>
        <v>RFBFMD4D</v>
      </c>
      <c r="N16" s="60" t="str">
        <f>VLOOKUP($E16,[1]Data!$E$4:$BA$2455,49,0)</f>
        <v>4D F/D Swing</v>
      </c>
    </row>
    <row r="17" spans="1:16" x14ac:dyDescent="0.2">
      <c r="A17" s="67">
        <v>14</v>
      </c>
      <c r="B17" s="70" t="s">
        <v>4</v>
      </c>
      <c r="C17" s="71" t="s">
        <v>21</v>
      </c>
      <c r="D17" s="71" t="s">
        <v>34</v>
      </c>
      <c r="E17" s="71" t="s">
        <v>35</v>
      </c>
      <c r="G17" s="60" t="str">
        <f>VLOOKUP(E17,[1]Data!$E$4:$BA$2455,42,0)</f>
        <v>RF</v>
      </c>
      <c r="H17" s="60" t="str">
        <f>VLOOKUP($E17,[1]Data!$E$4:$BA$2455,43,0)</f>
        <v>Refrigerator</v>
      </c>
      <c r="I17" s="60" t="str">
        <f>VLOOKUP($E17,[1]Data!$E$4:$BA$2455,44,0)</f>
        <v>RFBF</v>
      </c>
      <c r="J17" s="60" t="str">
        <f>VLOOKUP($E17,[1]Data!$E$4:$BA$2455,45,0)</f>
        <v>Bottom Freezer</v>
      </c>
      <c r="K17" s="60" t="str">
        <f>VLOOKUP($E17,[1]Data!$E$4:$BA$2455,46,0)</f>
        <v>RFBFMD</v>
      </c>
      <c r="L17" s="60" t="str">
        <f>VLOOKUP($E17,[1]Data!$E$4:$BA$2455,47,0)</f>
        <v>French Door Swing</v>
      </c>
      <c r="M17" s="60" t="str">
        <f>VLOOKUP($E17,[1]Data!$E$4:$BA$2455,48,0)</f>
        <v>RFBFMD4D</v>
      </c>
      <c r="N17" s="60" t="str">
        <f>VLOOKUP($E17,[1]Data!$E$4:$BA$2455,49,0)</f>
        <v>4D F/D Swing</v>
      </c>
    </row>
    <row r="18" spans="1:16" x14ac:dyDescent="0.2">
      <c r="A18" s="67">
        <v>15</v>
      </c>
      <c r="B18" s="70" t="s">
        <v>4</v>
      </c>
      <c r="C18" s="71" t="s">
        <v>36</v>
      </c>
      <c r="D18" s="71" t="s">
        <v>37</v>
      </c>
      <c r="E18" s="71" t="s">
        <v>38</v>
      </c>
      <c r="G18" s="60" t="str">
        <f>VLOOKUP(E18,[1]Data!$E$4:$BA$2455,42,0)</f>
        <v>RF</v>
      </c>
      <c r="H18" s="60" t="str">
        <f>VLOOKUP($E18,[1]Data!$E$4:$BA$2455,43,0)</f>
        <v>Refrigerator</v>
      </c>
      <c r="I18" s="60" t="str">
        <f>VLOOKUP($E18,[1]Data!$E$4:$BA$2455,44,0)</f>
        <v>RFSS</v>
      </c>
      <c r="J18" s="60" t="str">
        <f>VLOOKUP($E18,[1]Data!$E$4:$BA$2455,45,0)</f>
        <v>SxS</v>
      </c>
      <c r="K18" s="60" t="str">
        <f>VLOOKUP($E18,[1]Data!$E$4:$BA$2455,46,0)</f>
        <v>RFSSSS</v>
      </c>
      <c r="L18" s="60" t="str">
        <f>VLOOKUP($E18,[1]Data!$E$4:$BA$2455,47,0)</f>
        <v>SxS</v>
      </c>
      <c r="M18" s="60" t="str">
        <f>VLOOKUP($E18,[1]Data!$E$4:$BA$2455,48,0)</f>
        <v>RFSSSS25</v>
      </c>
      <c r="N18" s="60" t="str">
        <f>VLOOKUP($E18,[1]Data!$E$4:$BA$2455,49,0)</f>
        <v>SxS 25CU</v>
      </c>
    </row>
    <row r="19" spans="1:16" x14ac:dyDescent="0.2">
      <c r="A19" s="67">
        <v>16</v>
      </c>
      <c r="B19" s="70" t="s">
        <v>4</v>
      </c>
      <c r="C19" s="71" t="s">
        <v>36</v>
      </c>
      <c r="D19" s="71" t="s">
        <v>39</v>
      </c>
      <c r="E19" s="71" t="s">
        <v>40</v>
      </c>
      <c r="G19" s="60" t="str">
        <f>VLOOKUP(E19,[1]Data!$E$4:$BA$2455,42,0)</f>
        <v>RF</v>
      </c>
      <c r="H19" s="60" t="str">
        <f>VLOOKUP($E19,[1]Data!$E$4:$BA$2455,43,0)</f>
        <v>Refrigerator</v>
      </c>
      <c r="I19" s="60" t="str">
        <f>VLOOKUP($E19,[1]Data!$E$4:$BA$2455,44,0)</f>
        <v>RFSS</v>
      </c>
      <c r="J19" s="60" t="str">
        <f>VLOOKUP($E19,[1]Data!$E$4:$BA$2455,45,0)</f>
        <v>SxS</v>
      </c>
      <c r="K19" s="60" t="str">
        <f>VLOOKUP($E19,[1]Data!$E$4:$BA$2455,46,0)</f>
        <v>RFSSSS</v>
      </c>
      <c r="L19" s="60" t="str">
        <f>VLOOKUP($E19,[1]Data!$E$4:$BA$2455,47,0)</f>
        <v>SxS</v>
      </c>
      <c r="M19" s="60" t="str">
        <f>VLOOKUP($E19,[1]Data!$E$4:$BA$2455,48,0)</f>
        <v>RFSSSS25</v>
      </c>
      <c r="N19" s="60" t="str">
        <f>VLOOKUP($E19,[1]Data!$E$4:$BA$2455,49,0)</f>
        <v>SxS 25CU</v>
      </c>
    </row>
    <row r="20" spans="1:16" x14ac:dyDescent="0.2">
      <c r="A20" s="67">
        <v>17</v>
      </c>
      <c r="B20" s="70" t="s">
        <v>4</v>
      </c>
      <c r="C20" s="71" t="s">
        <v>41</v>
      </c>
      <c r="D20" s="71" t="s">
        <v>42</v>
      </c>
      <c r="E20" s="71" t="s">
        <v>43</v>
      </c>
      <c r="G20" s="60" t="str">
        <f>VLOOKUP(E20,[1]Data!$E$4:$BA$2455,42,0)</f>
        <v>RF</v>
      </c>
      <c r="H20" s="60" t="str">
        <f>VLOOKUP($E20,[1]Data!$E$4:$BA$2455,43,0)</f>
        <v>Refrigerator</v>
      </c>
      <c r="I20" s="60" t="str">
        <f>VLOOKUP($E20,[1]Data!$E$4:$BA$2455,44,0)</f>
        <v>RFTM</v>
      </c>
      <c r="J20" s="60" t="str">
        <f>VLOOKUP($E20,[1]Data!$E$4:$BA$2455,45,0)</f>
        <v>TMNF</v>
      </c>
      <c r="K20" s="60" t="str">
        <f>VLOOKUP($E20,[1]Data!$E$4:$BA$2455,46,0)</f>
        <v>RFTMTM</v>
      </c>
      <c r="L20" s="60" t="str">
        <f>VLOOKUP($E20,[1]Data!$E$4:$BA$2455,47,0)</f>
        <v>TMNF</v>
      </c>
      <c r="M20" s="60" t="str">
        <f>VLOOKUP($E20,[1]Data!$E$4:$BA$2455,48,0)</f>
        <v>RFTMTMLA</v>
      </c>
      <c r="N20" s="60" t="str">
        <f>VLOOKUP($E20,[1]Data!$E$4:$BA$2455,49,0)</f>
        <v>Large REF</v>
      </c>
      <c r="P20" s="60" t="s">
        <v>236</v>
      </c>
    </row>
    <row r="21" spans="1:16" x14ac:dyDescent="0.2">
      <c r="A21" s="67">
        <v>18</v>
      </c>
      <c r="B21" s="70" t="s">
        <v>4</v>
      </c>
      <c r="C21" s="71" t="s">
        <v>41</v>
      </c>
      <c r="D21" s="71" t="s">
        <v>44</v>
      </c>
      <c r="E21" s="71" t="s">
        <v>45</v>
      </c>
      <c r="G21" s="60" t="str">
        <f>VLOOKUP(E21,[1]Data!$E$4:$BA$2455,42,0)</f>
        <v>RF</v>
      </c>
      <c r="H21" s="60" t="str">
        <f>VLOOKUP($E21,[1]Data!$E$4:$BA$2455,43,0)</f>
        <v>Refrigerator</v>
      </c>
      <c r="I21" s="60" t="str">
        <f>VLOOKUP($E21,[1]Data!$E$4:$BA$2455,44,0)</f>
        <v>RFTM</v>
      </c>
      <c r="J21" s="60" t="str">
        <f>VLOOKUP($E21,[1]Data!$E$4:$BA$2455,45,0)</f>
        <v>TMNF</v>
      </c>
      <c r="K21" s="60" t="str">
        <f>VLOOKUP($E21,[1]Data!$E$4:$BA$2455,46,0)</f>
        <v>RFTMTM</v>
      </c>
      <c r="L21" s="60" t="str">
        <f>VLOOKUP($E21,[1]Data!$E$4:$BA$2455,47,0)</f>
        <v>TMNF</v>
      </c>
      <c r="M21" s="60" t="str">
        <f>VLOOKUP($E21,[1]Data!$E$4:$BA$2455,48,0)</f>
        <v>RFTMTMMA</v>
      </c>
      <c r="N21" s="60" t="str">
        <f>VLOOKUP($E21,[1]Data!$E$4:$BA$2455,49,0)</f>
        <v>Medium REF</v>
      </c>
      <c r="P21" s="60" t="s">
        <v>236</v>
      </c>
    </row>
    <row r="22" spans="1:16" x14ac:dyDescent="0.2">
      <c r="A22" s="60">
        <v>19</v>
      </c>
      <c r="B22" s="60" t="s">
        <v>4</v>
      </c>
      <c r="C22" s="60" t="s">
        <v>41</v>
      </c>
      <c r="D22" s="60" t="s">
        <v>46</v>
      </c>
      <c r="E22" s="60" t="s">
        <v>47</v>
      </c>
      <c r="G22" s="60" t="str">
        <f>VLOOKUP(E22,[1]Data!$E$4:$BA$2455,42,0)</f>
        <v>RF</v>
      </c>
      <c r="H22" s="60" t="str">
        <f>VLOOKUP($E22,[1]Data!$E$4:$BA$2455,43,0)</f>
        <v>Refrigerator</v>
      </c>
      <c r="I22" s="60" t="str">
        <f>VLOOKUP($E22,[1]Data!$E$4:$BA$2455,44,0)</f>
        <v>RFTM</v>
      </c>
      <c r="J22" s="60" t="str">
        <f>VLOOKUP($E22,[1]Data!$E$4:$BA$2455,45,0)</f>
        <v>TMNF</v>
      </c>
      <c r="K22" s="60" t="str">
        <f>VLOOKUP($E22,[1]Data!$E$4:$BA$2455,46,0)</f>
        <v>RFTMTM</v>
      </c>
      <c r="L22" s="60" t="str">
        <f>VLOOKUP($E22,[1]Data!$E$4:$BA$2455,47,0)</f>
        <v>TMNF</v>
      </c>
      <c r="M22" s="60" t="str">
        <f>VLOOKUP($E22,[1]Data!$E$4:$BA$2455,48,0)</f>
        <v>RFTMTMMA</v>
      </c>
      <c r="N22" s="60" t="str">
        <f>VLOOKUP($E22,[1]Data!$E$4:$BA$2455,49,0)</f>
        <v>Medium REF</v>
      </c>
      <c r="P22" s="60" t="s">
        <v>238</v>
      </c>
    </row>
    <row r="23" spans="1:16" x14ac:dyDescent="0.2">
      <c r="A23" s="60">
        <v>20</v>
      </c>
      <c r="B23" s="60" t="s">
        <v>4</v>
      </c>
      <c r="C23" s="60" t="s">
        <v>41</v>
      </c>
      <c r="D23" s="60" t="s">
        <v>48</v>
      </c>
      <c r="E23" s="60" t="s">
        <v>49</v>
      </c>
      <c r="G23" s="60" t="str">
        <f>VLOOKUP(E23,[1]Data!$E$4:$BA$2455,42,0)</f>
        <v>RF</v>
      </c>
      <c r="H23" s="60" t="str">
        <f>VLOOKUP($E23,[1]Data!$E$4:$BA$2455,43,0)</f>
        <v>Refrigerator</v>
      </c>
      <c r="I23" s="60" t="str">
        <f>VLOOKUP($E23,[1]Data!$E$4:$BA$2455,44,0)</f>
        <v>RFTM</v>
      </c>
      <c r="J23" s="60" t="str">
        <f>VLOOKUP($E23,[1]Data!$E$4:$BA$2455,45,0)</f>
        <v>TMNF</v>
      </c>
      <c r="K23" s="60" t="str">
        <f>VLOOKUP($E23,[1]Data!$E$4:$BA$2455,46,0)</f>
        <v>RFTMTM</v>
      </c>
      <c r="L23" s="60" t="str">
        <f>VLOOKUP($E23,[1]Data!$E$4:$BA$2455,47,0)</f>
        <v>TMNF</v>
      </c>
      <c r="M23" s="60" t="str">
        <f>VLOOKUP($E23,[1]Data!$E$4:$BA$2455,48,0)</f>
        <v>RFTMTMMA</v>
      </c>
      <c r="N23" s="60" t="str">
        <f>VLOOKUP($E23,[1]Data!$E$4:$BA$2455,49,0)</f>
        <v>Medium REF</v>
      </c>
    </row>
    <row r="24" spans="1:16" x14ac:dyDescent="0.2">
      <c r="A24" s="60">
        <v>21</v>
      </c>
      <c r="B24" s="60" t="s">
        <v>50</v>
      </c>
      <c r="C24" s="60" t="s">
        <v>51</v>
      </c>
      <c r="D24" s="60" t="s">
        <v>52</v>
      </c>
      <c r="E24" s="60" t="s">
        <v>53</v>
      </c>
      <c r="G24" s="60" t="str">
        <f>VLOOKUP(E24,[1]Data!$E$4:$BA$2455,42,0)</f>
        <v>TV</v>
      </c>
      <c r="H24" s="60" t="str">
        <f>VLOOKUP($E24,[1]Data!$E$4:$BA$2455,43,0)</f>
        <v>TV</v>
      </c>
      <c r="I24" s="60" t="str">
        <f>VLOOKUP($E24,[1]Data!$E$4:$BA$2455,44,0)</f>
        <v>TVLE</v>
      </c>
      <c r="J24" s="60" t="str">
        <f>VLOOKUP($E24,[1]Data!$E$4:$BA$2455,45,0)</f>
        <v>LED LCD TV</v>
      </c>
      <c r="K24" s="60" t="str">
        <f>VLOOKUP($E24,[1]Data!$E$4:$BA$2455,46,0)</f>
        <v>TVLE86</v>
      </c>
      <c r="L24" s="60" t="str">
        <f>VLOOKUP($E24,[1]Data!$E$4:$BA$2455,47,0)</f>
        <v>LED LCD TV 86</v>
      </c>
      <c r="M24" s="60" t="str">
        <f>VLOOKUP($E24,[1]Data!$E$4:$BA$2455,48,0)</f>
        <v>TVLE86NU</v>
      </c>
      <c r="N24" s="60" t="str">
        <f>VLOOKUP($E24,[1]Data!$E$4:$BA$2455,49,0)</f>
        <v>LED LCD TV 86 (UD)</v>
      </c>
    </row>
    <row r="25" spans="1:16" x14ac:dyDescent="0.2">
      <c r="A25" s="60">
        <v>22</v>
      </c>
      <c r="B25" s="60" t="s">
        <v>50</v>
      </c>
      <c r="C25" s="60" t="s">
        <v>51</v>
      </c>
      <c r="D25" s="60" t="s">
        <v>54</v>
      </c>
      <c r="E25" s="60" t="s">
        <v>55</v>
      </c>
      <c r="G25" s="60" t="str">
        <f>VLOOKUP(E25,[1]Data!$E$4:$BA$2455,42,0)</f>
        <v>TV</v>
      </c>
      <c r="H25" s="60" t="str">
        <f>VLOOKUP($E25,[1]Data!$E$4:$BA$2455,43,0)</f>
        <v>TV</v>
      </c>
      <c r="I25" s="60" t="str">
        <f>VLOOKUP($E25,[1]Data!$E$4:$BA$2455,44,0)</f>
        <v>TVLE</v>
      </c>
      <c r="J25" s="60" t="str">
        <f>VLOOKUP($E25,[1]Data!$E$4:$BA$2455,45,0)</f>
        <v>LED LCD TV</v>
      </c>
      <c r="K25" s="60" t="str">
        <f>VLOOKUP($E25,[1]Data!$E$4:$BA$2455,46,0)</f>
        <v>TVLE75</v>
      </c>
      <c r="L25" s="60" t="str">
        <f>VLOOKUP($E25,[1]Data!$E$4:$BA$2455,47,0)</f>
        <v>LED LCD TV 75</v>
      </c>
      <c r="M25" s="60" t="str">
        <f>VLOOKUP($E25,[1]Data!$E$4:$BA$2455,48,0)</f>
        <v>TVLE75NU</v>
      </c>
      <c r="N25" s="60" t="str">
        <f>VLOOKUP($E25,[1]Data!$E$4:$BA$2455,49,0)</f>
        <v>LED LCD TV 75 (UD)</v>
      </c>
    </row>
    <row r="26" spans="1:16" x14ac:dyDescent="0.2">
      <c r="A26" s="60">
        <v>23</v>
      </c>
      <c r="B26" s="60" t="s">
        <v>50</v>
      </c>
      <c r="C26" s="60" t="s">
        <v>51</v>
      </c>
      <c r="D26" s="60" t="s">
        <v>56</v>
      </c>
      <c r="E26" s="60" t="s">
        <v>57</v>
      </c>
      <c r="G26" s="60" t="str">
        <f>VLOOKUP(E26,[1]Data!$E$4:$BA$2455,42,0)</f>
        <v>TV</v>
      </c>
      <c r="H26" s="60" t="str">
        <f>VLOOKUP($E26,[1]Data!$E$4:$BA$2455,43,0)</f>
        <v>TV</v>
      </c>
      <c r="I26" s="60" t="str">
        <f>VLOOKUP($E26,[1]Data!$E$4:$BA$2455,44,0)</f>
        <v>TVLE</v>
      </c>
      <c r="J26" s="60" t="str">
        <f>VLOOKUP($E26,[1]Data!$E$4:$BA$2455,45,0)</f>
        <v>LED LCD TV</v>
      </c>
      <c r="K26" s="60" t="str">
        <f>VLOOKUP($E26,[1]Data!$E$4:$BA$2455,46,0)</f>
        <v>TVLE65</v>
      </c>
      <c r="L26" s="60" t="str">
        <f>VLOOKUP($E26,[1]Data!$E$4:$BA$2455,47,0)</f>
        <v>LED LCD TV 65</v>
      </c>
      <c r="M26" s="60" t="str">
        <f>VLOOKUP($E26,[1]Data!$E$4:$BA$2455,48,0)</f>
        <v>TVLE65NU</v>
      </c>
      <c r="N26" s="60" t="str">
        <f>VLOOKUP($E26,[1]Data!$E$4:$BA$2455,49,0)</f>
        <v>LED LCD TV 65 (UD)</v>
      </c>
    </row>
    <row r="27" spans="1:16" x14ac:dyDescent="0.2">
      <c r="A27" s="60">
        <v>24</v>
      </c>
      <c r="B27" s="60" t="s">
        <v>50</v>
      </c>
      <c r="C27" s="60" t="s">
        <v>58</v>
      </c>
      <c r="D27" s="60" t="s">
        <v>59</v>
      </c>
      <c r="E27" s="60" t="s">
        <v>60</v>
      </c>
      <c r="G27" s="60" t="str">
        <f>VLOOKUP(E27,[1]Data!$E$4:$BA$2455,42,0)</f>
        <v>TV</v>
      </c>
      <c r="H27" s="60" t="str">
        <f>VLOOKUP($E27,[1]Data!$E$4:$BA$2455,43,0)</f>
        <v>TV</v>
      </c>
      <c r="I27" s="60" t="str">
        <f>VLOOKUP($E27,[1]Data!$E$4:$BA$2455,44,0)</f>
        <v>TVLV</v>
      </c>
      <c r="J27" s="60" t="str">
        <f>VLOOKUP($E27,[1]Data!$E$4:$BA$2455,45,0)</f>
        <v>Premium OLED TV</v>
      </c>
      <c r="K27" s="60" t="str">
        <f>VLOOKUP($E27,[1]Data!$E$4:$BA$2455,46,0)</f>
        <v>TVLV83</v>
      </c>
      <c r="L27" s="60" t="str">
        <f>VLOOKUP($E27,[1]Data!$E$4:$BA$2455,47,0)</f>
        <v>Premium OLED TV 83</v>
      </c>
      <c r="M27" s="60" t="str">
        <f>VLOOKUP($E27,[1]Data!$E$4:$BA$2455,48,0)</f>
        <v>TVLV83NU</v>
      </c>
      <c r="N27" s="60" t="str">
        <f>VLOOKUP($E27,[1]Data!$E$4:$BA$2455,49,0)</f>
        <v>Premium OLED TV 83 (UD)</v>
      </c>
    </row>
    <row r="28" spans="1:16" x14ac:dyDescent="0.2">
      <c r="A28" s="60">
        <v>25</v>
      </c>
      <c r="B28" s="60" t="s">
        <v>50</v>
      </c>
      <c r="C28" s="60" t="s">
        <v>58</v>
      </c>
      <c r="D28" s="60" t="s">
        <v>61</v>
      </c>
      <c r="E28" s="60" t="s">
        <v>62</v>
      </c>
      <c r="G28" s="60" t="str">
        <f>VLOOKUP(E28,[1]Data!$E$4:$BA$2455,42,0)</f>
        <v>TV</v>
      </c>
      <c r="H28" s="60" t="str">
        <f>VLOOKUP($E28,[1]Data!$E$4:$BA$2455,43,0)</f>
        <v>TV</v>
      </c>
      <c r="I28" s="60" t="str">
        <f>VLOOKUP($E28,[1]Data!$E$4:$BA$2455,44,0)</f>
        <v>TVLV</v>
      </c>
      <c r="J28" s="60" t="str">
        <f>VLOOKUP($E28,[1]Data!$E$4:$BA$2455,45,0)</f>
        <v>Premium OLED TV</v>
      </c>
      <c r="K28" s="60" t="str">
        <f>VLOOKUP($E28,[1]Data!$E$4:$BA$2455,46,0)</f>
        <v>TVLV77</v>
      </c>
      <c r="L28" s="60" t="str">
        <f>VLOOKUP($E28,[1]Data!$E$4:$BA$2455,47,0)</f>
        <v>Premium OLED TV 77</v>
      </c>
      <c r="M28" s="60" t="str">
        <f>VLOOKUP($E28,[1]Data!$E$4:$BA$2455,48,0)</f>
        <v>TVLV77NU</v>
      </c>
      <c r="N28" s="60" t="str">
        <f>VLOOKUP($E28,[1]Data!$E$4:$BA$2455,49,0)</f>
        <v>Premium OLED TV 77 (UD)</v>
      </c>
    </row>
    <row r="29" spans="1:16" x14ac:dyDescent="0.2">
      <c r="A29" s="60">
        <v>26</v>
      </c>
      <c r="B29" s="60" t="s">
        <v>50</v>
      </c>
      <c r="C29" s="60" t="s">
        <v>58</v>
      </c>
      <c r="D29" s="60" t="s">
        <v>63</v>
      </c>
      <c r="E29" s="60" t="s">
        <v>64</v>
      </c>
      <c r="G29" s="60" t="str">
        <f>VLOOKUP(E29,[1]Data!$E$4:$BA$2455,42,0)</f>
        <v>TV</v>
      </c>
      <c r="H29" s="60" t="str">
        <f>VLOOKUP($E29,[1]Data!$E$4:$BA$2455,43,0)</f>
        <v>TV</v>
      </c>
      <c r="I29" s="60" t="str">
        <f>VLOOKUP($E29,[1]Data!$E$4:$BA$2455,44,0)</f>
        <v>TVLV</v>
      </c>
      <c r="J29" s="60" t="str">
        <f>VLOOKUP($E29,[1]Data!$E$4:$BA$2455,45,0)</f>
        <v>Premium OLED TV</v>
      </c>
      <c r="K29" s="60" t="str">
        <f>VLOOKUP($E29,[1]Data!$E$4:$BA$2455,46,0)</f>
        <v>TVLV65</v>
      </c>
      <c r="L29" s="60" t="str">
        <f>VLOOKUP($E29,[1]Data!$E$4:$BA$2455,47,0)</f>
        <v>Premium OLED TV 65</v>
      </c>
      <c r="M29" s="60" t="str">
        <f>VLOOKUP($E29,[1]Data!$E$4:$BA$2455,48,0)</f>
        <v>TVLV65NU</v>
      </c>
      <c r="N29" s="60" t="str">
        <f>VLOOKUP($E29,[1]Data!$E$4:$BA$2455,49,0)</f>
        <v>Premium OLED TV 65 (UD)</v>
      </c>
    </row>
    <row r="30" spans="1:16" x14ac:dyDescent="0.2">
      <c r="A30" s="60">
        <v>27</v>
      </c>
      <c r="B30" s="60" t="s">
        <v>50</v>
      </c>
      <c r="C30" s="60" t="s">
        <v>58</v>
      </c>
      <c r="D30" s="60" t="s">
        <v>65</v>
      </c>
      <c r="E30" s="60" t="s">
        <v>66</v>
      </c>
      <c r="G30" s="60" t="str">
        <f>VLOOKUP(E30,[1]Data!$E$4:$BA$2455,42,0)</f>
        <v>TV</v>
      </c>
      <c r="H30" s="60" t="str">
        <f>VLOOKUP($E30,[1]Data!$E$4:$BA$2455,43,0)</f>
        <v>TV</v>
      </c>
      <c r="I30" s="60" t="str">
        <f>VLOOKUP($E30,[1]Data!$E$4:$BA$2455,44,0)</f>
        <v>TVLV</v>
      </c>
      <c r="J30" s="60" t="str">
        <f>VLOOKUP($E30,[1]Data!$E$4:$BA$2455,45,0)</f>
        <v>Premium OLED TV</v>
      </c>
      <c r="K30" s="60" t="str">
        <f>VLOOKUP($E30,[1]Data!$E$4:$BA$2455,46,0)</f>
        <v>TVLV55</v>
      </c>
      <c r="L30" s="60" t="str">
        <f>VLOOKUP($E30,[1]Data!$E$4:$BA$2455,47,0)</f>
        <v>Premium OLED TV 55</v>
      </c>
      <c r="M30" s="60" t="str">
        <f>VLOOKUP($E30,[1]Data!$E$4:$BA$2455,48,0)</f>
        <v>TVLV55NU</v>
      </c>
      <c r="N30" s="60" t="str">
        <f>VLOOKUP($E30,[1]Data!$E$4:$BA$2455,49,0)</f>
        <v>Premium OLED TV 55 (UD)</v>
      </c>
    </row>
    <row r="31" spans="1:16" x14ac:dyDescent="0.2">
      <c r="A31" s="60">
        <v>28</v>
      </c>
      <c r="B31" s="60" t="s">
        <v>50</v>
      </c>
      <c r="C31" s="60" t="s">
        <v>58</v>
      </c>
      <c r="D31" s="60" t="s">
        <v>67</v>
      </c>
      <c r="E31" s="60" t="s">
        <v>68</v>
      </c>
      <c r="G31" s="60" t="str">
        <f>VLOOKUP(E31,[1]Data!$E$4:$BA$2455,42,0)</f>
        <v>TV</v>
      </c>
      <c r="H31" s="60" t="str">
        <f>VLOOKUP($E31,[1]Data!$E$4:$BA$2455,43,0)</f>
        <v>TV</v>
      </c>
      <c r="I31" s="60" t="str">
        <f>VLOOKUP($E31,[1]Data!$E$4:$BA$2455,44,0)</f>
        <v>TVLO</v>
      </c>
      <c r="J31" s="60" t="str">
        <f>VLOOKUP($E31,[1]Data!$E$4:$BA$2455,45,0)</f>
        <v>OLED TV</v>
      </c>
      <c r="K31" s="60" t="str">
        <f>VLOOKUP($E31,[1]Data!$E$4:$BA$2455,46,0)</f>
        <v>TVLO83</v>
      </c>
      <c r="L31" s="60" t="str">
        <f>VLOOKUP($E31,[1]Data!$E$4:$BA$2455,47,0)</f>
        <v>OLED TV 83</v>
      </c>
      <c r="M31" s="60" t="str">
        <f>VLOOKUP($E31,[1]Data!$E$4:$BA$2455,48,0)</f>
        <v>TVLO83NU</v>
      </c>
      <c r="N31" s="60" t="str">
        <f>VLOOKUP($E31,[1]Data!$E$4:$BA$2455,49,0)</f>
        <v>OLED TV 83 (UD)</v>
      </c>
    </row>
    <row r="32" spans="1:16" x14ac:dyDescent="0.2">
      <c r="A32" s="60">
        <v>29</v>
      </c>
      <c r="B32" s="60" t="s">
        <v>50</v>
      </c>
      <c r="C32" s="60" t="s">
        <v>58</v>
      </c>
      <c r="D32" s="60" t="s">
        <v>69</v>
      </c>
      <c r="E32" s="60" t="s">
        <v>70</v>
      </c>
      <c r="G32" s="60" t="str">
        <f>VLOOKUP(E32,[1]Data!$E$4:$BA$2455,42,0)</f>
        <v>TV</v>
      </c>
      <c r="H32" s="60" t="str">
        <f>VLOOKUP($E32,[1]Data!$E$4:$BA$2455,43,0)</f>
        <v>TV</v>
      </c>
      <c r="I32" s="60" t="str">
        <f>VLOOKUP($E32,[1]Data!$E$4:$BA$2455,44,0)</f>
        <v>TVLO</v>
      </c>
      <c r="J32" s="60" t="str">
        <f>VLOOKUP($E32,[1]Data!$E$4:$BA$2455,45,0)</f>
        <v>OLED TV</v>
      </c>
      <c r="K32" s="60" t="str">
        <f>VLOOKUP($E32,[1]Data!$E$4:$BA$2455,46,0)</f>
        <v>TVLO77</v>
      </c>
      <c r="L32" s="60" t="str">
        <f>VLOOKUP($E32,[1]Data!$E$4:$BA$2455,47,0)</f>
        <v>OLED TV 77</v>
      </c>
      <c r="M32" s="60" t="str">
        <f>VLOOKUP($E32,[1]Data!$E$4:$BA$2455,48,0)</f>
        <v>TVLO77NU</v>
      </c>
      <c r="N32" s="60" t="str">
        <f>VLOOKUP($E32,[1]Data!$E$4:$BA$2455,49,0)</f>
        <v>OLED TV 77 (UD)</v>
      </c>
    </row>
    <row r="33" spans="1:14" x14ac:dyDescent="0.2">
      <c r="A33" s="60">
        <v>30</v>
      </c>
      <c r="B33" s="60" t="s">
        <v>50</v>
      </c>
      <c r="C33" s="60" t="s">
        <v>58</v>
      </c>
      <c r="D33" s="60" t="s">
        <v>71</v>
      </c>
      <c r="E33" s="60" t="s">
        <v>72</v>
      </c>
      <c r="G33" s="60" t="str">
        <f>VLOOKUP(E33,[1]Data!$E$4:$BA$2455,42,0)</f>
        <v>TV</v>
      </c>
      <c r="H33" s="60" t="str">
        <f>VLOOKUP($E33,[1]Data!$E$4:$BA$2455,43,0)</f>
        <v>TV</v>
      </c>
      <c r="I33" s="60" t="str">
        <f>VLOOKUP($E33,[1]Data!$E$4:$BA$2455,44,0)</f>
        <v>TVLO</v>
      </c>
      <c r="J33" s="60" t="str">
        <f>VLOOKUP($E33,[1]Data!$E$4:$BA$2455,45,0)</f>
        <v>OLED TV</v>
      </c>
      <c r="K33" s="60" t="str">
        <f>VLOOKUP($E33,[1]Data!$E$4:$BA$2455,46,0)</f>
        <v>TVLO65</v>
      </c>
      <c r="L33" s="60" t="str">
        <f>VLOOKUP($E33,[1]Data!$E$4:$BA$2455,47,0)</f>
        <v>OLED TV 65</v>
      </c>
      <c r="M33" s="60" t="str">
        <f>VLOOKUP($E33,[1]Data!$E$4:$BA$2455,48,0)</f>
        <v>TVLO65NU</v>
      </c>
      <c r="N33" s="60" t="str">
        <f>VLOOKUP($E33,[1]Data!$E$4:$BA$2455,49,0)</f>
        <v>OLED TV 65 (UD)</v>
      </c>
    </row>
    <row r="34" spans="1:14" x14ac:dyDescent="0.2">
      <c r="A34" s="60">
        <v>31</v>
      </c>
      <c r="B34" s="60" t="s">
        <v>50</v>
      </c>
      <c r="C34" s="60" t="s">
        <v>58</v>
      </c>
      <c r="D34" s="60" t="s">
        <v>73</v>
      </c>
      <c r="E34" s="60" t="s">
        <v>74</v>
      </c>
      <c r="G34" s="60" t="str">
        <f>VLOOKUP(E34,[1]Data!$E$4:$BA$2455,42,0)</f>
        <v>TV</v>
      </c>
      <c r="H34" s="60" t="str">
        <f>VLOOKUP($E34,[1]Data!$E$4:$BA$2455,43,0)</f>
        <v>TV</v>
      </c>
      <c r="I34" s="60" t="str">
        <f>VLOOKUP($E34,[1]Data!$E$4:$BA$2455,44,0)</f>
        <v>TVLO</v>
      </c>
      <c r="J34" s="60" t="str">
        <f>VLOOKUP($E34,[1]Data!$E$4:$BA$2455,45,0)</f>
        <v>OLED TV</v>
      </c>
      <c r="K34" s="60" t="str">
        <f>VLOOKUP($E34,[1]Data!$E$4:$BA$2455,46,0)</f>
        <v>TVLO55</v>
      </c>
      <c r="L34" s="60" t="str">
        <f>VLOOKUP($E34,[1]Data!$E$4:$BA$2455,47,0)</f>
        <v>OLED TV 55</v>
      </c>
      <c r="M34" s="60" t="str">
        <f>VLOOKUP($E34,[1]Data!$E$4:$BA$2455,48,0)</f>
        <v>TVLO55NU</v>
      </c>
      <c r="N34" s="60" t="str">
        <f>VLOOKUP($E34,[1]Data!$E$4:$BA$2455,49,0)</f>
        <v>OLED TV 55 (UD)</v>
      </c>
    </row>
    <row r="35" spans="1:14" x14ac:dyDescent="0.2">
      <c r="A35" s="60">
        <v>32</v>
      </c>
      <c r="B35" s="60" t="s">
        <v>50</v>
      </c>
      <c r="C35" s="60" t="s">
        <v>58</v>
      </c>
      <c r="D35" s="60" t="s">
        <v>75</v>
      </c>
      <c r="E35" s="60" t="s">
        <v>76</v>
      </c>
      <c r="G35" s="60" t="str">
        <f>VLOOKUP(E35,[1]Data!$E$4:$BA$2455,42,0)</f>
        <v>TV</v>
      </c>
      <c r="H35" s="60" t="str">
        <f>VLOOKUP($E35,[1]Data!$E$4:$BA$2455,43,0)</f>
        <v>TV</v>
      </c>
      <c r="I35" s="60" t="str">
        <f>VLOOKUP($E35,[1]Data!$E$4:$BA$2455,44,0)</f>
        <v>TVLO</v>
      </c>
      <c r="J35" s="60" t="str">
        <f>VLOOKUP($E35,[1]Data!$E$4:$BA$2455,45,0)</f>
        <v>OLED TV</v>
      </c>
      <c r="K35" s="60" t="str">
        <f>VLOOKUP($E35,[1]Data!$E$4:$BA$2455,46,0)</f>
        <v>TVLO77</v>
      </c>
      <c r="L35" s="60" t="str">
        <f>VLOOKUP($E35,[1]Data!$E$4:$BA$2455,47,0)</f>
        <v>OLED TV 77</v>
      </c>
      <c r="M35" s="60" t="str">
        <f>VLOOKUP($E35,[1]Data!$E$4:$BA$2455,48,0)</f>
        <v>TVLO77NU</v>
      </c>
      <c r="N35" s="60" t="str">
        <f>VLOOKUP($E35,[1]Data!$E$4:$BA$2455,49,0)</f>
        <v>OLED TV 77 (UD)</v>
      </c>
    </row>
    <row r="36" spans="1:14" x14ac:dyDescent="0.2">
      <c r="A36" s="60">
        <v>33</v>
      </c>
      <c r="B36" s="60" t="s">
        <v>50</v>
      </c>
      <c r="C36" s="60" t="s">
        <v>58</v>
      </c>
      <c r="D36" s="60" t="s">
        <v>77</v>
      </c>
      <c r="E36" s="60" t="s">
        <v>78</v>
      </c>
      <c r="G36" s="60" t="str">
        <f>VLOOKUP(E36,[1]Data!$E$4:$BA$2455,42,0)</f>
        <v>TV</v>
      </c>
      <c r="H36" s="60" t="str">
        <f>VLOOKUP($E36,[1]Data!$E$4:$BA$2455,43,0)</f>
        <v>TV</v>
      </c>
      <c r="I36" s="60" t="str">
        <f>VLOOKUP($E36,[1]Data!$E$4:$BA$2455,44,0)</f>
        <v>TVLO</v>
      </c>
      <c r="J36" s="60" t="str">
        <f>VLOOKUP($E36,[1]Data!$E$4:$BA$2455,45,0)</f>
        <v>OLED TV</v>
      </c>
      <c r="K36" s="60" t="str">
        <f>VLOOKUP($E36,[1]Data!$E$4:$BA$2455,46,0)</f>
        <v>TVLO65</v>
      </c>
      <c r="L36" s="60" t="str">
        <f>VLOOKUP($E36,[1]Data!$E$4:$BA$2455,47,0)</f>
        <v>OLED TV 65</v>
      </c>
      <c r="M36" s="60" t="str">
        <f>VLOOKUP($E36,[1]Data!$E$4:$BA$2455,48,0)</f>
        <v>TVLO65NU</v>
      </c>
      <c r="N36" s="60" t="str">
        <f>VLOOKUP($E36,[1]Data!$E$4:$BA$2455,49,0)</f>
        <v>OLED TV 65 (UD)</v>
      </c>
    </row>
    <row r="37" spans="1:14" x14ac:dyDescent="0.2">
      <c r="A37" s="60">
        <v>34</v>
      </c>
      <c r="B37" s="60" t="s">
        <v>50</v>
      </c>
      <c r="C37" s="60" t="s">
        <v>58</v>
      </c>
      <c r="D37" s="60" t="s">
        <v>79</v>
      </c>
      <c r="E37" s="60" t="s">
        <v>80</v>
      </c>
      <c r="G37" s="60" t="str">
        <f>VLOOKUP(E37,[1]Data!$E$4:$BA$2455,42,0)</f>
        <v>TV</v>
      </c>
      <c r="H37" s="60" t="str">
        <f>VLOOKUP($E37,[1]Data!$E$4:$BA$2455,43,0)</f>
        <v>TV</v>
      </c>
      <c r="I37" s="60" t="str">
        <f>VLOOKUP($E37,[1]Data!$E$4:$BA$2455,44,0)</f>
        <v>TVLO</v>
      </c>
      <c r="J37" s="60" t="str">
        <f>VLOOKUP($E37,[1]Data!$E$4:$BA$2455,45,0)</f>
        <v>OLED TV</v>
      </c>
      <c r="K37" s="60" t="str">
        <f>VLOOKUP($E37,[1]Data!$E$4:$BA$2455,46,0)</f>
        <v>TVLO55</v>
      </c>
      <c r="L37" s="60" t="str">
        <f>VLOOKUP($E37,[1]Data!$E$4:$BA$2455,47,0)</f>
        <v>OLED TV 55</v>
      </c>
      <c r="M37" s="60" t="str">
        <f>VLOOKUP($E37,[1]Data!$E$4:$BA$2455,48,0)</f>
        <v>TVLO55NU</v>
      </c>
      <c r="N37" s="60" t="str">
        <f>VLOOKUP($E37,[1]Data!$E$4:$BA$2455,49,0)</f>
        <v>OLED TV 55 (UD)</v>
      </c>
    </row>
    <row r="38" spans="1:14" x14ac:dyDescent="0.2">
      <c r="A38" s="60">
        <v>35</v>
      </c>
      <c r="B38" s="60" t="s">
        <v>50</v>
      </c>
      <c r="C38" s="60" t="s">
        <v>81</v>
      </c>
      <c r="D38" s="60" t="s">
        <v>82</v>
      </c>
      <c r="E38" s="60" t="s">
        <v>83</v>
      </c>
      <c r="G38" s="60" t="str">
        <f>VLOOKUP(E38,[1]Data!$E$4:$BA$2455,42,0)</f>
        <v>TV</v>
      </c>
      <c r="H38" s="60" t="str">
        <f>VLOOKUP($E38,[1]Data!$E$4:$BA$2455,43,0)</f>
        <v>TV</v>
      </c>
      <c r="I38" s="60" t="str">
        <f>VLOOKUP($E38,[1]Data!$E$4:$BA$2455,44,0)</f>
        <v>TVLE</v>
      </c>
      <c r="J38" s="60" t="str">
        <f>VLOOKUP($E38,[1]Data!$E$4:$BA$2455,45,0)</f>
        <v>LED LCD TV</v>
      </c>
      <c r="K38" s="60" t="str">
        <f>VLOOKUP($E38,[1]Data!$E$4:$BA$2455,46,0)</f>
        <v>TVLEA0</v>
      </c>
      <c r="L38" s="60" t="str">
        <f>VLOOKUP($E38,[1]Data!$E$4:$BA$2455,47,0)</f>
        <v>LED LCD TV 100</v>
      </c>
      <c r="M38" s="60" t="str">
        <f>VLOOKUP($E38,[1]Data!$E$4:$BA$2455,48,0)</f>
        <v>TVLEA0NU</v>
      </c>
      <c r="N38" s="60" t="str">
        <f>VLOOKUP($E38,[1]Data!$E$4:$BA$2455,49,0)</f>
        <v>LED LCD TV 100 (UD)</v>
      </c>
    </row>
    <row r="39" spans="1:14" x14ac:dyDescent="0.2">
      <c r="A39" s="60">
        <v>36</v>
      </c>
      <c r="B39" s="60" t="s">
        <v>50</v>
      </c>
      <c r="C39" s="60" t="s">
        <v>81</v>
      </c>
      <c r="D39" s="60" t="s">
        <v>84</v>
      </c>
      <c r="E39" s="60" t="s">
        <v>85</v>
      </c>
      <c r="G39" s="60" t="str">
        <f>VLOOKUP(E39,[1]Data!$E$4:$BA$2455,42,0)</f>
        <v>TV</v>
      </c>
      <c r="H39" s="60" t="str">
        <f>VLOOKUP($E39,[1]Data!$E$4:$BA$2455,43,0)</f>
        <v>TV</v>
      </c>
      <c r="I39" s="60" t="str">
        <f>VLOOKUP($E39,[1]Data!$E$4:$BA$2455,44,0)</f>
        <v>TVLE</v>
      </c>
      <c r="J39" s="60" t="str">
        <f>VLOOKUP($E39,[1]Data!$E$4:$BA$2455,45,0)</f>
        <v>LED LCD TV</v>
      </c>
      <c r="K39" s="60" t="str">
        <f>VLOOKUP($E39,[1]Data!$E$4:$BA$2455,46,0)</f>
        <v>TVLE86</v>
      </c>
      <c r="L39" s="60" t="str">
        <f>VLOOKUP($E39,[1]Data!$E$4:$BA$2455,47,0)</f>
        <v>LED LCD TV 86</v>
      </c>
      <c r="M39" s="60" t="str">
        <f>VLOOKUP($E39,[1]Data!$E$4:$BA$2455,48,0)</f>
        <v>TVLE86NU</v>
      </c>
      <c r="N39" s="60" t="str">
        <f>VLOOKUP($E39,[1]Data!$E$4:$BA$2455,49,0)</f>
        <v>LED LCD TV 86 (UD)</v>
      </c>
    </row>
    <row r="40" spans="1:14" x14ac:dyDescent="0.2">
      <c r="A40" s="60">
        <v>37</v>
      </c>
      <c r="B40" s="60" t="s">
        <v>50</v>
      </c>
      <c r="C40" s="60" t="s">
        <v>81</v>
      </c>
      <c r="D40" s="60" t="s">
        <v>86</v>
      </c>
      <c r="E40" s="60" t="s">
        <v>87</v>
      </c>
      <c r="G40" s="60" t="str">
        <f>VLOOKUP(E40,[1]Data!$E$4:$BA$2455,42,0)</f>
        <v>TV</v>
      </c>
      <c r="H40" s="60" t="str">
        <f>VLOOKUP($E40,[1]Data!$E$4:$BA$2455,43,0)</f>
        <v>TV</v>
      </c>
      <c r="I40" s="60" t="str">
        <f>VLOOKUP($E40,[1]Data!$E$4:$BA$2455,44,0)</f>
        <v>TVLE</v>
      </c>
      <c r="J40" s="60" t="str">
        <f>VLOOKUP($E40,[1]Data!$E$4:$BA$2455,45,0)</f>
        <v>LED LCD TV</v>
      </c>
      <c r="K40" s="60" t="str">
        <f>VLOOKUP($E40,[1]Data!$E$4:$BA$2455,46,0)</f>
        <v>TVLE75</v>
      </c>
      <c r="L40" s="60" t="str">
        <f>VLOOKUP($E40,[1]Data!$E$4:$BA$2455,47,0)</f>
        <v>LED LCD TV 75</v>
      </c>
      <c r="M40" s="60" t="str">
        <f>VLOOKUP($E40,[1]Data!$E$4:$BA$2455,48,0)</f>
        <v>TVLE75NU</v>
      </c>
      <c r="N40" s="60" t="str">
        <f>VLOOKUP($E40,[1]Data!$E$4:$BA$2455,49,0)</f>
        <v>LED LCD TV 75 (UD)</v>
      </c>
    </row>
    <row r="41" spans="1:14" x14ac:dyDescent="0.2">
      <c r="A41" s="60">
        <v>38</v>
      </c>
      <c r="B41" s="60" t="s">
        <v>50</v>
      </c>
      <c r="C41" s="60" t="s">
        <v>81</v>
      </c>
      <c r="D41" s="60" t="s">
        <v>88</v>
      </c>
      <c r="E41" s="60" t="s">
        <v>89</v>
      </c>
      <c r="G41" s="60" t="str">
        <f>VLOOKUP(E41,[1]Data!$E$4:$BA$2455,42,0)</f>
        <v>TV</v>
      </c>
      <c r="H41" s="60" t="str">
        <f>VLOOKUP($E41,[1]Data!$E$4:$BA$2455,43,0)</f>
        <v>TV</v>
      </c>
      <c r="I41" s="60" t="str">
        <f>VLOOKUP($E41,[1]Data!$E$4:$BA$2455,44,0)</f>
        <v>TVLE</v>
      </c>
      <c r="J41" s="60" t="str">
        <f>VLOOKUP($E41,[1]Data!$E$4:$BA$2455,45,0)</f>
        <v>LED LCD TV</v>
      </c>
      <c r="K41" s="60" t="str">
        <f>VLOOKUP($E41,[1]Data!$E$4:$BA$2455,46,0)</f>
        <v>TVLE65</v>
      </c>
      <c r="L41" s="60" t="str">
        <f>VLOOKUP($E41,[1]Data!$E$4:$BA$2455,47,0)</f>
        <v>LED LCD TV 65</v>
      </c>
      <c r="M41" s="60" t="str">
        <f>VLOOKUP($E41,[1]Data!$E$4:$BA$2455,48,0)</f>
        <v>TVLE65NU</v>
      </c>
      <c r="N41" s="60" t="str">
        <f>VLOOKUP($E41,[1]Data!$E$4:$BA$2455,49,0)</f>
        <v>LED LCD TV 65 (UD)</v>
      </c>
    </row>
    <row r="42" spans="1:14" x14ac:dyDescent="0.2">
      <c r="A42" s="60">
        <v>39</v>
      </c>
      <c r="B42" s="60" t="s">
        <v>50</v>
      </c>
      <c r="C42" s="60" t="s">
        <v>81</v>
      </c>
      <c r="D42" s="60" t="s">
        <v>90</v>
      </c>
      <c r="E42" s="60" t="s">
        <v>91</v>
      </c>
      <c r="G42" s="60" t="str">
        <f>VLOOKUP(E42,[1]Data!$E$4:$BA$2455,42,0)</f>
        <v>TV</v>
      </c>
      <c r="H42" s="60" t="str">
        <f>VLOOKUP($E42,[1]Data!$E$4:$BA$2455,43,0)</f>
        <v>TV</v>
      </c>
      <c r="I42" s="60" t="str">
        <f>VLOOKUP($E42,[1]Data!$E$4:$BA$2455,44,0)</f>
        <v>TVLE</v>
      </c>
      <c r="J42" s="60" t="str">
        <f>VLOOKUP($E42,[1]Data!$E$4:$BA$2455,45,0)</f>
        <v>LED LCD TV</v>
      </c>
      <c r="K42" s="60" t="str">
        <f>VLOOKUP($E42,[1]Data!$E$4:$BA$2455,46,0)</f>
        <v>TVLE55</v>
      </c>
      <c r="L42" s="60" t="str">
        <f>VLOOKUP($E42,[1]Data!$E$4:$BA$2455,47,0)</f>
        <v>LED LCD TV 55</v>
      </c>
      <c r="M42" s="60" t="str">
        <f>VLOOKUP($E42,[1]Data!$E$4:$BA$2455,48,0)</f>
        <v>TVLE55NU</v>
      </c>
      <c r="N42" s="60" t="str">
        <f>VLOOKUP($E42,[1]Data!$E$4:$BA$2455,49,0)</f>
        <v>LED LCD TV 55 (UD)</v>
      </c>
    </row>
    <row r="43" spans="1:14" x14ac:dyDescent="0.2">
      <c r="A43" s="60">
        <v>40</v>
      </c>
      <c r="B43" s="60" t="s">
        <v>50</v>
      </c>
      <c r="C43" s="60" t="s">
        <v>81</v>
      </c>
      <c r="D43" s="60" t="s">
        <v>92</v>
      </c>
      <c r="E43" s="60" t="s">
        <v>93</v>
      </c>
      <c r="G43" s="60" t="str">
        <f>VLOOKUP(E43,[1]Data!$E$4:$BA$2455,42,0)</f>
        <v>TV</v>
      </c>
      <c r="H43" s="60" t="str">
        <f>VLOOKUP($E43,[1]Data!$E$4:$BA$2455,43,0)</f>
        <v>TV</v>
      </c>
      <c r="I43" s="60" t="str">
        <f>VLOOKUP($E43,[1]Data!$E$4:$BA$2455,44,0)</f>
        <v>TVLE</v>
      </c>
      <c r="J43" s="60" t="str">
        <f>VLOOKUP($E43,[1]Data!$E$4:$BA$2455,45,0)</f>
        <v>LED LCD TV</v>
      </c>
      <c r="K43" s="60" t="str">
        <f>VLOOKUP($E43,[1]Data!$E$4:$BA$2455,46,0)</f>
        <v>TVLE85</v>
      </c>
      <c r="L43" s="60" t="str">
        <f>VLOOKUP($E43,[1]Data!$E$4:$BA$2455,47,0)</f>
        <v>LED LCD TV 85</v>
      </c>
      <c r="M43" s="60" t="str">
        <f>VLOOKUP($E43,[1]Data!$E$4:$BA$2455,48,0)</f>
        <v>TVLE85NU</v>
      </c>
      <c r="N43" s="60" t="str">
        <f>VLOOKUP($E43,[1]Data!$E$4:$BA$2455,49,0)</f>
        <v>LED LCD TV 85 (UD)</v>
      </c>
    </row>
    <row r="44" spans="1:14" x14ac:dyDescent="0.2">
      <c r="A44" s="60">
        <v>41</v>
      </c>
      <c r="B44" s="60" t="s">
        <v>50</v>
      </c>
      <c r="C44" s="60" t="s">
        <v>81</v>
      </c>
      <c r="D44" s="60" t="s">
        <v>94</v>
      </c>
      <c r="E44" s="60" t="s">
        <v>95</v>
      </c>
      <c r="G44" s="60" t="str">
        <f>VLOOKUP(E44,[1]Data!$E$4:$BA$2455,42,0)</f>
        <v>TV</v>
      </c>
      <c r="H44" s="60" t="str">
        <f>VLOOKUP($E44,[1]Data!$E$4:$BA$2455,43,0)</f>
        <v>TV</v>
      </c>
      <c r="I44" s="60" t="str">
        <f>VLOOKUP($E44,[1]Data!$E$4:$BA$2455,44,0)</f>
        <v>TVLE</v>
      </c>
      <c r="J44" s="60" t="str">
        <f>VLOOKUP($E44,[1]Data!$E$4:$BA$2455,45,0)</f>
        <v>LED LCD TV</v>
      </c>
      <c r="K44" s="60" t="str">
        <f>VLOOKUP($E44,[1]Data!$E$4:$BA$2455,46,0)</f>
        <v>TVLE75</v>
      </c>
      <c r="L44" s="60" t="str">
        <f>VLOOKUP($E44,[1]Data!$E$4:$BA$2455,47,0)</f>
        <v>LED LCD TV 75</v>
      </c>
      <c r="M44" s="60" t="str">
        <f>VLOOKUP($E44,[1]Data!$E$4:$BA$2455,48,0)</f>
        <v>TVLE75NU</v>
      </c>
      <c r="N44" s="60" t="str">
        <f>VLOOKUP($E44,[1]Data!$E$4:$BA$2455,49,0)</f>
        <v>LED LCD TV 75 (UD)</v>
      </c>
    </row>
    <row r="45" spans="1:14" x14ac:dyDescent="0.2">
      <c r="A45" s="60">
        <v>42</v>
      </c>
      <c r="B45" s="60" t="s">
        <v>50</v>
      </c>
      <c r="C45" s="60" t="s">
        <v>81</v>
      </c>
      <c r="D45" s="60" t="s">
        <v>96</v>
      </c>
      <c r="E45" s="60" t="s">
        <v>97</v>
      </c>
      <c r="G45" s="60" t="str">
        <f>VLOOKUP(E45,[1]Data!$E$4:$BA$2455,42,0)</f>
        <v>TV</v>
      </c>
      <c r="H45" s="60" t="str">
        <f>VLOOKUP($E45,[1]Data!$E$4:$BA$2455,43,0)</f>
        <v>TV</v>
      </c>
      <c r="I45" s="60" t="str">
        <f>VLOOKUP($E45,[1]Data!$E$4:$BA$2455,44,0)</f>
        <v>TVLE</v>
      </c>
      <c r="J45" s="60" t="str">
        <f>VLOOKUP($E45,[1]Data!$E$4:$BA$2455,45,0)</f>
        <v>LED LCD TV</v>
      </c>
      <c r="K45" s="60" t="str">
        <f>VLOOKUP($E45,[1]Data!$E$4:$BA$2455,46,0)</f>
        <v>TVLE65</v>
      </c>
      <c r="L45" s="60" t="str">
        <f>VLOOKUP($E45,[1]Data!$E$4:$BA$2455,47,0)</f>
        <v>LED LCD TV 65</v>
      </c>
      <c r="M45" s="60" t="str">
        <f>VLOOKUP($E45,[1]Data!$E$4:$BA$2455,48,0)</f>
        <v>TVLE65NU</v>
      </c>
      <c r="N45" s="60" t="str">
        <f>VLOOKUP($E45,[1]Data!$E$4:$BA$2455,49,0)</f>
        <v>LED LCD TV 65 (UD)</v>
      </c>
    </row>
    <row r="46" spans="1:14" x14ac:dyDescent="0.2">
      <c r="A46" s="60">
        <v>43</v>
      </c>
      <c r="B46" s="60" t="s">
        <v>50</v>
      </c>
      <c r="C46" s="60" t="s">
        <v>81</v>
      </c>
      <c r="D46" s="60" t="s">
        <v>98</v>
      </c>
      <c r="E46" s="60" t="s">
        <v>99</v>
      </c>
      <c r="G46" s="60" t="str">
        <f>VLOOKUP(E46,[1]Data!$E$4:$BA$2455,42,0)</f>
        <v>TV</v>
      </c>
      <c r="H46" s="60" t="str">
        <f>VLOOKUP($E46,[1]Data!$E$4:$BA$2455,43,0)</f>
        <v>TV</v>
      </c>
      <c r="I46" s="60" t="str">
        <f>VLOOKUP($E46,[1]Data!$E$4:$BA$2455,44,0)</f>
        <v>TVLE</v>
      </c>
      <c r="J46" s="60" t="str">
        <f>VLOOKUP($E46,[1]Data!$E$4:$BA$2455,45,0)</f>
        <v>LED LCD TV</v>
      </c>
      <c r="K46" s="60" t="str">
        <f>VLOOKUP($E46,[1]Data!$E$4:$BA$2455,46,0)</f>
        <v>TVLE55</v>
      </c>
      <c r="L46" s="60" t="str">
        <f>VLOOKUP($E46,[1]Data!$E$4:$BA$2455,47,0)</f>
        <v>LED LCD TV 55</v>
      </c>
      <c r="M46" s="60" t="str">
        <f>VLOOKUP($E46,[1]Data!$E$4:$BA$2455,48,0)</f>
        <v>TVLE55NU</v>
      </c>
      <c r="N46" s="60" t="str">
        <f>VLOOKUP($E46,[1]Data!$E$4:$BA$2455,49,0)</f>
        <v>LED LCD TV 55 (UD)</v>
      </c>
    </row>
    <row r="47" spans="1:14" x14ac:dyDescent="0.2">
      <c r="A47" s="60">
        <v>44</v>
      </c>
      <c r="B47" s="60" t="s">
        <v>50</v>
      </c>
      <c r="C47" s="60" t="s">
        <v>81</v>
      </c>
      <c r="D47" s="60" t="s">
        <v>100</v>
      </c>
      <c r="E47" s="60" t="s">
        <v>101</v>
      </c>
      <c r="G47" s="60" t="str">
        <f>VLOOKUP(E47,[1]Data!$E$4:$BA$2455,42,0)</f>
        <v>TV</v>
      </c>
      <c r="H47" s="60" t="str">
        <f>VLOOKUP($E47,[1]Data!$E$4:$BA$2455,43,0)</f>
        <v>TV</v>
      </c>
      <c r="I47" s="60" t="str">
        <f>VLOOKUP($E47,[1]Data!$E$4:$BA$2455,44,0)</f>
        <v>TVLE</v>
      </c>
      <c r="J47" s="60" t="str">
        <f>VLOOKUP($E47,[1]Data!$E$4:$BA$2455,45,0)</f>
        <v>LED LCD TV</v>
      </c>
      <c r="K47" s="60" t="str">
        <f>VLOOKUP($E47,[1]Data!$E$4:$BA$2455,46,0)</f>
        <v>TVLE50</v>
      </c>
      <c r="L47" s="60" t="str">
        <f>VLOOKUP($E47,[1]Data!$E$4:$BA$2455,47,0)</f>
        <v>LED LCD TV 50</v>
      </c>
      <c r="M47" s="60" t="str">
        <f>VLOOKUP($E47,[1]Data!$E$4:$BA$2455,48,0)</f>
        <v>TVLE50NU</v>
      </c>
      <c r="N47" s="60" t="str">
        <f>VLOOKUP($E47,[1]Data!$E$4:$BA$2455,49,0)</f>
        <v>LED LCD TV 50 (UD)</v>
      </c>
    </row>
    <row r="48" spans="1:14" x14ac:dyDescent="0.2">
      <c r="A48" s="60">
        <v>45</v>
      </c>
      <c r="B48" s="60" t="s">
        <v>50</v>
      </c>
      <c r="C48" s="60" t="s">
        <v>81</v>
      </c>
      <c r="D48" s="60" t="s">
        <v>102</v>
      </c>
      <c r="E48" s="60" t="s">
        <v>103</v>
      </c>
      <c r="G48" s="60" t="str">
        <f>VLOOKUP(E48,[1]Data!$E$4:$BA$2455,42,0)</f>
        <v>TV</v>
      </c>
      <c r="H48" s="60" t="str">
        <f>VLOOKUP($E48,[1]Data!$E$4:$BA$2455,43,0)</f>
        <v>TV</v>
      </c>
      <c r="I48" s="60" t="str">
        <f>VLOOKUP($E48,[1]Data!$E$4:$BA$2455,44,0)</f>
        <v>TVLE</v>
      </c>
      <c r="J48" s="60" t="str">
        <f>VLOOKUP($E48,[1]Data!$E$4:$BA$2455,45,0)</f>
        <v>LED LCD TV</v>
      </c>
      <c r="K48" s="60" t="str">
        <f>VLOOKUP($E48,[1]Data!$E$4:$BA$2455,46,0)</f>
        <v>TVLE43</v>
      </c>
      <c r="L48" s="60" t="str">
        <f>VLOOKUP($E48,[1]Data!$E$4:$BA$2455,47,0)</f>
        <v>LED LCD TV 43</v>
      </c>
      <c r="M48" s="60" t="str">
        <f>VLOOKUP($E48,[1]Data!$E$4:$BA$2455,48,0)</f>
        <v>TVLE43NU</v>
      </c>
      <c r="N48" s="60" t="str">
        <f>VLOOKUP($E48,[1]Data!$E$4:$BA$2455,49,0)</f>
        <v>LED LCD TV 43 (UD)</v>
      </c>
    </row>
    <row r="49" spans="1:14" x14ac:dyDescent="0.2">
      <c r="A49" s="60">
        <v>46</v>
      </c>
      <c r="B49" s="60" t="s">
        <v>50</v>
      </c>
      <c r="C49" s="60" t="s">
        <v>104</v>
      </c>
      <c r="D49" s="60" t="s">
        <v>105</v>
      </c>
      <c r="E49" s="60" t="s">
        <v>106</v>
      </c>
      <c r="G49" s="60" t="str">
        <f>VLOOKUP(E49,[1]Data!$E$4:$BA$2455,42,0)</f>
        <v>TV</v>
      </c>
      <c r="H49" s="60" t="str">
        <f>VLOOKUP($E49,[1]Data!$E$4:$BA$2455,43,0)</f>
        <v>TV</v>
      </c>
      <c r="I49" s="60" t="str">
        <f>VLOOKUP($E49,[1]Data!$E$4:$BA$2455,44,0)</f>
        <v>TVLE</v>
      </c>
      <c r="J49" s="60" t="str">
        <f>VLOOKUP($E49,[1]Data!$E$4:$BA$2455,45,0)</f>
        <v>LED LCD TV</v>
      </c>
      <c r="K49" s="60" t="str">
        <f>VLOOKUP($E49,[1]Data!$E$4:$BA$2455,46,0)</f>
        <v>TVLE98</v>
      </c>
      <c r="L49" s="60" t="str">
        <f>VLOOKUP($E49,[1]Data!$E$4:$BA$2455,47,0)</f>
        <v>LED LCD TV 98</v>
      </c>
      <c r="M49" s="60" t="str">
        <f>VLOOKUP($E49,[1]Data!$E$4:$BA$2455,48,0)</f>
        <v>TVLE98OU</v>
      </c>
      <c r="N49" s="60" t="str">
        <f>VLOOKUP($E49,[1]Data!$E$4:$BA$2455,49,0)</f>
        <v>LED LCD TV 98 (O/S, UD)</v>
      </c>
    </row>
    <row r="50" spans="1:14" x14ac:dyDescent="0.2">
      <c r="A50" s="60">
        <v>47</v>
      </c>
      <c r="B50" s="60" t="s">
        <v>50</v>
      </c>
      <c r="C50" s="60" t="s">
        <v>104</v>
      </c>
      <c r="D50" s="60" t="s">
        <v>107</v>
      </c>
      <c r="E50" s="60" t="s">
        <v>108</v>
      </c>
      <c r="G50" s="60" t="str">
        <f>VLOOKUP(E50,[1]Data!$E$4:$BA$2455,42,0)</f>
        <v>TV</v>
      </c>
      <c r="H50" s="60" t="str">
        <f>VLOOKUP($E50,[1]Data!$E$4:$BA$2455,43,0)</f>
        <v>TV</v>
      </c>
      <c r="I50" s="60" t="str">
        <f>VLOOKUP($E50,[1]Data!$E$4:$BA$2455,44,0)</f>
        <v>TVLE</v>
      </c>
      <c r="J50" s="60" t="str">
        <f>VLOOKUP($E50,[1]Data!$E$4:$BA$2455,45,0)</f>
        <v>LED LCD TV</v>
      </c>
      <c r="K50" s="60" t="str">
        <f>VLOOKUP($E50,[1]Data!$E$4:$BA$2455,46,0)</f>
        <v>TVLE85</v>
      </c>
      <c r="L50" s="60" t="str">
        <f>VLOOKUP($E50,[1]Data!$E$4:$BA$2455,47,0)</f>
        <v>LED LCD TV 85</v>
      </c>
      <c r="M50" s="60" t="str">
        <f>VLOOKUP($E50,[1]Data!$E$4:$BA$2455,48,0)</f>
        <v>TVLE85NU</v>
      </c>
      <c r="N50" s="60" t="str">
        <f>VLOOKUP($E50,[1]Data!$E$4:$BA$2455,49,0)</f>
        <v>LED LCD TV 85 (UD)</v>
      </c>
    </row>
    <row r="51" spans="1:14" x14ac:dyDescent="0.2">
      <c r="A51" s="60">
        <v>48</v>
      </c>
      <c r="B51" s="60" t="s">
        <v>50</v>
      </c>
      <c r="C51" s="60" t="s">
        <v>104</v>
      </c>
      <c r="D51" s="60" t="s">
        <v>109</v>
      </c>
      <c r="E51" s="60" t="s">
        <v>110</v>
      </c>
      <c r="G51" s="60" t="str">
        <f>VLOOKUP(E51,[1]Data!$E$4:$BA$2455,42,0)</f>
        <v>TV</v>
      </c>
      <c r="H51" s="60" t="str">
        <f>VLOOKUP($E51,[1]Data!$E$4:$BA$2455,43,0)</f>
        <v>TV</v>
      </c>
      <c r="I51" s="60" t="str">
        <f>VLOOKUP($E51,[1]Data!$E$4:$BA$2455,44,0)</f>
        <v>TVLE</v>
      </c>
      <c r="J51" s="60" t="str">
        <f>VLOOKUP($E51,[1]Data!$E$4:$BA$2455,45,0)</f>
        <v>LED LCD TV</v>
      </c>
      <c r="K51" s="60" t="str">
        <f>VLOOKUP($E51,[1]Data!$E$4:$BA$2455,46,0)</f>
        <v>TVLE75</v>
      </c>
      <c r="L51" s="60" t="str">
        <f>VLOOKUP($E51,[1]Data!$E$4:$BA$2455,47,0)</f>
        <v>LED LCD TV 75</v>
      </c>
      <c r="M51" s="60" t="str">
        <f>VLOOKUP($E51,[1]Data!$E$4:$BA$2455,48,0)</f>
        <v>TVLE75NU</v>
      </c>
      <c r="N51" s="60" t="str">
        <f>VLOOKUP($E51,[1]Data!$E$4:$BA$2455,49,0)</f>
        <v>LED LCD TV 75 (UD)</v>
      </c>
    </row>
    <row r="52" spans="1:14" x14ac:dyDescent="0.2">
      <c r="A52" s="60">
        <v>49</v>
      </c>
      <c r="B52" s="60" t="s">
        <v>50</v>
      </c>
      <c r="C52" s="60" t="s">
        <v>104</v>
      </c>
      <c r="D52" s="60" t="s">
        <v>111</v>
      </c>
      <c r="E52" s="60" t="s">
        <v>112</v>
      </c>
      <c r="G52" s="60" t="str">
        <f>VLOOKUP(E52,[1]Data!$E$4:$BA$2455,42,0)</f>
        <v>TV</v>
      </c>
      <c r="H52" s="60" t="str">
        <f>VLOOKUP($E52,[1]Data!$E$4:$BA$2455,43,0)</f>
        <v>TV</v>
      </c>
      <c r="I52" s="60" t="str">
        <f>VLOOKUP($E52,[1]Data!$E$4:$BA$2455,44,0)</f>
        <v>TVLE</v>
      </c>
      <c r="J52" s="60" t="str">
        <f>VLOOKUP($E52,[1]Data!$E$4:$BA$2455,45,0)</f>
        <v>LED LCD TV</v>
      </c>
      <c r="K52" s="60" t="str">
        <f>VLOOKUP($E52,[1]Data!$E$4:$BA$2455,46,0)</f>
        <v>TVLE65</v>
      </c>
      <c r="L52" s="60" t="str">
        <f>VLOOKUP($E52,[1]Data!$E$4:$BA$2455,47,0)</f>
        <v>LED LCD TV 65</v>
      </c>
      <c r="M52" s="60" t="str">
        <f>VLOOKUP($E52,[1]Data!$E$4:$BA$2455,48,0)</f>
        <v>TVLE65NU</v>
      </c>
      <c r="N52" s="60" t="str">
        <f>VLOOKUP($E52,[1]Data!$E$4:$BA$2455,49,0)</f>
        <v>LED LCD TV 65 (UD)</v>
      </c>
    </row>
    <row r="53" spans="1:14" x14ac:dyDescent="0.2">
      <c r="A53" s="60">
        <v>50</v>
      </c>
      <c r="B53" s="60" t="s">
        <v>50</v>
      </c>
      <c r="C53" s="60" t="s">
        <v>104</v>
      </c>
      <c r="D53" s="60" t="s">
        <v>113</v>
      </c>
      <c r="E53" s="60" t="s">
        <v>114</v>
      </c>
      <c r="G53" s="60" t="str">
        <f>VLOOKUP(E53,[1]Data!$E$4:$BA$2455,42,0)</f>
        <v>TV</v>
      </c>
      <c r="H53" s="60" t="str">
        <f>VLOOKUP($E53,[1]Data!$E$4:$BA$2455,43,0)</f>
        <v>TV</v>
      </c>
      <c r="I53" s="60" t="str">
        <f>VLOOKUP($E53,[1]Data!$E$4:$BA$2455,44,0)</f>
        <v>TVLE</v>
      </c>
      <c r="J53" s="60" t="str">
        <f>VLOOKUP($E53,[1]Data!$E$4:$BA$2455,45,0)</f>
        <v>LED LCD TV</v>
      </c>
      <c r="K53" s="60" t="str">
        <f>VLOOKUP($E53,[1]Data!$E$4:$BA$2455,46,0)</f>
        <v>TVLE55</v>
      </c>
      <c r="L53" s="60" t="str">
        <f>VLOOKUP($E53,[1]Data!$E$4:$BA$2455,47,0)</f>
        <v>LED LCD TV 55</v>
      </c>
      <c r="M53" s="60" t="str">
        <f>VLOOKUP($E53,[1]Data!$E$4:$BA$2455,48,0)</f>
        <v>TVLE55NU</v>
      </c>
      <c r="N53" s="60" t="str">
        <f>VLOOKUP($E53,[1]Data!$E$4:$BA$2455,49,0)</f>
        <v>LED LCD TV 55 (UD)</v>
      </c>
    </row>
    <row r="54" spans="1:14" x14ac:dyDescent="0.2">
      <c r="A54" s="60">
        <v>51</v>
      </c>
      <c r="B54" s="60" t="s">
        <v>50</v>
      </c>
      <c r="C54" s="60" t="s">
        <v>104</v>
      </c>
      <c r="D54" s="60" t="s">
        <v>115</v>
      </c>
      <c r="E54" s="60" t="s">
        <v>116</v>
      </c>
      <c r="G54" s="60" t="str">
        <f>VLOOKUP(E54,[1]Data!$E$4:$BA$2455,42,0)</f>
        <v>TV</v>
      </c>
      <c r="H54" s="60" t="str">
        <f>VLOOKUP($E54,[1]Data!$E$4:$BA$2455,43,0)</f>
        <v>TV</v>
      </c>
      <c r="I54" s="60" t="str">
        <f>VLOOKUP($E54,[1]Data!$E$4:$BA$2455,44,0)</f>
        <v>TVLE</v>
      </c>
      <c r="J54" s="60" t="str">
        <f>VLOOKUP($E54,[1]Data!$E$4:$BA$2455,45,0)</f>
        <v>LED LCD TV</v>
      </c>
      <c r="K54" s="60" t="str">
        <f>VLOOKUP($E54,[1]Data!$E$4:$BA$2455,46,0)</f>
        <v>TVLE50</v>
      </c>
      <c r="L54" s="60" t="str">
        <f>VLOOKUP($E54,[1]Data!$E$4:$BA$2455,47,0)</f>
        <v>LED LCD TV 50</v>
      </c>
      <c r="M54" s="60" t="str">
        <f>VLOOKUP($E54,[1]Data!$E$4:$BA$2455,48,0)</f>
        <v>TVLE50NU</v>
      </c>
      <c r="N54" s="60" t="str">
        <f>VLOOKUP($E54,[1]Data!$E$4:$BA$2455,49,0)</f>
        <v>LED LCD TV 50 (UD)</v>
      </c>
    </row>
    <row r="55" spans="1:14" x14ac:dyDescent="0.2">
      <c r="A55" s="60">
        <v>52</v>
      </c>
      <c r="B55" s="60" t="s">
        <v>50</v>
      </c>
      <c r="C55" s="60" t="s">
        <v>104</v>
      </c>
      <c r="D55" s="60" t="s">
        <v>117</v>
      </c>
      <c r="E55" s="60" t="s">
        <v>118</v>
      </c>
      <c r="G55" s="60" t="str">
        <f>VLOOKUP(E55,[1]Data!$E$4:$BA$2455,42,0)</f>
        <v>TV</v>
      </c>
      <c r="H55" s="60" t="str">
        <f>VLOOKUP($E55,[1]Data!$E$4:$BA$2455,43,0)</f>
        <v>TV</v>
      </c>
      <c r="I55" s="60" t="str">
        <f>VLOOKUP($E55,[1]Data!$E$4:$BA$2455,44,0)</f>
        <v>TVLE</v>
      </c>
      <c r="J55" s="60" t="str">
        <f>VLOOKUP($E55,[1]Data!$E$4:$BA$2455,45,0)</f>
        <v>LED LCD TV</v>
      </c>
      <c r="K55" s="60" t="str">
        <f>VLOOKUP($E55,[1]Data!$E$4:$BA$2455,46,0)</f>
        <v>TVLE43</v>
      </c>
      <c r="L55" s="60" t="str">
        <f>VLOOKUP($E55,[1]Data!$E$4:$BA$2455,47,0)</f>
        <v>LED LCD TV 43</v>
      </c>
      <c r="M55" s="60" t="str">
        <f>VLOOKUP($E55,[1]Data!$E$4:$BA$2455,48,0)</f>
        <v>TVLE43NU</v>
      </c>
      <c r="N55" s="60" t="str">
        <f>VLOOKUP($E55,[1]Data!$E$4:$BA$2455,49,0)</f>
        <v>LED LCD TV 43 (UD)</v>
      </c>
    </row>
    <row r="56" spans="1:14" x14ac:dyDescent="0.2">
      <c r="A56" s="72">
        <v>53</v>
      </c>
      <c r="B56" s="73" t="s">
        <v>50</v>
      </c>
      <c r="C56" s="74" t="s">
        <v>181</v>
      </c>
      <c r="D56" s="74" t="s">
        <v>183</v>
      </c>
      <c r="E56" s="74" t="s">
        <v>182</v>
      </c>
      <c r="G56" s="60" t="str">
        <f>VLOOKUP(E56,[1]Data!$E$4:$BA$2455,42,0)</f>
        <v>TV</v>
      </c>
      <c r="H56" s="60" t="str">
        <f>VLOOKUP($E56,[1]Data!$E$4:$BA$2455,43,0)</f>
        <v>TV</v>
      </c>
      <c r="I56" s="60" t="str">
        <f>VLOOKUP($E56,[1]Data!$E$4:$BA$2455,44,0)</f>
        <v>TVLS</v>
      </c>
      <c r="J56" s="60" t="str">
        <f>VLOOKUP($E56,[1]Data!$E$4:$BA$2455,45,0)</f>
        <v>TV Life Style</v>
      </c>
      <c r="K56" s="60" t="str">
        <f>VLOOKUP($E56,[1]Data!$E$4:$BA$2455,46,0)</f>
        <v>TVLS27</v>
      </c>
      <c r="L56" s="60" t="str">
        <f>VLOOKUP($E56,[1]Data!$E$4:$BA$2455,47,0)</f>
        <v>TV Life Style 27</v>
      </c>
      <c r="M56" s="60" t="str">
        <f>VLOOKUP($E56,[1]Data!$E$4:$BA$2455,48,0)</f>
        <v>TVLS27NQ</v>
      </c>
      <c r="N56" s="60" t="str">
        <f>VLOOKUP($E56,[1]Data!$E$4:$BA$2455,49,0)</f>
        <v>Life Style Display 27 (QHD)</v>
      </c>
    </row>
    <row r="57" spans="1:14" ht="12.5" customHeight="1" x14ac:dyDescent="0.2">
      <c r="A57" s="67">
        <v>54</v>
      </c>
      <c r="B57" s="70" t="s">
        <v>119</v>
      </c>
      <c r="C57" s="71" t="s">
        <v>120</v>
      </c>
      <c r="D57" s="71" t="s">
        <v>121</v>
      </c>
      <c r="E57" s="71" t="s">
        <v>122</v>
      </c>
      <c r="G57" s="60" t="str">
        <f>VLOOKUP(E57,[1]Data!$E$4:$BA$2455,42,0)</f>
        <v>HC</v>
      </c>
      <c r="H57" s="60" t="str">
        <f>VLOOKUP($E57,[1]Data!$E$4:$BA$2455,43,0)</f>
        <v>Healthcare</v>
      </c>
      <c r="I57" s="60" t="str">
        <f>VLOOKUP($E57,[1]Data!$E$4:$BA$2455,44,0)</f>
        <v>HCWC</v>
      </c>
      <c r="J57" s="60" t="str">
        <f>VLOOKUP($E57,[1]Data!$E$4:$BA$2455,45,0)</f>
        <v>Wellness care</v>
      </c>
      <c r="K57" s="60" t="str">
        <f>VLOOKUP($E57,[1]Data!$E$4:$BA$2455,46,0)</f>
        <v>HCWCAS</v>
      </c>
      <c r="L57" s="60" t="str">
        <f>VLOOKUP($E57,[1]Data!$E$4:$BA$2455,47,0)</f>
        <v>Air Solution</v>
      </c>
      <c r="M57" s="60" t="str">
        <f>VLOOKUP($E57,[1]Data!$E$4:$BA$2455,48,0)</f>
        <v>HCWCASAC</v>
      </c>
      <c r="N57" s="60" t="str">
        <f>VLOOKUP($E57,[1]Data!$E$4:$BA$2455,49,0)</f>
        <v>Air Cleaner</v>
      </c>
    </row>
    <row r="58" spans="1:14" x14ac:dyDescent="0.2">
      <c r="A58" s="67">
        <v>55</v>
      </c>
      <c r="B58" s="70" t="s">
        <v>119</v>
      </c>
      <c r="C58" s="71" t="s">
        <v>120</v>
      </c>
      <c r="D58" s="71" t="s">
        <v>123</v>
      </c>
      <c r="E58" s="71" t="s">
        <v>124</v>
      </c>
      <c r="G58" s="60" t="str">
        <f>VLOOKUP(E58,[1]Data!$E$4:$BA$2455,42,0)</f>
        <v>HC</v>
      </c>
      <c r="H58" s="60" t="str">
        <f>VLOOKUP($E58,[1]Data!$E$4:$BA$2455,43,0)</f>
        <v>Healthcare</v>
      </c>
      <c r="I58" s="60" t="str">
        <f>VLOOKUP($E58,[1]Data!$E$4:$BA$2455,44,0)</f>
        <v>HCWC</v>
      </c>
      <c r="J58" s="60" t="str">
        <f>VLOOKUP($E58,[1]Data!$E$4:$BA$2455,45,0)</f>
        <v>Wellness care</v>
      </c>
      <c r="K58" s="60" t="str">
        <f>VLOOKUP($E58,[1]Data!$E$4:$BA$2455,46,0)</f>
        <v>HCWCAS</v>
      </c>
      <c r="L58" s="60" t="str">
        <f>VLOOKUP($E58,[1]Data!$E$4:$BA$2455,47,0)</f>
        <v>Air Solution</v>
      </c>
      <c r="M58" s="60" t="str">
        <f>VLOOKUP($E58,[1]Data!$E$4:$BA$2455,48,0)</f>
        <v>HCWCASAC</v>
      </c>
      <c r="N58" s="60" t="str">
        <f>VLOOKUP($E58,[1]Data!$E$4:$BA$2455,49,0)</f>
        <v>Air Cleaner</v>
      </c>
    </row>
    <row r="59" spans="1:14" x14ac:dyDescent="0.2">
      <c r="A59" s="67">
        <v>56</v>
      </c>
      <c r="B59" s="70" t="s">
        <v>119</v>
      </c>
      <c r="C59" s="71" t="s">
        <v>120</v>
      </c>
      <c r="D59" s="71" t="s">
        <v>125</v>
      </c>
      <c r="E59" s="71" t="s">
        <v>126</v>
      </c>
      <c r="G59" s="60" t="str">
        <f>VLOOKUP(E59,[1]Data!$E$4:$BA$2455,42,0)</f>
        <v>HC</v>
      </c>
      <c r="H59" s="60" t="str">
        <f>VLOOKUP($E59,[1]Data!$E$4:$BA$2455,43,0)</f>
        <v>Healthcare</v>
      </c>
      <c r="I59" s="60" t="str">
        <f>VLOOKUP($E59,[1]Data!$E$4:$BA$2455,44,0)</f>
        <v>HCWC</v>
      </c>
      <c r="J59" s="60" t="str">
        <f>VLOOKUP($E59,[1]Data!$E$4:$BA$2455,45,0)</f>
        <v>Wellness care</v>
      </c>
      <c r="K59" s="60" t="str">
        <f>VLOOKUP($E59,[1]Data!$E$4:$BA$2455,46,0)</f>
        <v>HCWCAS</v>
      </c>
      <c r="L59" s="60" t="str">
        <f>VLOOKUP($E59,[1]Data!$E$4:$BA$2455,47,0)</f>
        <v>Air Solution</v>
      </c>
      <c r="M59" s="60" t="str">
        <f>VLOOKUP($E59,[1]Data!$E$4:$BA$2455,48,0)</f>
        <v>HCWCASAC</v>
      </c>
      <c r="N59" s="60" t="str">
        <f>VLOOKUP($E59,[1]Data!$E$4:$BA$2455,49,0)</f>
        <v>Air Cleaner</v>
      </c>
    </row>
    <row r="60" spans="1:14" x14ac:dyDescent="0.2">
      <c r="A60" s="67">
        <v>57</v>
      </c>
      <c r="B60" s="70" t="s">
        <v>119</v>
      </c>
      <c r="C60" s="71" t="s">
        <v>120</v>
      </c>
      <c r="D60" s="71" t="s">
        <v>127</v>
      </c>
      <c r="E60" s="71" t="s">
        <v>128</v>
      </c>
      <c r="G60" s="60" t="str">
        <f>VLOOKUP(E60,[1]Data!$E$4:$BA$2455,42,0)</f>
        <v>HC</v>
      </c>
      <c r="H60" s="60" t="str">
        <f>VLOOKUP($E60,[1]Data!$E$4:$BA$2455,43,0)</f>
        <v>Healthcare</v>
      </c>
      <c r="I60" s="60" t="str">
        <f>VLOOKUP($E60,[1]Data!$E$4:$BA$2455,44,0)</f>
        <v>HCWC</v>
      </c>
      <c r="J60" s="60" t="str">
        <f>VLOOKUP($E60,[1]Data!$E$4:$BA$2455,45,0)</f>
        <v>Wellness care</v>
      </c>
      <c r="K60" s="60" t="str">
        <f>VLOOKUP($E60,[1]Data!$E$4:$BA$2455,46,0)</f>
        <v>HCWCAS</v>
      </c>
      <c r="L60" s="60" t="str">
        <f>VLOOKUP($E60,[1]Data!$E$4:$BA$2455,47,0)</f>
        <v>Air Solution</v>
      </c>
      <c r="M60" s="60" t="str">
        <f>VLOOKUP($E60,[1]Data!$E$4:$BA$2455,48,0)</f>
        <v>HCWCASAC</v>
      </c>
      <c r="N60" s="60" t="str">
        <f>VLOOKUP($E60,[1]Data!$E$4:$BA$2455,49,0)</f>
        <v>Air Cleaner</v>
      </c>
    </row>
    <row r="61" spans="1:14" x14ac:dyDescent="0.2">
      <c r="A61" s="67">
        <v>58</v>
      </c>
      <c r="B61" s="70" t="s">
        <v>119</v>
      </c>
      <c r="C61" s="71" t="s">
        <v>120</v>
      </c>
      <c r="D61" s="71" t="s">
        <v>129</v>
      </c>
      <c r="E61" s="71" t="s">
        <v>130</v>
      </c>
      <c r="G61" s="60" t="str">
        <f>VLOOKUP(E61,[1]Data!$E$4:$BA$2455,42,0)</f>
        <v>HC</v>
      </c>
      <c r="H61" s="60" t="str">
        <f>VLOOKUP($E61,[1]Data!$E$4:$BA$2455,43,0)</f>
        <v>Healthcare</v>
      </c>
      <c r="I61" s="60" t="str">
        <f>VLOOKUP($E61,[1]Data!$E$4:$BA$2455,44,0)</f>
        <v>HCWC</v>
      </c>
      <c r="J61" s="60" t="str">
        <f>VLOOKUP($E61,[1]Data!$E$4:$BA$2455,45,0)</f>
        <v>Wellness care</v>
      </c>
      <c r="K61" s="60" t="str">
        <f>VLOOKUP($E61,[1]Data!$E$4:$BA$2455,46,0)</f>
        <v>HCWCAS</v>
      </c>
      <c r="L61" s="60" t="str">
        <f>VLOOKUP($E61,[1]Data!$E$4:$BA$2455,47,0)</f>
        <v>Air Solution</v>
      </c>
      <c r="M61" s="60" t="str">
        <f>VLOOKUP($E61,[1]Data!$E$4:$BA$2455,48,0)</f>
        <v>HCWCASAC</v>
      </c>
      <c r="N61" s="60" t="str">
        <f>VLOOKUP($E61,[1]Data!$E$4:$BA$2455,49,0)</f>
        <v>Air Cleaner</v>
      </c>
    </row>
    <row r="62" spans="1:14" x14ac:dyDescent="0.2">
      <c r="A62" s="67">
        <v>59</v>
      </c>
      <c r="B62" s="70" t="s">
        <v>119</v>
      </c>
      <c r="C62" s="71" t="s">
        <v>120</v>
      </c>
      <c r="D62" s="71" t="s">
        <v>131</v>
      </c>
      <c r="E62" s="71" t="s">
        <v>132</v>
      </c>
      <c r="G62" s="60" t="str">
        <f>VLOOKUP(E62,[1]Data!$E$4:$BA$2455,42,0)</f>
        <v>HC</v>
      </c>
      <c r="H62" s="60" t="str">
        <f>VLOOKUP($E62,[1]Data!$E$4:$BA$2455,43,0)</f>
        <v>Healthcare</v>
      </c>
      <c r="I62" s="60" t="str">
        <f>VLOOKUP($E62,[1]Data!$E$4:$BA$2455,44,0)</f>
        <v>HCWC</v>
      </c>
      <c r="J62" s="60" t="str">
        <f>VLOOKUP($E62,[1]Data!$E$4:$BA$2455,45,0)</f>
        <v>Wellness care</v>
      </c>
      <c r="K62" s="60" t="str">
        <f>VLOOKUP($E62,[1]Data!$E$4:$BA$2455,46,0)</f>
        <v>HCWCAS</v>
      </c>
      <c r="L62" s="60" t="str">
        <f>VLOOKUP($E62,[1]Data!$E$4:$BA$2455,47,0)</f>
        <v>Air Solution</v>
      </c>
      <c r="M62" s="60" t="str">
        <f>VLOOKUP($E62,[1]Data!$E$4:$BA$2455,48,0)</f>
        <v>HCWCASAC</v>
      </c>
      <c r="N62" s="60" t="str">
        <f>VLOOKUP($E62,[1]Data!$E$4:$BA$2455,49,0)</f>
        <v>Air Cleaner</v>
      </c>
    </row>
    <row r="63" spans="1:14" x14ac:dyDescent="0.2">
      <c r="A63" s="67">
        <v>60</v>
      </c>
      <c r="B63" s="70" t="s">
        <v>119</v>
      </c>
      <c r="C63" s="71" t="s">
        <v>120</v>
      </c>
      <c r="D63" s="71" t="s">
        <v>133</v>
      </c>
      <c r="E63" s="71" t="s">
        <v>134</v>
      </c>
      <c r="G63" s="60" t="str">
        <f>VLOOKUP(E63,[1]Data!$E$4:$BA$2455,42,0)</f>
        <v>HC</v>
      </c>
      <c r="H63" s="60" t="str">
        <f>VLOOKUP($E63,[1]Data!$E$4:$BA$2455,43,0)</f>
        <v>Healthcare</v>
      </c>
      <c r="I63" s="60" t="str">
        <f>VLOOKUP($E63,[1]Data!$E$4:$BA$2455,44,0)</f>
        <v>HCWC</v>
      </c>
      <c r="J63" s="60" t="str">
        <f>VLOOKUP($E63,[1]Data!$E$4:$BA$2455,45,0)</f>
        <v>Wellness care</v>
      </c>
      <c r="K63" s="60" t="str">
        <f>VLOOKUP($E63,[1]Data!$E$4:$BA$2455,46,0)</f>
        <v>HCWCAS</v>
      </c>
      <c r="L63" s="60" t="str">
        <f>VLOOKUP($E63,[1]Data!$E$4:$BA$2455,47,0)</f>
        <v>Air Solution</v>
      </c>
      <c r="M63" s="60" t="str">
        <f>VLOOKUP($E63,[1]Data!$E$4:$BA$2455,48,0)</f>
        <v>HCWCASCO</v>
      </c>
      <c r="N63" s="60" t="str">
        <f>VLOOKUP($E63,[1]Data!$E$4:$BA$2455,49,0)</f>
        <v>Air Cleaner_ODM</v>
      </c>
    </row>
    <row r="64" spans="1:14" x14ac:dyDescent="0.2">
      <c r="A64" s="67">
        <v>61</v>
      </c>
      <c r="B64" s="70" t="s">
        <v>119</v>
      </c>
      <c r="C64" s="71" t="s">
        <v>120</v>
      </c>
      <c r="D64" s="71" t="s">
        <v>135</v>
      </c>
      <c r="E64" s="71" t="s">
        <v>136</v>
      </c>
      <c r="G64" s="60" t="str">
        <f>VLOOKUP(E64,[1]Data!$E$4:$BA$2455,42,0)</f>
        <v>HC</v>
      </c>
      <c r="H64" s="60" t="str">
        <f>VLOOKUP($E64,[1]Data!$E$4:$BA$2455,43,0)</f>
        <v>Healthcare</v>
      </c>
      <c r="I64" s="60" t="str">
        <f>VLOOKUP($E64,[1]Data!$E$4:$BA$2455,44,0)</f>
        <v>HCWC</v>
      </c>
      <c r="J64" s="60" t="str">
        <f>VLOOKUP($E64,[1]Data!$E$4:$BA$2455,45,0)</f>
        <v>Wellness care</v>
      </c>
      <c r="K64" s="60" t="str">
        <f>VLOOKUP($E64,[1]Data!$E$4:$BA$2455,46,0)</f>
        <v>HCWCAS</v>
      </c>
      <c r="L64" s="60" t="str">
        <f>VLOOKUP($E64,[1]Data!$E$4:$BA$2455,47,0)</f>
        <v>Air Solution</v>
      </c>
      <c r="M64" s="60" t="str">
        <f>VLOOKUP($E64,[1]Data!$E$4:$BA$2455,48,0)</f>
        <v>HCWCASCO</v>
      </c>
      <c r="N64" s="60" t="str">
        <f>VLOOKUP($E64,[1]Data!$E$4:$BA$2455,49,0)</f>
        <v>Air Cleaner_ODM</v>
      </c>
    </row>
    <row r="65" spans="1:14" x14ac:dyDescent="0.2">
      <c r="A65" s="67">
        <v>62</v>
      </c>
      <c r="B65" s="70" t="s">
        <v>137</v>
      </c>
      <c r="C65" s="71" t="s">
        <v>138</v>
      </c>
      <c r="D65" s="71" t="s">
        <v>139</v>
      </c>
      <c r="E65" s="71" t="s">
        <v>223</v>
      </c>
      <c r="G65" s="60" t="str">
        <f>VLOOKUP(E65,[1]Data!$E$4:$BA$2455,42,0)</f>
        <v>AC</v>
      </c>
      <c r="H65" s="60" t="str">
        <f>VLOOKUP($E65,[1]Data!$E$4:$BA$2455,43,0)</f>
        <v>Airconditioner</v>
      </c>
      <c r="I65" s="60" t="str">
        <f>VLOOKUP($E65,[1]Data!$E$4:$BA$2455,44,0)</f>
        <v>ACSR</v>
      </c>
      <c r="J65" s="60" t="str">
        <f>VLOOKUP($E65,[1]Data!$E$4:$BA$2455,45,0)</f>
        <v>SRAC</v>
      </c>
      <c r="K65" s="60" t="str">
        <f>VLOOKUP($E65,[1]Data!$E$4:$BA$2455,46,0)</f>
        <v>ACSRIV</v>
      </c>
      <c r="L65" s="60" t="str">
        <f>VLOOKUP($E65,[1]Data!$E$4:$BA$2455,47,0)</f>
        <v>Inverter</v>
      </c>
      <c r="M65" s="60" t="str">
        <f>VLOOKUP($E65,[1]Data!$E$4:$BA$2455,48,0)</f>
        <v>ACSRIVSU</v>
      </c>
      <c r="N65" s="60" t="str">
        <f>VLOOKUP($E65,[1]Data!$E$4:$BA$2455,49,0)</f>
        <v>Inverter Single Split Wall_O/D</v>
      </c>
    </row>
    <row r="66" spans="1:14" x14ac:dyDescent="0.2">
      <c r="A66" s="67"/>
      <c r="B66" s="70" t="s">
        <v>137</v>
      </c>
      <c r="C66" s="71" t="s">
        <v>138</v>
      </c>
      <c r="D66" s="71" t="s">
        <v>139</v>
      </c>
      <c r="E66" s="71" t="s">
        <v>222</v>
      </c>
      <c r="G66" s="60" t="str">
        <f>VLOOKUP(E66,[1]Data!$E$4:$BA$2455,42,0)</f>
        <v>AC</v>
      </c>
      <c r="H66" s="60" t="str">
        <f>VLOOKUP($E66,[1]Data!$E$4:$BA$2455,43,0)</f>
        <v>Airconditioner</v>
      </c>
      <c r="I66" s="60" t="str">
        <f>VLOOKUP($E66,[1]Data!$E$4:$BA$2455,44,0)</f>
        <v>ACSR</v>
      </c>
      <c r="J66" s="60" t="str">
        <f>VLOOKUP($E66,[1]Data!$E$4:$BA$2455,45,0)</f>
        <v>SRAC</v>
      </c>
      <c r="K66" s="60" t="str">
        <f>VLOOKUP($E66,[1]Data!$E$4:$BA$2455,46,0)</f>
        <v>ACSRIV</v>
      </c>
      <c r="L66" s="60" t="str">
        <f>VLOOKUP($E66,[1]Data!$E$4:$BA$2455,47,0)</f>
        <v>Inverter</v>
      </c>
      <c r="M66" s="60" t="str">
        <f>VLOOKUP($E66,[1]Data!$E$4:$BA$2455,48,0)</f>
        <v>ACSRIVSN</v>
      </c>
      <c r="N66" s="60" t="str">
        <f>VLOOKUP($E66,[1]Data!$E$4:$BA$2455,49,0)</f>
        <v>Inverter Single Split Wall_I/D</v>
      </c>
    </row>
    <row r="67" spans="1:14" x14ac:dyDescent="0.2">
      <c r="A67" s="67">
        <v>63</v>
      </c>
      <c r="B67" s="70" t="s">
        <v>137</v>
      </c>
      <c r="C67" s="71" t="s">
        <v>138</v>
      </c>
      <c r="D67" s="71" t="s">
        <v>141</v>
      </c>
      <c r="E67" s="71" t="s">
        <v>224</v>
      </c>
      <c r="G67" s="60" t="str">
        <f>VLOOKUP(E67,[1]Data!$E$4:$BA$2455,42,0)</f>
        <v>AC</v>
      </c>
      <c r="H67" s="60" t="str">
        <f>VLOOKUP($E67,[1]Data!$E$4:$BA$2455,43,0)</f>
        <v>Airconditioner</v>
      </c>
      <c r="I67" s="60" t="str">
        <f>VLOOKUP($E67,[1]Data!$E$4:$BA$2455,44,0)</f>
        <v>ACSR</v>
      </c>
      <c r="J67" s="60" t="str">
        <f>VLOOKUP($E67,[1]Data!$E$4:$BA$2455,45,0)</f>
        <v>SRAC</v>
      </c>
      <c r="K67" s="60" t="str">
        <f>VLOOKUP($E67,[1]Data!$E$4:$BA$2455,46,0)</f>
        <v>ACSRIV</v>
      </c>
      <c r="L67" s="60" t="str">
        <f>VLOOKUP($E67,[1]Data!$E$4:$BA$2455,47,0)</f>
        <v>Inverter</v>
      </c>
      <c r="M67" s="60" t="str">
        <f>VLOOKUP($E67,[1]Data!$E$4:$BA$2455,48,0)</f>
        <v>ACSRIVSU</v>
      </c>
      <c r="N67" s="60" t="str">
        <f>VLOOKUP($E67,[1]Data!$E$4:$BA$2455,49,0)</f>
        <v>Inverter Single Split Wall_O/D</v>
      </c>
    </row>
    <row r="68" spans="1:14" x14ac:dyDescent="0.2">
      <c r="A68" s="67"/>
      <c r="B68" s="70" t="s">
        <v>137</v>
      </c>
      <c r="C68" s="71" t="s">
        <v>138</v>
      </c>
      <c r="D68" s="71" t="s">
        <v>141</v>
      </c>
      <c r="E68" s="71" t="s">
        <v>225</v>
      </c>
      <c r="G68" s="60" t="str">
        <f>VLOOKUP(E68,[1]Data!$E$4:$BA$2455,42,0)</f>
        <v>AC</v>
      </c>
      <c r="H68" s="60" t="str">
        <f>VLOOKUP($E68,[1]Data!$E$4:$BA$2455,43,0)</f>
        <v>Airconditioner</v>
      </c>
      <c r="I68" s="60" t="str">
        <f>VLOOKUP($E68,[1]Data!$E$4:$BA$2455,44,0)</f>
        <v>ACSR</v>
      </c>
      <c r="J68" s="60" t="str">
        <f>VLOOKUP($E68,[1]Data!$E$4:$BA$2455,45,0)</f>
        <v>SRAC</v>
      </c>
      <c r="K68" s="60" t="str">
        <f>VLOOKUP($E68,[1]Data!$E$4:$BA$2455,46,0)</f>
        <v>ACSRIV</v>
      </c>
      <c r="L68" s="60" t="str">
        <f>VLOOKUP($E68,[1]Data!$E$4:$BA$2455,47,0)</f>
        <v>Inverter</v>
      </c>
      <c r="M68" s="60" t="str">
        <f>VLOOKUP($E68,[1]Data!$E$4:$BA$2455,48,0)</f>
        <v>ACSRIVSN</v>
      </c>
      <c r="N68" s="60" t="str">
        <f>VLOOKUP($E68,[1]Data!$E$4:$BA$2455,49,0)</f>
        <v>Inverter Single Split Wall_I/D</v>
      </c>
    </row>
    <row r="69" spans="1:14" x14ac:dyDescent="0.2">
      <c r="A69" s="67">
        <v>64</v>
      </c>
      <c r="B69" s="70" t="s">
        <v>137</v>
      </c>
      <c r="C69" s="71" t="s">
        <v>138</v>
      </c>
      <c r="D69" s="71" t="s">
        <v>143</v>
      </c>
      <c r="E69" s="71" t="s">
        <v>226</v>
      </c>
      <c r="G69" s="60" t="str">
        <f>VLOOKUP(E69,[1]Data!$E$4:$BA$2455,42,0)</f>
        <v>AC</v>
      </c>
      <c r="H69" s="60" t="str">
        <f>VLOOKUP($E69,[1]Data!$E$4:$BA$2455,43,0)</f>
        <v>Airconditioner</v>
      </c>
      <c r="I69" s="60" t="str">
        <f>VLOOKUP($E69,[1]Data!$E$4:$BA$2455,44,0)</f>
        <v>ACSR</v>
      </c>
      <c r="J69" s="60" t="str">
        <f>VLOOKUP($E69,[1]Data!$E$4:$BA$2455,45,0)</f>
        <v>SRAC</v>
      </c>
      <c r="K69" s="60" t="str">
        <f>VLOOKUP($E69,[1]Data!$E$4:$BA$2455,46,0)</f>
        <v>ACSRIV</v>
      </c>
      <c r="L69" s="60" t="str">
        <f>VLOOKUP($E69,[1]Data!$E$4:$BA$2455,47,0)</f>
        <v>Inverter</v>
      </c>
      <c r="M69" s="60" t="str">
        <f>VLOOKUP($E69,[1]Data!$E$4:$BA$2455,48,0)</f>
        <v>ACSRIVSU</v>
      </c>
      <c r="N69" s="60" t="str">
        <f>VLOOKUP($E69,[1]Data!$E$4:$BA$2455,49,0)</f>
        <v>Inverter Single Split Wall_O/D</v>
      </c>
    </row>
    <row r="70" spans="1:14" x14ac:dyDescent="0.2">
      <c r="A70" s="67"/>
      <c r="B70" s="70" t="s">
        <v>137</v>
      </c>
      <c r="C70" s="71" t="s">
        <v>138</v>
      </c>
      <c r="D70" s="71" t="s">
        <v>143</v>
      </c>
      <c r="E70" s="71" t="s">
        <v>227</v>
      </c>
      <c r="G70" s="60" t="str">
        <f>VLOOKUP(E70,[1]Data!$E$4:$BA$2455,42,0)</f>
        <v>AC</v>
      </c>
      <c r="H70" s="60" t="str">
        <f>VLOOKUP($E70,[1]Data!$E$4:$BA$2455,43,0)</f>
        <v>Airconditioner</v>
      </c>
      <c r="I70" s="60" t="str">
        <f>VLOOKUP($E70,[1]Data!$E$4:$BA$2455,44,0)</f>
        <v>ACSR</v>
      </c>
      <c r="J70" s="60" t="str">
        <f>VLOOKUP($E70,[1]Data!$E$4:$BA$2455,45,0)</f>
        <v>SRAC</v>
      </c>
      <c r="K70" s="60" t="str">
        <f>VLOOKUP($E70,[1]Data!$E$4:$BA$2455,46,0)</f>
        <v>ACSRIV</v>
      </c>
      <c r="L70" s="60" t="str">
        <f>VLOOKUP($E70,[1]Data!$E$4:$BA$2455,47,0)</f>
        <v>Inverter</v>
      </c>
      <c r="M70" s="60" t="str">
        <f>VLOOKUP($E70,[1]Data!$E$4:$BA$2455,48,0)</f>
        <v>ACSRIVSN</v>
      </c>
      <c r="N70" s="60" t="str">
        <f>VLOOKUP($E70,[1]Data!$E$4:$BA$2455,49,0)</f>
        <v>Inverter Single Split Wall_I/D</v>
      </c>
    </row>
    <row r="71" spans="1:14" x14ac:dyDescent="0.2">
      <c r="A71" s="67">
        <v>65</v>
      </c>
      <c r="B71" s="70" t="s">
        <v>137</v>
      </c>
      <c r="C71" s="71" t="s">
        <v>138</v>
      </c>
      <c r="D71" s="71" t="s">
        <v>145</v>
      </c>
      <c r="E71" s="71" t="s">
        <v>228</v>
      </c>
      <c r="G71" s="60" t="str">
        <f>VLOOKUP(E71,[1]Data!$E$4:$BA$2455,42,0)</f>
        <v>AC</v>
      </c>
      <c r="H71" s="60" t="str">
        <f>VLOOKUP($E71,[1]Data!$E$4:$BA$2455,43,0)</f>
        <v>Airconditioner</v>
      </c>
      <c r="I71" s="60" t="str">
        <f>VLOOKUP($E71,[1]Data!$E$4:$BA$2455,44,0)</f>
        <v>ACSR</v>
      </c>
      <c r="J71" s="60" t="str">
        <f>VLOOKUP($E71,[1]Data!$E$4:$BA$2455,45,0)</f>
        <v>SRAC</v>
      </c>
      <c r="K71" s="60" t="str">
        <f>VLOOKUP($E71,[1]Data!$E$4:$BA$2455,46,0)</f>
        <v>ACSRIV</v>
      </c>
      <c r="L71" s="60" t="str">
        <f>VLOOKUP($E71,[1]Data!$E$4:$BA$2455,47,0)</f>
        <v>Inverter</v>
      </c>
      <c r="M71" s="60" t="str">
        <f>VLOOKUP($E71,[1]Data!$E$4:$BA$2455,48,0)</f>
        <v>ACSRIVSU</v>
      </c>
      <c r="N71" s="60" t="str">
        <f>VLOOKUP($E71,[1]Data!$E$4:$BA$2455,49,0)</f>
        <v>Inverter Single Split Wall_O/D</v>
      </c>
    </row>
    <row r="72" spans="1:14" x14ac:dyDescent="0.2">
      <c r="A72" s="67"/>
      <c r="B72" s="70" t="s">
        <v>137</v>
      </c>
      <c r="C72" s="71" t="s">
        <v>138</v>
      </c>
      <c r="D72" s="71" t="s">
        <v>145</v>
      </c>
      <c r="E72" s="71" t="s">
        <v>229</v>
      </c>
      <c r="G72" s="60" t="str">
        <f>VLOOKUP(E72,[1]Data!$E$4:$BA$2455,42,0)</f>
        <v>AC</v>
      </c>
      <c r="H72" s="60" t="str">
        <f>VLOOKUP($E72,[1]Data!$E$4:$BA$2455,43,0)</f>
        <v>Airconditioner</v>
      </c>
      <c r="I72" s="60" t="str">
        <f>VLOOKUP($E72,[1]Data!$E$4:$BA$2455,44,0)</f>
        <v>ACSR</v>
      </c>
      <c r="J72" s="60" t="str">
        <f>VLOOKUP($E72,[1]Data!$E$4:$BA$2455,45,0)</f>
        <v>SRAC</v>
      </c>
      <c r="K72" s="60" t="str">
        <f>VLOOKUP($E72,[1]Data!$E$4:$BA$2455,46,0)</f>
        <v>ACSRIV</v>
      </c>
      <c r="L72" s="60" t="str">
        <f>VLOOKUP($E72,[1]Data!$E$4:$BA$2455,47,0)</f>
        <v>Inverter</v>
      </c>
      <c r="M72" s="60" t="str">
        <f>VLOOKUP($E72,[1]Data!$E$4:$BA$2455,48,0)</f>
        <v>ACSRIVSN</v>
      </c>
      <c r="N72" s="60" t="str">
        <f>VLOOKUP($E72,[1]Data!$E$4:$BA$2455,49,0)</f>
        <v>Inverter Single Split Wall_I/D</v>
      </c>
    </row>
    <row r="73" spans="1:14" x14ac:dyDescent="0.2">
      <c r="A73" s="67">
        <v>66</v>
      </c>
      <c r="B73" s="70" t="s">
        <v>137</v>
      </c>
      <c r="C73" s="71" t="s">
        <v>138</v>
      </c>
      <c r="D73" s="71" t="s">
        <v>147</v>
      </c>
      <c r="E73" s="71" t="s">
        <v>230</v>
      </c>
      <c r="G73" s="60" t="str">
        <f>VLOOKUP(E73,[1]Data!$E$4:$BA$2455,42,0)</f>
        <v>AC</v>
      </c>
      <c r="H73" s="60" t="str">
        <f>VLOOKUP($E73,[1]Data!$E$4:$BA$2455,43,0)</f>
        <v>Airconditioner</v>
      </c>
      <c r="I73" s="60" t="str">
        <f>VLOOKUP($E73,[1]Data!$E$4:$BA$2455,44,0)</f>
        <v>ACSR</v>
      </c>
      <c r="J73" s="60" t="str">
        <f>VLOOKUP($E73,[1]Data!$E$4:$BA$2455,45,0)</f>
        <v>SRAC</v>
      </c>
      <c r="K73" s="60" t="str">
        <f>VLOOKUP($E73,[1]Data!$E$4:$BA$2455,46,0)</f>
        <v>ACSRIV</v>
      </c>
      <c r="L73" s="60" t="str">
        <f>VLOOKUP($E73,[1]Data!$E$4:$BA$2455,47,0)</f>
        <v>Inverter</v>
      </c>
      <c r="M73" s="60" t="str">
        <f>VLOOKUP($E73,[1]Data!$E$4:$BA$2455,48,0)</f>
        <v>ACSRIVSU</v>
      </c>
      <c r="N73" s="60" t="str">
        <f>VLOOKUP($E73,[1]Data!$E$4:$BA$2455,49,0)</f>
        <v>Inverter Single Split Wall_O/D</v>
      </c>
    </row>
    <row r="74" spans="1:14" x14ac:dyDescent="0.2">
      <c r="A74" s="67"/>
      <c r="B74" s="70" t="s">
        <v>137</v>
      </c>
      <c r="C74" s="71" t="s">
        <v>138</v>
      </c>
      <c r="D74" s="71" t="s">
        <v>147</v>
      </c>
      <c r="E74" s="71" t="s">
        <v>231</v>
      </c>
      <c r="G74" s="60" t="str">
        <f>VLOOKUP(E74,[1]Data!$E$4:$BA$2455,42,0)</f>
        <v>AC</v>
      </c>
      <c r="H74" s="60" t="str">
        <f>VLOOKUP($E74,[1]Data!$E$4:$BA$2455,43,0)</f>
        <v>Airconditioner</v>
      </c>
      <c r="I74" s="60" t="str">
        <f>VLOOKUP($E74,[1]Data!$E$4:$BA$2455,44,0)</f>
        <v>ACSR</v>
      </c>
      <c r="J74" s="60" t="str">
        <f>VLOOKUP($E74,[1]Data!$E$4:$BA$2455,45,0)</f>
        <v>SRAC</v>
      </c>
      <c r="K74" s="60" t="str">
        <f>VLOOKUP($E74,[1]Data!$E$4:$BA$2455,46,0)</f>
        <v>ACSRIV</v>
      </c>
      <c r="L74" s="60" t="str">
        <f>VLOOKUP($E74,[1]Data!$E$4:$BA$2455,47,0)</f>
        <v>Inverter</v>
      </c>
      <c r="M74" s="60" t="str">
        <f>VLOOKUP($E74,[1]Data!$E$4:$BA$2455,48,0)</f>
        <v>ACSRIVSN</v>
      </c>
      <c r="N74" s="60" t="str">
        <f>VLOOKUP($E74,[1]Data!$E$4:$BA$2455,49,0)</f>
        <v>Inverter Single Split Wall_I/D</v>
      </c>
    </row>
    <row r="75" spans="1:14" x14ac:dyDescent="0.2">
      <c r="A75" s="67">
        <v>67</v>
      </c>
      <c r="B75" s="70" t="s">
        <v>137</v>
      </c>
      <c r="C75" s="71" t="s">
        <v>138</v>
      </c>
      <c r="D75" s="71" t="s">
        <v>149</v>
      </c>
      <c r="E75" s="71" t="s">
        <v>232</v>
      </c>
      <c r="G75" s="60" t="str">
        <f>VLOOKUP(E75,[1]Data!$E$4:$BA$2455,42,0)</f>
        <v>AC</v>
      </c>
      <c r="H75" s="60" t="str">
        <f>VLOOKUP($E75,[1]Data!$E$4:$BA$2455,43,0)</f>
        <v>Airconditioner</v>
      </c>
      <c r="I75" s="60" t="str">
        <f>VLOOKUP($E75,[1]Data!$E$4:$BA$2455,44,0)</f>
        <v>ACSR</v>
      </c>
      <c r="J75" s="60" t="str">
        <f>VLOOKUP($E75,[1]Data!$E$4:$BA$2455,45,0)</f>
        <v>SRAC</v>
      </c>
      <c r="K75" s="60" t="str">
        <f>VLOOKUP($E75,[1]Data!$E$4:$BA$2455,46,0)</f>
        <v>ACSRIV</v>
      </c>
      <c r="L75" s="60" t="str">
        <f>VLOOKUP($E75,[1]Data!$E$4:$BA$2455,47,0)</f>
        <v>Inverter</v>
      </c>
      <c r="M75" s="60" t="str">
        <f>VLOOKUP($E75,[1]Data!$E$4:$BA$2455,48,0)</f>
        <v>ACSRIVSU</v>
      </c>
      <c r="N75" s="60" t="str">
        <f>VLOOKUP($E75,[1]Data!$E$4:$BA$2455,49,0)</f>
        <v>Inverter Single Split Wall_O/D</v>
      </c>
    </row>
    <row r="76" spans="1:14" x14ac:dyDescent="0.2">
      <c r="A76" s="67"/>
      <c r="B76" s="70" t="s">
        <v>137</v>
      </c>
      <c r="C76" s="71" t="s">
        <v>138</v>
      </c>
      <c r="D76" s="71" t="s">
        <v>149</v>
      </c>
      <c r="E76" s="71" t="s">
        <v>233</v>
      </c>
      <c r="G76" s="60" t="str">
        <f>VLOOKUP(E76,[1]Data!$E$4:$BA$2455,42,0)</f>
        <v>AC</v>
      </c>
      <c r="H76" s="60" t="str">
        <f>VLOOKUP($E76,[1]Data!$E$4:$BA$2455,43,0)</f>
        <v>Airconditioner</v>
      </c>
      <c r="I76" s="60" t="str">
        <f>VLOOKUP($E76,[1]Data!$E$4:$BA$2455,44,0)</f>
        <v>ACSR</v>
      </c>
      <c r="J76" s="60" t="str">
        <f>VLOOKUP($E76,[1]Data!$E$4:$BA$2455,45,0)</f>
        <v>SRAC</v>
      </c>
      <c r="K76" s="60" t="str">
        <f>VLOOKUP($E76,[1]Data!$E$4:$BA$2455,46,0)</f>
        <v>ACSRIV</v>
      </c>
      <c r="L76" s="60" t="str">
        <f>VLOOKUP($E76,[1]Data!$E$4:$BA$2455,47,0)</f>
        <v>Inverter</v>
      </c>
      <c r="M76" s="60" t="str">
        <f>VLOOKUP($E76,[1]Data!$E$4:$BA$2455,48,0)</f>
        <v>ACSRIVSN</v>
      </c>
      <c r="N76" s="60" t="str">
        <f>VLOOKUP($E76,[1]Data!$E$4:$BA$2455,49,0)</f>
        <v>Inverter Single Split Wall_I/D</v>
      </c>
    </row>
    <row r="77" spans="1:14" x14ac:dyDescent="0.2">
      <c r="A77" s="67">
        <v>68</v>
      </c>
      <c r="B77" s="70" t="s">
        <v>137</v>
      </c>
      <c r="C77" s="71" t="s">
        <v>138</v>
      </c>
      <c r="D77" s="71" t="s">
        <v>151</v>
      </c>
      <c r="E77" s="71" t="s">
        <v>235</v>
      </c>
      <c r="G77" s="60" t="str">
        <f>VLOOKUP(E77,[1]Data!$E$4:$BA$2455,42,0)</f>
        <v>AC</v>
      </c>
      <c r="H77" s="60" t="str">
        <f>VLOOKUP($E77,[1]Data!$E$4:$BA$2455,43,0)</f>
        <v>Airconditioner</v>
      </c>
      <c r="I77" s="60" t="str">
        <f>VLOOKUP($E77,[1]Data!$E$4:$BA$2455,44,0)</f>
        <v>ACSR</v>
      </c>
      <c r="J77" s="60" t="str">
        <f>VLOOKUP($E77,[1]Data!$E$4:$BA$2455,45,0)</f>
        <v>SRAC</v>
      </c>
      <c r="K77" s="60" t="str">
        <f>VLOOKUP($E77,[1]Data!$E$4:$BA$2455,46,0)</f>
        <v>ACSRIV</v>
      </c>
      <c r="L77" s="60" t="str">
        <f>VLOOKUP($E77,[1]Data!$E$4:$BA$2455,47,0)</f>
        <v>Inverter</v>
      </c>
      <c r="M77" s="60" t="str">
        <f>VLOOKUP($E77,[1]Data!$E$4:$BA$2455,48,0)</f>
        <v>ACSRIVSU</v>
      </c>
      <c r="N77" s="60" t="str">
        <f>VLOOKUP($E77,[1]Data!$E$4:$BA$2455,49,0)</f>
        <v>Inverter Single Split Wall_O/D</v>
      </c>
    </row>
    <row r="78" spans="1:14" x14ac:dyDescent="0.2">
      <c r="A78" s="67"/>
      <c r="B78" s="70" t="s">
        <v>137</v>
      </c>
      <c r="C78" s="71" t="s">
        <v>138</v>
      </c>
      <c r="D78" s="71" t="s">
        <v>151</v>
      </c>
      <c r="E78" s="71" t="s">
        <v>234</v>
      </c>
      <c r="G78" s="60" t="str">
        <f>VLOOKUP(E78,[1]Data!$E$4:$BA$2455,42,0)</f>
        <v>AC</v>
      </c>
      <c r="H78" s="60" t="str">
        <f>VLOOKUP($E78,[1]Data!$E$4:$BA$2455,43,0)</f>
        <v>Airconditioner</v>
      </c>
      <c r="I78" s="60" t="str">
        <f>VLOOKUP($E78,[1]Data!$E$4:$BA$2455,44,0)</f>
        <v>ACSR</v>
      </c>
      <c r="J78" s="60" t="str">
        <f>VLOOKUP($E78,[1]Data!$E$4:$BA$2455,45,0)</f>
        <v>SRAC</v>
      </c>
      <c r="K78" s="60" t="str">
        <f>VLOOKUP($E78,[1]Data!$E$4:$BA$2455,46,0)</f>
        <v>ACSRIV</v>
      </c>
      <c r="L78" s="60" t="str">
        <f>VLOOKUP($E78,[1]Data!$E$4:$BA$2455,47,0)</f>
        <v>Inverter</v>
      </c>
      <c r="M78" s="60" t="str">
        <f>VLOOKUP($E78,[1]Data!$E$4:$BA$2455,48,0)</f>
        <v>ACSRIVSN</v>
      </c>
      <c r="N78" s="60" t="str">
        <f>VLOOKUP($E78,[1]Data!$E$4:$BA$2455,49,0)</f>
        <v>Inverter Single Split Wall_I/D</v>
      </c>
    </row>
    <row r="79" spans="1:14" x14ac:dyDescent="0.2">
      <c r="A79" s="67">
        <v>69</v>
      </c>
      <c r="B79" s="70" t="s">
        <v>119</v>
      </c>
      <c r="C79" s="71" t="s">
        <v>119</v>
      </c>
      <c r="D79" s="71" t="s">
        <v>153</v>
      </c>
      <c r="E79" s="71" t="s">
        <v>154</v>
      </c>
      <c r="G79" s="60" t="str">
        <f>VLOOKUP(E79,[1]Data!$E$4:$BA$2455,42,0)</f>
        <v>HC</v>
      </c>
      <c r="H79" s="60" t="str">
        <f>VLOOKUP($E79,[1]Data!$E$4:$BA$2455,43,0)</f>
        <v>Healthcare</v>
      </c>
      <c r="I79" s="60" t="str">
        <f>VLOOKUP($E79,[1]Data!$E$4:$BA$2455,44,0)</f>
        <v>HCWC</v>
      </c>
      <c r="J79" s="60" t="str">
        <f>VLOOKUP($E79,[1]Data!$E$4:$BA$2455,45,0)</f>
        <v>Wellness care</v>
      </c>
      <c r="K79" s="60" t="str">
        <f>VLOOKUP($E79,[1]Data!$E$4:$BA$2455,46,0)</f>
        <v>HCWCAS</v>
      </c>
      <c r="L79" s="60" t="str">
        <f>VLOOKUP($E79,[1]Data!$E$4:$BA$2455,47,0)</f>
        <v>Air Solution</v>
      </c>
      <c r="M79" s="60" t="str">
        <f>VLOOKUP($E79,[1]Data!$E$4:$BA$2455,48,0)</f>
        <v>HCWCASAC</v>
      </c>
      <c r="N79" s="60" t="str">
        <f>VLOOKUP($E79,[1]Data!$E$4:$BA$2455,49,0)</f>
        <v>Air Cleaner</v>
      </c>
    </row>
    <row r="80" spans="1:14" x14ac:dyDescent="0.2">
      <c r="A80" s="67">
        <v>70</v>
      </c>
      <c r="B80" s="70" t="s">
        <v>119</v>
      </c>
      <c r="C80" s="71" t="s">
        <v>119</v>
      </c>
      <c r="D80" s="71" t="s">
        <v>155</v>
      </c>
      <c r="E80" s="71" t="s">
        <v>156</v>
      </c>
      <c r="G80" s="60" t="str">
        <f>VLOOKUP(E80,[1]Data!$E$4:$BA$2455,42,0)</f>
        <v>HC</v>
      </c>
      <c r="H80" s="60" t="str">
        <f>VLOOKUP($E80,[1]Data!$E$4:$BA$2455,43,0)</f>
        <v>Healthcare</v>
      </c>
      <c r="I80" s="60" t="str">
        <f>VLOOKUP($E80,[1]Data!$E$4:$BA$2455,44,0)</f>
        <v>HCWC</v>
      </c>
      <c r="J80" s="60" t="str">
        <f>VLOOKUP($E80,[1]Data!$E$4:$BA$2455,45,0)</f>
        <v>Wellness care</v>
      </c>
      <c r="K80" s="60" t="str">
        <f>VLOOKUP($E80,[1]Data!$E$4:$BA$2455,46,0)</f>
        <v>HCWCAS</v>
      </c>
      <c r="L80" s="60" t="str">
        <f>VLOOKUP($E80,[1]Data!$E$4:$BA$2455,47,0)</f>
        <v>Air Solution</v>
      </c>
      <c r="M80" s="60" t="str">
        <f>VLOOKUP($E80,[1]Data!$E$4:$BA$2455,48,0)</f>
        <v>HCWCASAC</v>
      </c>
      <c r="N80" s="60" t="str">
        <f>VLOOKUP($E80,[1]Data!$E$4:$BA$2455,49,0)</f>
        <v>Air Cleaner</v>
      </c>
    </row>
    <row r="81" spans="1:14" x14ac:dyDescent="0.2">
      <c r="A81" s="67">
        <v>71</v>
      </c>
      <c r="B81" s="70" t="s">
        <v>119</v>
      </c>
      <c r="C81" s="71" t="s">
        <v>119</v>
      </c>
      <c r="D81" s="71" t="s">
        <v>157</v>
      </c>
      <c r="E81" s="71" t="s">
        <v>158</v>
      </c>
      <c r="G81" s="60" t="str">
        <f>VLOOKUP(E81,[1]Data!$E$4:$BA$2455,42,0)</f>
        <v>HC</v>
      </c>
      <c r="H81" s="60" t="str">
        <f>VLOOKUP($E81,[1]Data!$E$4:$BA$2455,43,0)</f>
        <v>Healthcare</v>
      </c>
      <c r="I81" s="60" t="str">
        <f>VLOOKUP($E81,[1]Data!$E$4:$BA$2455,44,0)</f>
        <v>HCWC</v>
      </c>
      <c r="J81" s="60" t="str">
        <f>VLOOKUP($E81,[1]Data!$E$4:$BA$2455,45,0)</f>
        <v>Wellness care</v>
      </c>
      <c r="K81" s="60" t="str">
        <f>VLOOKUP($E81,[1]Data!$E$4:$BA$2455,46,0)</f>
        <v>HCWCAS</v>
      </c>
      <c r="L81" s="60" t="str">
        <f>VLOOKUP($E81,[1]Data!$E$4:$BA$2455,47,0)</f>
        <v>Air Solution</v>
      </c>
      <c r="M81" s="60" t="str">
        <f>VLOOKUP($E81,[1]Data!$E$4:$BA$2455,48,0)</f>
        <v>HCWCASAC</v>
      </c>
      <c r="N81" s="60" t="str">
        <f>VLOOKUP($E81,[1]Data!$E$4:$BA$2455,49,0)</f>
        <v>Air Cleaner</v>
      </c>
    </row>
    <row r="82" spans="1:14" x14ac:dyDescent="0.2">
      <c r="A82" s="67">
        <v>72</v>
      </c>
      <c r="B82" s="70" t="s">
        <v>119</v>
      </c>
      <c r="C82" s="71" t="s">
        <v>119</v>
      </c>
      <c r="D82" s="71" t="s">
        <v>159</v>
      </c>
      <c r="E82" s="71" t="s">
        <v>160</v>
      </c>
      <c r="G82" s="60" t="str">
        <f>VLOOKUP(E82,[1]Data!$E$4:$BA$2455,42,0)</f>
        <v>HC</v>
      </c>
      <c r="H82" s="60" t="str">
        <f>VLOOKUP($E82,[1]Data!$E$4:$BA$2455,43,0)</f>
        <v>Healthcare</v>
      </c>
      <c r="I82" s="60" t="str">
        <f>VLOOKUP($E82,[1]Data!$E$4:$BA$2455,44,0)</f>
        <v>HCWC</v>
      </c>
      <c r="J82" s="60" t="str">
        <f>VLOOKUP($E82,[1]Data!$E$4:$BA$2455,45,0)</f>
        <v>Wellness care</v>
      </c>
      <c r="K82" s="60" t="str">
        <f>VLOOKUP($E82,[1]Data!$E$4:$BA$2455,46,0)</f>
        <v>HCWCAS</v>
      </c>
      <c r="L82" s="60" t="str">
        <f>VLOOKUP($E82,[1]Data!$E$4:$BA$2455,47,0)</f>
        <v>Air Solution</v>
      </c>
      <c r="M82" s="60" t="str">
        <f>VLOOKUP($E82,[1]Data!$E$4:$BA$2455,48,0)</f>
        <v>HCWCASCO</v>
      </c>
      <c r="N82" s="60" t="str">
        <f>VLOOKUP($E82,[1]Data!$E$4:$BA$2455,49,0)</f>
        <v>Air Cleaner_ODM</v>
      </c>
    </row>
    <row r="83" spans="1:14" x14ac:dyDescent="0.2">
      <c r="A83" s="75">
        <v>73</v>
      </c>
      <c r="B83" s="76" t="s">
        <v>119</v>
      </c>
      <c r="C83" s="77" t="s">
        <v>119</v>
      </c>
      <c r="D83" s="77" t="s">
        <v>161</v>
      </c>
      <c r="E83" s="77" t="s">
        <v>162</v>
      </c>
      <c r="F83" s="61" t="s">
        <v>212</v>
      </c>
      <c r="G83" s="61" t="e">
        <f>VLOOKUP(E83,[1]Data!$E$4:$BA$2455,42,0)</f>
        <v>#N/A</v>
      </c>
      <c r="H83" s="61" t="e">
        <f>VLOOKUP($E83,[1]Data!$E$4:$BA$2455,43,0)</f>
        <v>#N/A</v>
      </c>
      <c r="I83" s="61" t="e">
        <f>VLOOKUP($E83,[1]Data!$E$4:$BA$2455,44,0)</f>
        <v>#N/A</v>
      </c>
      <c r="J83" s="61" t="e">
        <f>VLOOKUP($E83,[1]Data!$E$4:$BA$2455,45,0)</f>
        <v>#N/A</v>
      </c>
      <c r="K83" s="61" t="e">
        <f>VLOOKUP($E83,[1]Data!$E$4:$BA$2455,46,0)</f>
        <v>#N/A</v>
      </c>
      <c r="L83" s="61" t="e">
        <f>VLOOKUP($E83,[1]Data!$E$4:$BA$2455,47,0)</f>
        <v>#N/A</v>
      </c>
      <c r="M83" s="61" t="e">
        <f>VLOOKUP($E83,[1]Data!$E$4:$BA$2455,48,0)</f>
        <v>#N/A</v>
      </c>
      <c r="N83" s="61" t="e">
        <f>VLOOKUP($E83,[1]Data!$E$4:$BA$2455,49,0)</f>
        <v>#N/A</v>
      </c>
    </row>
    <row r="84" spans="1:14" x14ac:dyDescent="0.2">
      <c r="A84" s="75">
        <v>74</v>
      </c>
      <c r="B84" s="76" t="s">
        <v>119</v>
      </c>
      <c r="C84" s="77" t="s">
        <v>119</v>
      </c>
      <c r="D84" s="77" t="s">
        <v>163</v>
      </c>
      <c r="E84" s="77" t="s">
        <v>164</v>
      </c>
      <c r="F84" s="61" t="s">
        <v>212</v>
      </c>
      <c r="G84" s="61" t="e">
        <f>VLOOKUP(E84,[1]Data!$E$4:$BA$2455,42,0)</f>
        <v>#N/A</v>
      </c>
      <c r="H84" s="61" t="e">
        <f>VLOOKUP($E84,[1]Data!$E$4:$BA$2455,43,0)</f>
        <v>#N/A</v>
      </c>
      <c r="I84" s="61" t="e">
        <f>VLOOKUP($E84,[1]Data!$E$4:$BA$2455,44,0)</f>
        <v>#N/A</v>
      </c>
      <c r="J84" s="61" t="e">
        <f>VLOOKUP($E84,[1]Data!$E$4:$BA$2455,45,0)</f>
        <v>#N/A</v>
      </c>
      <c r="K84" s="61" t="e">
        <f>VLOOKUP($E84,[1]Data!$E$4:$BA$2455,46,0)</f>
        <v>#N/A</v>
      </c>
      <c r="L84" s="61" t="e">
        <f>VLOOKUP($E84,[1]Data!$E$4:$BA$2455,47,0)</f>
        <v>#N/A</v>
      </c>
      <c r="M84" s="61" t="e">
        <f>VLOOKUP($E84,[1]Data!$E$4:$BA$2455,48,0)</f>
        <v>#N/A</v>
      </c>
      <c r="N84" s="61" t="e">
        <f>VLOOKUP($E84,[1]Data!$E$4:$BA$2455,49,0)</f>
        <v>#N/A</v>
      </c>
    </row>
    <row r="85" spans="1:14" x14ac:dyDescent="0.2">
      <c r="A85" s="67">
        <v>75</v>
      </c>
      <c r="B85" s="70" t="s">
        <v>165</v>
      </c>
      <c r="C85" s="71" t="s">
        <v>166</v>
      </c>
      <c r="D85" s="71" t="s">
        <v>167</v>
      </c>
      <c r="E85" s="71" t="s">
        <v>168</v>
      </c>
      <c r="G85" s="60" t="str">
        <f>VLOOKUP(E85,[1]Data!$E$4:$BA$2455,42,0)</f>
        <v>WM</v>
      </c>
      <c r="H85" s="60" t="str">
        <f>VLOOKUP($E85,[1]Data!$E$4:$BA$2455,43,0)</f>
        <v>Washing Machine</v>
      </c>
      <c r="I85" s="60" t="str">
        <f>VLOOKUP($E85,[1]Data!$E$4:$BA$2455,44,0)</f>
        <v>WMWF</v>
      </c>
      <c r="J85" s="60" t="str">
        <f>VLOOKUP($E85,[1]Data!$E$4:$BA$2455,45,0)</f>
        <v>Clothes Styler</v>
      </c>
      <c r="K85" s="60" t="str">
        <f>VLOOKUP($E85,[1]Data!$E$4:$BA$2455,46,0)</f>
        <v>WMWFWF</v>
      </c>
      <c r="L85" s="60" t="str">
        <f>VLOOKUP($E85,[1]Data!$E$4:$BA$2455,47,0)</f>
        <v>Clothes_Styler</v>
      </c>
      <c r="M85" s="60" t="str">
        <f>VLOOKUP($E85,[1]Data!$E$4:$BA$2455,48,0)</f>
        <v>WMWFWFCA</v>
      </c>
      <c r="N85" s="60" t="str">
        <f>VLOOKUP($E85,[1]Data!$E$4:$BA$2455,49,0)</f>
        <v>Clothes_Styler</v>
      </c>
    </row>
    <row r="86" spans="1:14" x14ac:dyDescent="0.2">
      <c r="A86" s="75">
        <v>76</v>
      </c>
      <c r="B86" s="78" t="s">
        <v>165</v>
      </c>
      <c r="C86" s="79" t="s">
        <v>169</v>
      </c>
      <c r="D86" s="79" t="s">
        <v>170</v>
      </c>
      <c r="E86" s="79" t="s">
        <v>171</v>
      </c>
      <c r="F86" s="61" t="s">
        <v>213</v>
      </c>
      <c r="G86" s="61" t="e">
        <f>VLOOKUP(E86,[1]Data!$E$4:$BA$2455,42,0)</f>
        <v>#N/A</v>
      </c>
      <c r="H86" s="61" t="e">
        <f>VLOOKUP($E86,[1]Data!$E$4:$BA$2455,43,0)</f>
        <v>#N/A</v>
      </c>
      <c r="I86" s="61" t="e">
        <f>VLOOKUP($E86,[1]Data!$E$4:$BA$2455,44,0)</f>
        <v>#N/A</v>
      </c>
      <c r="J86" s="61" t="e">
        <f>VLOOKUP($E86,[1]Data!$E$4:$BA$2455,45,0)</f>
        <v>#N/A</v>
      </c>
      <c r="K86" s="61" t="e">
        <f>VLOOKUP($E86,[1]Data!$E$4:$BA$2455,46,0)</f>
        <v>#N/A</v>
      </c>
      <c r="L86" s="61" t="e">
        <f>VLOOKUP($E86,[1]Data!$E$4:$BA$2455,47,0)</f>
        <v>#N/A</v>
      </c>
      <c r="M86" s="61" t="e">
        <f>VLOOKUP($E86,[1]Data!$E$4:$BA$2455,48,0)</f>
        <v>#N/A</v>
      </c>
      <c r="N86" s="61" t="e">
        <f>VLOOKUP($E86,[1]Data!$E$4:$BA$2455,49,0)</f>
        <v>#N/A</v>
      </c>
    </row>
    <row r="87" spans="1:14" x14ac:dyDescent="0.2">
      <c r="A87" s="67">
        <v>77</v>
      </c>
      <c r="B87" s="80" t="s">
        <v>165</v>
      </c>
      <c r="C87" s="81" t="s">
        <v>172</v>
      </c>
      <c r="D87" s="81" t="s">
        <v>173</v>
      </c>
      <c r="E87" s="81" t="s">
        <v>174</v>
      </c>
      <c r="G87" s="60" t="str">
        <f>VLOOKUP(E87,[1]Data!$E$4:$BA$2455,42,0)</f>
        <v>WM</v>
      </c>
      <c r="H87" s="60" t="str">
        <f>VLOOKUP($E87,[1]Data!$E$4:$BA$2455,43,0)</f>
        <v>Washing Machine</v>
      </c>
      <c r="I87" s="60" t="str">
        <f>VLOOKUP($E87,[1]Data!$E$4:$BA$2455,44,0)</f>
        <v>WMWL</v>
      </c>
      <c r="J87" s="60" t="str">
        <f>VLOOKUP($E87,[1]Data!$E$4:$BA$2455,45,0)</f>
        <v>Clothes Washer</v>
      </c>
      <c r="K87" s="60" t="str">
        <f>VLOOKUP($E87,[1]Data!$E$4:$BA$2455,46,0)</f>
        <v>WMWLCC</v>
      </c>
      <c r="L87" s="60" t="str">
        <f>VLOOKUP($E87,[1]Data!$E$4:$BA$2455,47,0)</f>
        <v>Clothes Washer_Laundry Center</v>
      </c>
      <c r="M87" s="60" t="str">
        <f>VLOOKUP($E87,[1]Data!$E$4:$BA$2455,48,0)</f>
        <v>WMWLCCLC</v>
      </c>
      <c r="N87" s="60" t="str">
        <f>VLOOKUP($E87,[1]Data!$E$4:$BA$2455,49,0)</f>
        <v>Clothes Stacked Washer Dryer</v>
      </c>
    </row>
    <row r="88" spans="1:14" x14ac:dyDescent="0.2">
      <c r="A88" s="67">
        <v>78</v>
      </c>
      <c r="B88" s="80" t="s">
        <v>165</v>
      </c>
      <c r="C88" s="81" t="s">
        <v>175</v>
      </c>
      <c r="D88" s="81" t="s">
        <v>176</v>
      </c>
      <c r="E88" s="81" t="s">
        <v>177</v>
      </c>
      <c r="G88" s="60" t="str">
        <f>VLOOKUP(E88,[1]Data!$E$4:$BA$2455,42,0)</f>
        <v>WM</v>
      </c>
      <c r="H88" s="60" t="str">
        <f>VLOOKUP($E88,[1]Data!$E$4:$BA$2455,43,0)</f>
        <v>Washing Machine</v>
      </c>
      <c r="I88" s="60" t="str">
        <f>VLOOKUP($E88,[1]Data!$E$4:$BA$2455,44,0)</f>
        <v>WMWL</v>
      </c>
      <c r="J88" s="60" t="str">
        <f>VLOOKUP($E88,[1]Data!$E$4:$BA$2455,45,0)</f>
        <v>Clothes Washer</v>
      </c>
      <c r="K88" s="60" t="str">
        <f>VLOOKUP($E88,[1]Data!$E$4:$BA$2455,46,0)</f>
        <v>WMWLTL</v>
      </c>
      <c r="L88" s="60" t="str">
        <f>VLOOKUP($E88,[1]Data!$E$4:$BA$2455,47,0)</f>
        <v>Clothes Washer_Top Loader</v>
      </c>
      <c r="M88" s="60" t="str">
        <f>VLOOKUP($E88,[1]Data!$E$4:$BA$2455,48,0)</f>
        <v>WMWLTLTA</v>
      </c>
      <c r="N88" s="60" t="str">
        <f>VLOOKUP($E88,[1]Data!$E$4:$BA$2455,49,0)</f>
        <v>Clothes Washer_Turbo Drum</v>
      </c>
    </row>
    <row r="89" spans="1:14" x14ac:dyDescent="0.2">
      <c r="A89" s="67">
        <v>79</v>
      </c>
      <c r="B89" s="80" t="s">
        <v>165</v>
      </c>
      <c r="C89" s="81" t="s">
        <v>178</v>
      </c>
      <c r="D89" s="81" t="s">
        <v>179</v>
      </c>
      <c r="E89" s="81" t="s">
        <v>180</v>
      </c>
      <c r="G89" s="60" t="str">
        <f>VLOOKUP(E89,[1]Data!$E$4:$BA$2455,42,0)</f>
        <v>WM</v>
      </c>
      <c r="H89" s="60" t="str">
        <f>VLOOKUP($E89,[1]Data!$E$4:$BA$2455,43,0)</f>
        <v>Washing Machine</v>
      </c>
      <c r="I89" s="60" t="str">
        <f>VLOOKUP($E89,[1]Data!$E$4:$BA$2455,44,0)</f>
        <v>WMWL</v>
      </c>
      <c r="J89" s="60" t="str">
        <f>VLOOKUP($E89,[1]Data!$E$4:$BA$2455,45,0)</f>
        <v>Clothes Washer</v>
      </c>
      <c r="K89" s="60" t="str">
        <f>VLOOKUP($E89,[1]Data!$E$4:$BA$2455,46,0)</f>
        <v>WMWLFL</v>
      </c>
      <c r="L89" s="60" t="str">
        <f>VLOOKUP($E89,[1]Data!$E$4:$BA$2455,47,0)</f>
        <v>Clothes Washer_Front Loader</v>
      </c>
      <c r="M89" s="60" t="str">
        <f>VLOOKUP($E89,[1]Data!$E$4:$BA$2455,48,0)</f>
        <v>WMWLFLSC</v>
      </c>
      <c r="N89" s="60" t="str">
        <f>VLOOKUP($E89,[1]Data!$E$4:$BA$2455,49,0)</f>
        <v>Clothes Washer_Drum(DD)_Steam_24</v>
      </c>
    </row>
    <row r="90" spans="1:14" x14ac:dyDescent="0.2">
      <c r="A90" s="72">
        <v>80</v>
      </c>
      <c r="B90" s="82" t="s">
        <v>184</v>
      </c>
      <c r="C90" s="83" t="s">
        <v>185</v>
      </c>
      <c r="D90" s="83" t="s">
        <v>186</v>
      </c>
      <c r="E90" s="83" t="s">
        <v>187</v>
      </c>
      <c r="G90" s="60" t="str">
        <f>VLOOKUP(E90,[1]Data!$E$4:$BA$2455,42,0)</f>
        <v>CA</v>
      </c>
      <c r="H90" s="60" t="str">
        <f>VLOOKUP($E90,[1]Data!$E$4:$BA$2455,43,0)</f>
        <v>Cooking Appliance</v>
      </c>
      <c r="I90" s="60" t="str">
        <f>VLOOKUP($E90,[1]Data!$E$4:$BA$2455,44,0)</f>
        <v>CAMW</v>
      </c>
      <c r="J90" s="60" t="str">
        <f>VLOOKUP($E90,[1]Data!$E$4:$BA$2455,45,0)</f>
        <v>MWO</v>
      </c>
      <c r="K90" s="60" t="str">
        <f>VLOOKUP($E90,[1]Data!$E$4:$BA$2455,46,0)</f>
        <v>CAMWCT</v>
      </c>
      <c r="L90" s="60" t="str">
        <f>VLOOKUP($E90,[1]Data!$E$4:$BA$2455,47,0)</f>
        <v>C/Top_MWO</v>
      </c>
      <c r="M90" s="60" t="str">
        <f>VLOOKUP($E90,[1]Data!$E$4:$BA$2455,48,0)</f>
        <v>CAMWCTSF</v>
      </c>
      <c r="N90" s="60" t="str">
        <f>VLOOKUP($E90,[1]Data!$E$4:$BA$2455,49,0)</f>
        <v>Solo(C/Top)</v>
      </c>
    </row>
    <row r="91" spans="1:14" x14ac:dyDescent="0.2">
      <c r="A91" s="72">
        <v>81</v>
      </c>
      <c r="B91" s="82" t="s">
        <v>184</v>
      </c>
      <c r="C91" s="83" t="s">
        <v>185</v>
      </c>
      <c r="D91" s="83" t="s">
        <v>188</v>
      </c>
      <c r="E91" s="83" t="s">
        <v>189</v>
      </c>
      <c r="G91" s="60" t="str">
        <f>VLOOKUP(E91,[1]Data!$E$4:$BA$2455,42,0)</f>
        <v>CA</v>
      </c>
      <c r="H91" s="60" t="str">
        <f>VLOOKUP($E91,[1]Data!$E$4:$BA$2455,43,0)</f>
        <v>Cooking Appliance</v>
      </c>
      <c r="I91" s="60" t="str">
        <f>VLOOKUP($E91,[1]Data!$E$4:$BA$2455,44,0)</f>
        <v>CAMW</v>
      </c>
      <c r="J91" s="60" t="str">
        <f>VLOOKUP($E91,[1]Data!$E$4:$BA$2455,45,0)</f>
        <v>MWO</v>
      </c>
      <c r="K91" s="60" t="str">
        <f>VLOOKUP($E91,[1]Data!$E$4:$BA$2455,46,0)</f>
        <v>CAMWCT</v>
      </c>
      <c r="L91" s="60" t="str">
        <f>VLOOKUP($E91,[1]Data!$E$4:$BA$2455,47,0)</f>
        <v>C/Top_MWO</v>
      </c>
      <c r="M91" s="60" t="str">
        <f>VLOOKUP($E91,[1]Data!$E$4:$BA$2455,48,0)</f>
        <v>CAMWCTSF</v>
      </c>
      <c r="N91" s="60" t="str">
        <f>VLOOKUP($E91,[1]Data!$E$4:$BA$2455,49,0)</f>
        <v>Solo(C/Top)</v>
      </c>
    </row>
    <row r="92" spans="1:14" x14ac:dyDescent="0.2">
      <c r="A92" s="72">
        <v>82</v>
      </c>
      <c r="B92" s="82" t="s">
        <v>184</v>
      </c>
      <c r="C92" s="83" t="s">
        <v>185</v>
      </c>
      <c r="D92" s="83" t="s">
        <v>190</v>
      </c>
      <c r="E92" s="83" t="s">
        <v>191</v>
      </c>
      <c r="G92" s="60" t="str">
        <f>VLOOKUP(E92,[1]Data!$E$4:$BA$2455,42,0)</f>
        <v>CA</v>
      </c>
      <c r="H92" s="60" t="str">
        <f>VLOOKUP($E92,[1]Data!$E$4:$BA$2455,43,0)</f>
        <v>Cooking Appliance</v>
      </c>
      <c r="I92" s="60" t="str">
        <f>VLOOKUP($E92,[1]Data!$E$4:$BA$2455,44,0)</f>
        <v>CAMW</v>
      </c>
      <c r="J92" s="60" t="str">
        <f>VLOOKUP($E92,[1]Data!$E$4:$BA$2455,45,0)</f>
        <v>MWO</v>
      </c>
      <c r="K92" s="60" t="str">
        <f>VLOOKUP($E92,[1]Data!$E$4:$BA$2455,46,0)</f>
        <v>CAMWCT</v>
      </c>
      <c r="L92" s="60" t="str">
        <f>VLOOKUP($E92,[1]Data!$E$4:$BA$2455,47,0)</f>
        <v>C/Top_MWO</v>
      </c>
      <c r="M92" s="60" t="str">
        <f>VLOOKUP($E92,[1]Data!$E$4:$BA$2455,48,0)</f>
        <v>CAMWCTSF</v>
      </c>
      <c r="N92" s="60" t="str">
        <f>VLOOKUP($E92,[1]Data!$E$4:$BA$2455,49,0)</f>
        <v>Solo(C/Top)</v>
      </c>
    </row>
    <row r="93" spans="1:14" x14ac:dyDescent="0.2">
      <c r="A93" s="72">
        <v>83</v>
      </c>
      <c r="B93" s="82" t="s">
        <v>184</v>
      </c>
      <c r="C93" s="83" t="s">
        <v>185</v>
      </c>
      <c r="D93" s="83" t="s">
        <v>192</v>
      </c>
      <c r="E93" s="83" t="s">
        <v>193</v>
      </c>
      <c r="G93" s="60" t="str">
        <f>VLOOKUP(E93,[1]Data!$E$4:$BA$2455,42,0)</f>
        <v>CA</v>
      </c>
      <c r="H93" s="60" t="str">
        <f>VLOOKUP($E93,[1]Data!$E$4:$BA$2455,43,0)</f>
        <v>Cooking Appliance</v>
      </c>
      <c r="I93" s="60" t="str">
        <f>VLOOKUP($E93,[1]Data!$E$4:$BA$2455,44,0)</f>
        <v>CAMW</v>
      </c>
      <c r="J93" s="60" t="str">
        <f>VLOOKUP($E93,[1]Data!$E$4:$BA$2455,45,0)</f>
        <v>MWO</v>
      </c>
      <c r="K93" s="60" t="str">
        <f>VLOOKUP($E93,[1]Data!$E$4:$BA$2455,46,0)</f>
        <v>CAMWCT</v>
      </c>
      <c r="L93" s="60" t="str">
        <f>VLOOKUP($E93,[1]Data!$E$4:$BA$2455,47,0)</f>
        <v>C/Top_MWO</v>
      </c>
      <c r="M93" s="60" t="str">
        <f>VLOOKUP($E93,[1]Data!$E$4:$BA$2455,48,0)</f>
        <v>CAMWCTSF</v>
      </c>
      <c r="N93" s="60" t="str">
        <f>VLOOKUP($E93,[1]Data!$E$4:$BA$2455,49,0)</f>
        <v>Solo(C/Top)</v>
      </c>
    </row>
    <row r="94" spans="1:14" x14ac:dyDescent="0.2">
      <c r="A94" s="72">
        <v>84</v>
      </c>
      <c r="B94" s="82" t="s">
        <v>194</v>
      </c>
      <c r="C94" s="83" t="s">
        <v>195</v>
      </c>
      <c r="D94" s="83" t="s">
        <v>196</v>
      </c>
      <c r="E94" s="83" t="s">
        <v>197</v>
      </c>
      <c r="G94" s="60" t="str">
        <f>VLOOKUP(E94,[1]Data!$E$4:$BA$2455,42,0)</f>
        <v>AV</v>
      </c>
      <c r="H94" s="60" t="str">
        <f>VLOOKUP($E94,[1]Data!$E$4:$BA$2455,43,0)</f>
        <v>AV</v>
      </c>
      <c r="I94" s="60" t="str">
        <f>VLOOKUP($E94,[1]Data!$E$4:$BA$2455,44,0)</f>
        <v>AVAH</v>
      </c>
      <c r="J94" s="60" t="str">
        <f>VLOOKUP($E94,[1]Data!$E$4:$BA$2455,45,0)</f>
        <v>HTS</v>
      </c>
      <c r="K94" s="60" t="str">
        <f>VLOOKUP($E94,[1]Data!$E$4:$BA$2455,46,0)</f>
        <v>AVAHHS</v>
      </c>
      <c r="L94" s="60" t="str">
        <f>VLOOKUP($E94,[1]Data!$E$4:$BA$2455,47,0)</f>
        <v>Soundbar + HTS Speaker</v>
      </c>
      <c r="M94" s="60" t="str">
        <f>VLOOKUP($E94,[1]Data!$E$4:$BA$2455,48,0)</f>
        <v>AVAHHSSO</v>
      </c>
      <c r="N94" s="60" t="str">
        <f>VLOOKUP($E94,[1]Data!$E$4:$BA$2455,49,0)</f>
        <v>Soundbar</v>
      </c>
    </row>
    <row r="95" spans="1:14" x14ac:dyDescent="0.2">
      <c r="A95" s="72">
        <v>85</v>
      </c>
      <c r="B95" s="82" t="s">
        <v>194</v>
      </c>
      <c r="C95" s="83" t="s">
        <v>195</v>
      </c>
      <c r="D95" s="83" t="s">
        <v>198</v>
      </c>
      <c r="E95" s="83" t="s">
        <v>199</v>
      </c>
      <c r="G95" s="60" t="str">
        <f>VLOOKUP(E95,[1]Data!$E$4:$BA$2455,42,0)</f>
        <v>AV</v>
      </c>
      <c r="H95" s="60" t="str">
        <f>VLOOKUP($E95,[1]Data!$E$4:$BA$2455,43,0)</f>
        <v>AV</v>
      </c>
      <c r="I95" s="60" t="str">
        <f>VLOOKUP($E95,[1]Data!$E$4:$BA$2455,44,0)</f>
        <v>AVAH</v>
      </c>
      <c r="J95" s="60" t="str">
        <f>VLOOKUP($E95,[1]Data!$E$4:$BA$2455,45,0)</f>
        <v>HTS</v>
      </c>
      <c r="K95" s="60" t="str">
        <f>VLOOKUP($E95,[1]Data!$E$4:$BA$2455,46,0)</f>
        <v>AVAHHS</v>
      </c>
      <c r="L95" s="60" t="str">
        <f>VLOOKUP($E95,[1]Data!$E$4:$BA$2455,47,0)</f>
        <v>Soundbar + HTS Speaker</v>
      </c>
      <c r="M95" s="60" t="str">
        <f>VLOOKUP($E95,[1]Data!$E$4:$BA$2455,48,0)</f>
        <v>AVAHHSSO</v>
      </c>
      <c r="N95" s="60" t="str">
        <f>VLOOKUP($E95,[1]Data!$E$4:$BA$2455,49,0)</f>
        <v>Soundbar</v>
      </c>
    </row>
    <row r="96" spans="1:14" x14ac:dyDescent="0.2">
      <c r="A96" s="75">
        <v>86</v>
      </c>
      <c r="B96" s="84" t="s">
        <v>194</v>
      </c>
      <c r="C96" s="85" t="s">
        <v>200</v>
      </c>
      <c r="D96" s="85" t="s">
        <v>201</v>
      </c>
      <c r="E96" s="85" t="s">
        <v>202</v>
      </c>
      <c r="F96" s="61" t="s">
        <v>211</v>
      </c>
      <c r="G96" s="61" t="e">
        <f>VLOOKUP(E96,[1]Data!$E$4:$BA$2455,42,0)</f>
        <v>#N/A</v>
      </c>
      <c r="H96" s="61" t="e">
        <f>VLOOKUP($E96,[1]Data!$E$4:$BA$2455,43,0)</f>
        <v>#N/A</v>
      </c>
      <c r="I96" s="61" t="e">
        <f>VLOOKUP($E96,[1]Data!$E$4:$BA$2455,44,0)</f>
        <v>#N/A</v>
      </c>
      <c r="J96" s="61" t="e">
        <f>VLOOKUP($E96,[1]Data!$E$4:$BA$2455,45,0)</f>
        <v>#N/A</v>
      </c>
      <c r="K96" s="61" t="e">
        <f>VLOOKUP($E96,[1]Data!$E$4:$BA$2455,46,0)</f>
        <v>#N/A</v>
      </c>
      <c r="L96" s="61" t="e">
        <f>VLOOKUP($E96,[1]Data!$E$4:$BA$2455,47,0)</f>
        <v>#N/A</v>
      </c>
      <c r="M96" s="61" t="e">
        <f>VLOOKUP($E96,[1]Data!$E$4:$BA$2455,48,0)</f>
        <v>#N/A</v>
      </c>
      <c r="N96" s="61" t="e">
        <f>VLOOKUP($E96,[1]Data!$E$4:$BA$2455,49,0)</f>
        <v>#N/A</v>
      </c>
    </row>
    <row r="97" spans="1:14" x14ac:dyDescent="0.2">
      <c r="A97" s="72">
        <v>87</v>
      </c>
      <c r="B97" s="82" t="s">
        <v>194</v>
      </c>
      <c r="C97" s="83" t="s">
        <v>200</v>
      </c>
      <c r="D97" s="83" t="s">
        <v>203</v>
      </c>
      <c r="E97" s="83" t="s">
        <v>204</v>
      </c>
      <c r="G97" s="60" t="str">
        <f>VLOOKUP(E97,[1]Data!$E$4:$BA$2455,42,0)</f>
        <v>AO</v>
      </c>
      <c r="H97" s="60" t="str">
        <f>VLOOKUP($E97,[1]Data!$E$4:$BA$2455,43,0)</f>
        <v>AO</v>
      </c>
      <c r="I97" s="60" t="str">
        <f>VLOOKUP($E97,[1]Data!$E$4:$BA$2455,44,0)</f>
        <v>AOAA</v>
      </c>
      <c r="J97" s="60" t="str">
        <f>VLOOKUP($E97,[1]Data!$E$4:$BA$2455,45,0)</f>
        <v>Home Audio_OS</v>
      </c>
      <c r="K97" s="60" t="str">
        <f>VLOOKUP($E97,[1]Data!$E$4:$BA$2455,46,0)</f>
        <v>AOAADS</v>
      </c>
      <c r="L97" s="60" t="str">
        <f>VLOOKUP($E97,[1]Data!$E$4:$BA$2455,47,0)</f>
        <v>Wireless Speaker_OS</v>
      </c>
      <c r="M97" s="60" t="str">
        <f>VLOOKUP($E97,[1]Data!$E$4:$BA$2455,48,0)</f>
        <v>AOAADSPS</v>
      </c>
      <c r="N97" s="60" t="str">
        <f>VLOOKUP($E97,[1]Data!$E$4:$BA$2455,49,0)</f>
        <v>Bluetooth Speaker_OS</v>
      </c>
    </row>
    <row r="98" spans="1:14" x14ac:dyDescent="0.2">
      <c r="A98" s="72">
        <v>88</v>
      </c>
      <c r="B98" s="82" t="s">
        <v>50</v>
      </c>
      <c r="C98" s="83" t="s">
        <v>104</v>
      </c>
      <c r="D98" s="83" t="s">
        <v>205</v>
      </c>
      <c r="E98" s="83" t="s">
        <v>206</v>
      </c>
      <c r="G98" s="60" t="str">
        <f>VLOOKUP(E98,[1]Data!$E$4:$BA$2455,42,0)</f>
        <v>TV</v>
      </c>
      <c r="H98" s="60" t="str">
        <f>VLOOKUP($E98,[1]Data!$E$4:$BA$2455,43,0)</f>
        <v>TV</v>
      </c>
      <c r="I98" s="60" t="str">
        <f>VLOOKUP($E98,[1]Data!$E$4:$BA$2455,44,0)</f>
        <v>TVLS</v>
      </c>
      <c r="J98" s="60" t="str">
        <f>VLOOKUP($E98,[1]Data!$E$4:$BA$2455,45,0)</f>
        <v>TV Life Style</v>
      </c>
      <c r="K98" s="60" t="str">
        <f>VLOOKUP($E98,[1]Data!$E$4:$BA$2455,46,0)</f>
        <v>TVLS32</v>
      </c>
      <c r="L98" s="60" t="str">
        <f>VLOOKUP($E98,[1]Data!$E$4:$BA$2455,47,0)</f>
        <v>TV Life Style 32</v>
      </c>
      <c r="M98" s="60" t="str">
        <f>VLOOKUP($E98,[1]Data!$E$4:$BA$2455,48,0)</f>
        <v>TVLS32NU</v>
      </c>
      <c r="N98" s="60" t="str">
        <f>VLOOKUP($E98,[1]Data!$E$4:$BA$2455,49,0)</f>
        <v>Life Style Display 32 (UD)</v>
      </c>
    </row>
    <row r="100" spans="1:14" x14ac:dyDescent="0.2">
      <c r="E100" s="62" t="s">
        <v>239</v>
      </c>
    </row>
    <row r="101" spans="1:14" x14ac:dyDescent="0.2">
      <c r="E101" s="62" t="s">
        <v>240</v>
      </c>
    </row>
  </sheetData>
  <autoFilter ref="A3:P98" xr:uid="{00000000-0001-0000-0100-000000000000}"/>
  <mergeCells count="1"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MiniApp</vt:lpstr>
      <vt:lpstr>Product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DIEM DAO/LGEVH HN SALES B2B2C</dc:creator>
  <cp:lastModifiedBy>Tran Tung Lam</cp:lastModifiedBy>
  <dcterms:created xsi:type="dcterms:W3CDTF">2026-08-07T02:42:31Z</dcterms:created>
  <dcterms:modified xsi:type="dcterms:W3CDTF">2026-09-17T12:57:18Z</dcterms:modified>
</cp:coreProperties>
</file>